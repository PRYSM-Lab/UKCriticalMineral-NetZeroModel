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Mineral Results\MO\New folder\Graph\"/>
    </mc:Choice>
  </mc:AlternateContent>
  <xr:revisionPtr revIDLastSave="0" documentId="13_ncr:1_{08108DC1-834E-4CF2-931D-799F18015006}" xr6:coauthVersionLast="47" xr6:coauthVersionMax="47" xr10:uidLastSave="{00000000-0000-0000-0000-000000000000}"/>
  <bookViews>
    <workbookView xWindow="28692" yWindow="-108" windowWidth="29016" windowHeight="15696" activeTab="3" xr2:uid="{B68EF62A-5A07-4EA5-8A97-F7F7F1193D31}"/>
  </bookViews>
  <sheets>
    <sheet name="Sheet1" sheetId="1" r:id="rId1"/>
    <sheet name="Sheet2" sheetId="2" r:id="rId2"/>
    <sheet name="Sheet3" sheetId="3" r:id="rId3"/>
    <sheet name="Mineral Demand" sheetId="4" r:id="rId4"/>
  </sheets>
  <definedNames>
    <definedName name="_xlnm._FilterDatabase" localSheetId="1" hidden="1">Sheet2!$B$1:$B$213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4" l="1"/>
  <c r="P4" i="4"/>
  <c r="P3" i="4"/>
  <c r="N4" i="4"/>
  <c r="N5" i="4"/>
  <c r="N3" i="4"/>
  <c r="L13" i="4"/>
  <c r="L4" i="4"/>
  <c r="L3" i="4"/>
  <c r="K13" i="4"/>
  <c r="K3" i="4"/>
  <c r="K4" i="4"/>
  <c r="K6" i="4"/>
  <c r="K7" i="4"/>
  <c r="K8" i="4"/>
  <c r="K10" i="4"/>
  <c r="K12" i="4"/>
  <c r="K11" i="4"/>
  <c r="J4" i="4"/>
  <c r="J3" i="4"/>
  <c r="J12" i="4"/>
  <c r="J8" i="4"/>
  <c r="J11" i="4"/>
  <c r="J13" i="4"/>
  <c r="J9" i="4"/>
  <c r="J7" i="4"/>
  <c r="J6" i="4"/>
  <c r="H13" i="4"/>
  <c r="H8" i="4"/>
  <c r="H7" i="4"/>
  <c r="H6" i="4"/>
  <c r="G13" i="4"/>
  <c r="G8" i="4"/>
  <c r="G7" i="4"/>
  <c r="G10" i="4"/>
  <c r="G4" i="4"/>
  <c r="G6" i="4"/>
  <c r="G5" i="4"/>
  <c r="G3" i="4"/>
  <c r="G12" i="4"/>
  <c r="G11" i="4"/>
  <c r="G9" i="4"/>
  <c r="F12" i="4"/>
  <c r="F11" i="4"/>
  <c r="F7" i="4"/>
  <c r="F4" i="4"/>
  <c r="F3" i="4"/>
  <c r="F13" i="4"/>
  <c r="E8" i="4"/>
  <c r="E13" i="4"/>
  <c r="E12" i="4"/>
  <c r="E11" i="4"/>
  <c r="E7" i="4"/>
  <c r="D13" i="4"/>
  <c r="D12" i="4"/>
  <c r="D11" i="4"/>
  <c r="D10" i="4"/>
  <c r="D9" i="4"/>
  <c r="D8" i="4"/>
  <c r="D7" i="4"/>
  <c r="D6" i="4"/>
  <c r="D5" i="4"/>
  <c r="D4" i="4"/>
  <c r="D3" i="4"/>
  <c r="G34" i="1"/>
  <c r="H34" i="1"/>
  <c r="I34" i="1"/>
  <c r="J34" i="1"/>
  <c r="K34" i="1"/>
  <c r="L34" i="1"/>
  <c r="M34" i="1"/>
  <c r="N34" i="1"/>
  <c r="O34" i="1"/>
  <c r="P34" i="1"/>
  <c r="Q34" i="1"/>
  <c r="R34" i="1"/>
  <c r="F34" i="1"/>
  <c r="R29" i="1"/>
  <c r="R30" i="1"/>
  <c r="R31" i="1"/>
  <c r="Q29" i="1"/>
  <c r="Q30" i="1"/>
  <c r="Q31" i="1"/>
  <c r="P29" i="1"/>
  <c r="P30" i="1"/>
  <c r="P31" i="1"/>
  <c r="O29" i="1"/>
  <c r="O30" i="1"/>
  <c r="O31" i="1"/>
  <c r="N29" i="1"/>
  <c r="N30" i="1"/>
  <c r="N31" i="1"/>
  <c r="M29" i="1"/>
  <c r="M30" i="1"/>
  <c r="M31" i="1"/>
  <c r="L29" i="1"/>
  <c r="L30" i="1"/>
  <c r="L31" i="1"/>
  <c r="K29" i="1"/>
  <c r="K30" i="1"/>
  <c r="K31" i="1"/>
  <c r="J29" i="1"/>
  <c r="J30" i="1"/>
  <c r="J31" i="1"/>
  <c r="I29" i="1"/>
  <c r="I30" i="1"/>
  <c r="I31" i="1"/>
  <c r="H29" i="1"/>
  <c r="H30" i="1"/>
  <c r="H31" i="1"/>
  <c r="G29" i="1"/>
  <c r="G30" i="1"/>
  <c r="G31" i="1"/>
  <c r="R21" i="1"/>
  <c r="R22" i="1"/>
  <c r="R23" i="1"/>
  <c r="R24" i="1"/>
  <c r="R25" i="1"/>
  <c r="R26" i="1"/>
  <c r="R27" i="1"/>
  <c r="R20" i="1"/>
  <c r="Q21" i="1"/>
  <c r="Q22" i="1"/>
  <c r="Q23" i="1"/>
  <c r="Q24" i="1"/>
  <c r="Q25" i="1"/>
  <c r="Q26" i="1"/>
  <c r="Q27" i="1"/>
  <c r="Q20" i="1"/>
  <c r="P21" i="1"/>
  <c r="P22" i="1"/>
  <c r="P23" i="1"/>
  <c r="P24" i="1"/>
  <c r="P25" i="1"/>
  <c r="P26" i="1"/>
  <c r="P27" i="1"/>
  <c r="P20" i="1"/>
  <c r="O21" i="1"/>
  <c r="O22" i="1"/>
  <c r="O23" i="1"/>
  <c r="O24" i="1"/>
  <c r="O25" i="1"/>
  <c r="O26" i="1"/>
  <c r="O27" i="1"/>
  <c r="O20" i="1"/>
  <c r="N21" i="1"/>
  <c r="N22" i="1"/>
  <c r="N23" i="1"/>
  <c r="N24" i="1"/>
  <c r="N25" i="1"/>
  <c r="N26" i="1"/>
  <c r="N27" i="1"/>
  <c r="N20" i="1"/>
  <c r="M21" i="1"/>
  <c r="M22" i="1"/>
  <c r="M23" i="1"/>
  <c r="M24" i="1"/>
  <c r="M25" i="1"/>
  <c r="M26" i="1"/>
  <c r="M27" i="1"/>
  <c r="M20" i="1"/>
  <c r="L21" i="1"/>
  <c r="L22" i="1"/>
  <c r="L23" i="1"/>
  <c r="L24" i="1"/>
  <c r="L25" i="1"/>
  <c r="L26" i="1"/>
  <c r="L27" i="1"/>
  <c r="L20" i="1"/>
  <c r="K21" i="1"/>
  <c r="K22" i="1"/>
  <c r="K23" i="1"/>
  <c r="K24" i="1"/>
  <c r="K25" i="1"/>
  <c r="K26" i="1"/>
  <c r="K27" i="1"/>
  <c r="K20" i="1"/>
  <c r="J21" i="1"/>
  <c r="J22" i="1"/>
  <c r="J23" i="1"/>
  <c r="J24" i="1"/>
  <c r="J25" i="1"/>
  <c r="J26" i="1"/>
  <c r="J27" i="1"/>
  <c r="J20" i="1"/>
  <c r="I21" i="1"/>
  <c r="I22" i="1"/>
  <c r="I23" i="1"/>
  <c r="I24" i="1"/>
  <c r="I25" i="1"/>
  <c r="I26" i="1"/>
  <c r="I20" i="1"/>
  <c r="H21" i="1"/>
  <c r="H22" i="1"/>
  <c r="H23" i="1"/>
  <c r="H24" i="1"/>
  <c r="H25" i="1"/>
  <c r="H26" i="1"/>
  <c r="H27" i="1"/>
  <c r="H20" i="1"/>
  <c r="G21" i="1"/>
  <c r="G22" i="1"/>
  <c r="G23" i="1"/>
  <c r="G24" i="1"/>
  <c r="G25" i="1"/>
  <c r="G26" i="1"/>
  <c r="G27" i="1"/>
  <c r="G20" i="1"/>
  <c r="I27" i="1"/>
  <c r="F30" i="1"/>
  <c r="F31" i="1"/>
  <c r="F29" i="1"/>
  <c r="F21" i="1"/>
  <c r="F22" i="1"/>
  <c r="F23" i="1"/>
  <c r="F24" i="1"/>
  <c r="F25" i="1"/>
  <c r="F26" i="1"/>
  <c r="F27" i="1"/>
  <c r="F20" i="1"/>
  <c r="D76" i="3"/>
  <c r="D77" i="3"/>
  <c r="D75" i="3"/>
  <c r="D72" i="3"/>
  <c r="D73" i="3"/>
  <c r="D71" i="3"/>
  <c r="D68" i="3"/>
  <c r="D69" i="3"/>
  <c r="D67" i="3"/>
  <c r="D59" i="3"/>
  <c r="D60" i="3"/>
  <c r="D61" i="3"/>
  <c r="D62" i="3"/>
  <c r="D63" i="3"/>
  <c r="D64" i="3"/>
  <c r="D65" i="3"/>
  <c r="D66" i="3"/>
  <c r="D58" i="3"/>
  <c r="D52" i="3"/>
  <c r="D53" i="3"/>
  <c r="D54" i="3"/>
  <c r="D55" i="3"/>
  <c r="D56" i="3"/>
  <c r="D57" i="3"/>
  <c r="D51" i="3"/>
  <c r="D47" i="3"/>
  <c r="D48" i="3"/>
  <c r="D49" i="3"/>
  <c r="D46" i="3"/>
  <c r="D31" i="3"/>
  <c r="D32" i="3"/>
  <c r="D33" i="3"/>
  <c r="D34" i="3"/>
  <c r="D35" i="3"/>
  <c r="D36" i="3"/>
  <c r="D37" i="3"/>
  <c r="D38" i="3"/>
  <c r="D39" i="3"/>
  <c r="D43" i="3"/>
  <c r="D30" i="3"/>
  <c r="D24" i="3"/>
  <c r="D25" i="3"/>
  <c r="D26" i="3"/>
  <c r="D27" i="3"/>
  <c r="D28" i="3"/>
  <c r="D29" i="3"/>
  <c r="D23" i="3"/>
  <c r="D19" i="3"/>
  <c r="D20" i="3"/>
  <c r="D21" i="3"/>
  <c r="D22" i="3"/>
  <c r="D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2" i="3"/>
</calcChain>
</file>

<file path=xl/sharedStrings.xml><?xml version="1.0" encoding="utf-8"?>
<sst xmlns="http://schemas.openxmlformats.org/spreadsheetml/2006/main" count="657" uniqueCount="241">
  <si>
    <t>Wind Off</t>
  </si>
  <si>
    <t>Wind On</t>
  </si>
  <si>
    <t>Solar</t>
  </si>
  <si>
    <t>Nuclear</t>
  </si>
  <si>
    <t>CCGTCCS</t>
  </si>
  <si>
    <t>H2CCGT</t>
  </si>
  <si>
    <t>Battery</t>
  </si>
  <si>
    <t>FC</t>
  </si>
  <si>
    <t>ATRCCS</t>
  </si>
  <si>
    <t>SMRCCS</t>
  </si>
  <si>
    <t>BGCCS</t>
  </si>
  <si>
    <t>Al</t>
  </si>
  <si>
    <t>Co</t>
  </si>
  <si>
    <t>Cr</t>
  </si>
  <si>
    <t>Cu</t>
  </si>
  <si>
    <t>Fe</t>
  </si>
  <si>
    <t>Li</t>
  </si>
  <si>
    <t>Ni</t>
  </si>
  <si>
    <t>Mn</t>
  </si>
  <si>
    <t>Pb</t>
  </si>
  <si>
    <t>Si</t>
  </si>
  <si>
    <t>Sn</t>
  </si>
  <si>
    <t>Ti</t>
  </si>
  <si>
    <t>Zn</t>
  </si>
  <si>
    <t>Name</t>
  </si>
  <si>
    <t>Index</t>
  </si>
  <si>
    <t>Value</t>
  </si>
  <si>
    <t>CMD1</t>
  </si>
  <si>
    <t>('Al', 'SMRCCS', 2)</t>
  </si>
  <si>
    <t>('Al', 'SMRCCS', 4)</t>
  </si>
  <si>
    <t>('Al', 'SMRCCS', 6)</t>
  </si>
  <si>
    <t>('Al', 'ATRCCS', 2)</t>
  </si>
  <si>
    <t>('Al', 'ATRCCS', 4)</t>
  </si>
  <si>
    <t>('Al', 'ATRCCS', 6)</t>
  </si>
  <si>
    <t>('Al', 'BGCCS', 2)</t>
  </si>
  <si>
    <t>('Al', 'BGCCS', 4)</t>
  </si>
  <si>
    <t>('Al', 'BGCCS', 6)</t>
  </si>
  <si>
    <t>('Al', 'FC', 6)</t>
  </si>
  <si>
    <t>('Al', 'H2CCGT', 2)</t>
  </si>
  <si>
    <t>('Al', 'H2CCGT', 4)</t>
  </si>
  <si>
    <t>('Al', 'H2CCGT', 6)</t>
  </si>
  <si>
    <t>('Al', 'Nuclear', 2)</t>
  </si>
  <si>
    <t>('Al', 'Nuclear', 4)</t>
  </si>
  <si>
    <t>('Al', 'Nuclear', 6)</t>
  </si>
  <si>
    <t>('Al', 'CCGTCCS', 2)</t>
  </si>
  <si>
    <t>('Al', 'CCGTCCS', 4)</t>
  </si>
  <si>
    <t>('Al', 'CCGTCCS', 6)</t>
  </si>
  <si>
    <t>('Al', 'WindOn', 2)</t>
  </si>
  <si>
    <t>('Al', 'WindOn', 4)</t>
  </si>
  <si>
    <t>('Al', 'WindOn', 6)</t>
  </si>
  <si>
    <t>('Al', 'WindOff', 4)</t>
  </si>
  <si>
    <t>('Al', 'WindOff', 6)</t>
  </si>
  <si>
    <t>('Al', 'Solar', 2)</t>
  </si>
  <si>
    <t>('Al', 'Solar', 4)</t>
  </si>
  <si>
    <t>('Al', 'Solar', 6)</t>
  </si>
  <si>
    <t>('Al', 'MPSV', 2)</t>
  </si>
  <si>
    <t>('Al', 'MPSV', 4)</t>
  </si>
  <si>
    <t>('Al', 'MPSV', 6)</t>
  </si>
  <si>
    <t>('Al', 'HPSV', 6)</t>
  </si>
  <si>
    <t>('Al', 'OnTeeside', 6)</t>
  </si>
  <si>
    <t>('Al', 'OnChesire', 2)</t>
  </si>
  <si>
    <t>('Al', 'OnYorkshire', 2)</t>
  </si>
  <si>
    <t>('Al', 'OffIrishSea', 2)</t>
  </si>
  <si>
    <t>('Al', 'LeadBat', 2)</t>
  </si>
  <si>
    <t>('Al', 'LeadBat', 4)</t>
  </si>
  <si>
    <t>('Al', 'LeadBat', 6)</t>
  </si>
  <si>
    <t>('Al', 'HyBoiler', 2)</t>
  </si>
  <si>
    <t>('Al', 'HyBoiler', 4)</t>
  </si>
  <si>
    <t>('Al', 'HyBoiler', 6)</t>
  </si>
  <si>
    <t>('Al', 'ASHP', 2)</t>
  </si>
  <si>
    <t>('Al', 'ASHP', 4)</t>
  </si>
  <si>
    <t>('Al', 'ASHP', 6)</t>
  </si>
  <si>
    <t>('Co', 'SMRCCS', 2)</t>
  </si>
  <si>
    <t>('Co', 'SMRCCS', 4)</t>
  </si>
  <si>
    <t>('Co', 'SMRCCS', 6)</t>
  </si>
  <si>
    <t>('Co', 'ATRCCS', 2)</t>
  </si>
  <si>
    <t>('Co', 'ATRCCS', 4)</t>
  </si>
  <si>
    <t>('Co', 'ATRCCS', 6)</t>
  </si>
  <si>
    <t>('Co', 'BGCCS', 2)</t>
  </si>
  <si>
    <t>('Co', 'BGCCS', 4)</t>
  </si>
  <si>
    <t>('Co', 'BGCCS', 6)</t>
  </si>
  <si>
    <t>('Co', 'H2CCGT', 2)</t>
  </si>
  <si>
    <t>('Co', 'H2CCGT', 4)</t>
  </si>
  <si>
    <t>('Co', 'H2CCGT', 6)</t>
  </si>
  <si>
    <t>('Co', 'CCGTCCS', 2)</t>
  </si>
  <si>
    <t>('Co', 'CCGTCCS', 4)</t>
  </si>
  <si>
    <t>('Co', 'CCGTCCS', 6)</t>
  </si>
  <si>
    <t>('Cr', 'SMRCCS', 2)</t>
  </si>
  <si>
    <t>('Cr', 'SMRCCS', 4)</t>
  </si>
  <si>
    <t>('Cr', 'SMRCCS', 6)</t>
  </si>
  <si>
    <t>('Cr', 'ATRCCS', 2)</t>
  </si>
  <si>
    <t>('Cr', 'ATRCCS', 4)</t>
  </si>
  <si>
    <t>('Cr', 'ATRCCS', 6)</t>
  </si>
  <si>
    <t>('Cr', 'BGCCS', 2)</t>
  </si>
  <si>
    <t>('Cr', 'BGCCS', 4)</t>
  </si>
  <si>
    <t>('Cr', 'BGCCS', 6)</t>
  </si>
  <si>
    <t>('Cr', 'Nuclear', 2)</t>
  </si>
  <si>
    <t>('Cr', 'Nuclear', 4)</t>
  </si>
  <si>
    <t>('Cr', 'Nuclear', 6)</t>
  </si>
  <si>
    <t>('Cr', 'CCGTCCS', 2)</t>
  </si>
  <si>
    <t>('Cr', 'CCGTCCS', 4)</t>
  </si>
  <si>
    <t>('Cr', 'CCGTCCS', 6)</t>
  </si>
  <si>
    <t>('Cr', 'WindOn', 2)</t>
  </si>
  <si>
    <t>('Cr', 'WindOn', 4)</t>
  </si>
  <si>
    <t>('Cr', 'WindOn', 6)</t>
  </si>
  <si>
    <t>('Cr', 'WindOff', 4)</t>
  </si>
  <si>
    <t>('Cr', 'WindOff', 6)</t>
  </si>
  <si>
    <t>('Cu', 'SMRCCS', 2)</t>
  </si>
  <si>
    <t>('Cu', 'SMRCCS', 4)</t>
  </si>
  <si>
    <t>('Cu', 'SMRCCS', 6)</t>
  </si>
  <si>
    <t>('Cu', 'ATRCCS', 2)</t>
  </si>
  <si>
    <t>('Cu', 'ATRCCS', 4)</t>
  </si>
  <si>
    <t>('Cu', 'ATRCCS', 6)</t>
  </si>
  <si>
    <t>('Cu', 'BGCCS', 2)</t>
  </si>
  <si>
    <t>('Cu', 'BGCCS', 4)</t>
  </si>
  <si>
    <t>('Cu', 'BGCCS', 6)</t>
  </si>
  <si>
    <t>('Cu', 'FC', 6)</t>
  </si>
  <si>
    <t>('Cu', 'H2CCGT', 2)</t>
  </si>
  <si>
    <t>('Cu', 'H2CCGT', 4)</t>
  </si>
  <si>
    <t>('Cu', 'H2CCGT', 6)</t>
  </si>
  <si>
    <t>('Cu', 'Nuclear', 2)</t>
  </si>
  <si>
    <t>('Cu', 'Nuclear', 4)</t>
  </si>
  <si>
    <t>('Cu', 'Nuclear', 6)</t>
  </si>
  <si>
    <t>('Cu', 'CCGTCCS', 2)</t>
  </si>
  <si>
    <t>('Cu', 'CCGTCCS', 4)</t>
  </si>
  <si>
    <t>('Cu', 'CCGTCCS', 6)</t>
  </si>
  <si>
    <t>('Cu', 'WindOn', 2)</t>
  </si>
  <si>
    <t>('Cu', 'WindOn', 4)</t>
  </si>
  <si>
    <t>('Cu', 'WindOn', 6)</t>
  </si>
  <si>
    <t>('Cu', 'WindOff', 4)</t>
  </si>
  <si>
    <t>('Cu', 'WindOff', 6)</t>
  </si>
  <si>
    <t>('Cu', 'Solar', 2)</t>
  </si>
  <si>
    <t>('Cu', 'Solar', 4)</t>
  </si>
  <si>
    <t>('Cu', 'Solar', 6)</t>
  </si>
  <si>
    <t>('Cu', 'MPSV', 2)</t>
  </si>
  <si>
    <t>('Cu', 'MPSV', 4)</t>
  </si>
  <si>
    <t>('Cu', 'MPSV', 6)</t>
  </si>
  <si>
    <t>('Cu', 'HPSV', 6)</t>
  </si>
  <si>
    <t>('Cu', 'OnTeeside', 6)</t>
  </si>
  <si>
    <t>('Cu', 'OnChesire', 2)</t>
  </si>
  <si>
    <t>('Cu', 'OnYorkshire', 2)</t>
  </si>
  <si>
    <t>('Cu', 'OffIrishSea', 2)</t>
  </si>
  <si>
    <t>('Cu', 'LeadBat', 2)</t>
  </si>
  <si>
    <t>('Cu', 'LeadBat', 4)</t>
  </si>
  <si>
    <t>('Cu', 'LeadBat', 6)</t>
  </si>
  <si>
    <t>('Cu', 'HyBoiler', 2)</t>
  </si>
  <si>
    <t>('Cu', 'HyBoiler', 4)</t>
  </si>
  <si>
    <t>('Cu', 'HyBoiler', 6)</t>
  </si>
  <si>
    <t>('Cu', 'ASHP', 2)</t>
  </si>
  <si>
    <t>('Cu', 'ASHP', 4)</t>
  </si>
  <si>
    <t>('Cu', 'ASHP', 6)</t>
  </si>
  <si>
    <t>('Fe', 'BGCCS', 2)</t>
  </si>
  <si>
    <t>('Fe', 'BGCCS', 4)</t>
  </si>
  <si>
    <t>('Fe', 'BGCCS', 6)</t>
  </si>
  <si>
    <t>('Fe', 'H2CCGT', 2)</t>
  </si>
  <si>
    <t>('Fe', 'H2CCGT', 4)</t>
  </si>
  <si>
    <t>('Fe', 'H2CCGT', 6)</t>
  </si>
  <si>
    <t>('Fe', 'Nuclear', 2)</t>
  </si>
  <si>
    <t>('Fe', 'Nuclear', 4)</t>
  </si>
  <si>
    <t>('Fe', 'Nuclear', 6)</t>
  </si>
  <si>
    <t>('Fe', 'CCGTCCS', 2)</t>
  </si>
  <si>
    <t>('Fe', 'CCGTCCS', 4)</t>
  </si>
  <si>
    <t>('Fe', 'CCGTCCS', 6)</t>
  </si>
  <si>
    <t>('Li', 'LeadBat', 2)</t>
  </si>
  <si>
    <t>('Li', 'LeadBat', 4)</t>
  </si>
  <si>
    <t>('Li', 'LeadBat', 6)</t>
  </si>
  <si>
    <t>('Mn', 'SMRCCS', 2)</t>
  </si>
  <si>
    <t>('Mn', 'SMRCCS', 4)</t>
  </si>
  <si>
    <t>('Mn', 'SMRCCS', 6)</t>
  </si>
  <si>
    <t>('Mn', 'ATRCCS', 2)</t>
  </si>
  <si>
    <t>('Mn', 'ATRCCS', 4)</t>
  </si>
  <si>
    <t>('Mn', 'ATRCCS', 6)</t>
  </si>
  <si>
    <t>('Mn', 'BGCCS', 2)</t>
  </si>
  <si>
    <t>('Mn', 'BGCCS', 4)</t>
  </si>
  <si>
    <t>('Mn', 'BGCCS', 6)</t>
  </si>
  <si>
    <t>('Mn', 'Nuclear', 2)</t>
  </si>
  <si>
    <t>('Mn', 'Nuclear', 4)</t>
  </si>
  <si>
    <t>('Mn', 'Nuclear', 6)</t>
  </si>
  <si>
    <t>('Mn', 'CCGTCCS', 2)</t>
  </si>
  <si>
    <t>('Mn', 'CCGTCCS', 4)</t>
  </si>
  <si>
    <t>('Mn', 'CCGTCCS', 6)</t>
  </si>
  <si>
    <t>('Mn', 'WindOn', 2)</t>
  </si>
  <si>
    <t>('Mn', 'WindOn', 4)</t>
  </si>
  <si>
    <t>('Mn', 'WindOn', 6)</t>
  </si>
  <si>
    <t>('Mn', 'WindOff', 4)</t>
  </si>
  <si>
    <t>('Mn', 'WindOff', 6)</t>
  </si>
  <si>
    <t>('Ni', 'SMRCCS', 2)</t>
  </si>
  <si>
    <t>('Ni', 'SMRCCS', 4)</t>
  </si>
  <si>
    <t>('Ni', 'SMRCCS', 6)</t>
  </si>
  <si>
    <t>('Ni', 'ATRCCS', 2)</t>
  </si>
  <si>
    <t>('Ni', 'ATRCCS', 4)</t>
  </si>
  <si>
    <t>('Ni', 'ATRCCS', 6)</t>
  </si>
  <si>
    <t>('Ni', 'BGCCS', 2)</t>
  </si>
  <si>
    <t>('Ni', 'BGCCS', 4)</t>
  </si>
  <si>
    <t>('Ni', 'BGCCS', 6)</t>
  </si>
  <si>
    <t>('Ni', 'FC', 6)</t>
  </si>
  <si>
    <t>('Ni', 'H2CCGT', 2)</t>
  </si>
  <si>
    <t>('Ni', 'H2CCGT', 4)</t>
  </si>
  <si>
    <t>('Ni', 'H2CCGT', 6)</t>
  </si>
  <si>
    <t>('Ni', 'Nuclear', 2)</t>
  </si>
  <si>
    <t>('Ni', 'Nuclear', 4)</t>
  </si>
  <si>
    <t>('Ni', 'Nuclear', 6)</t>
  </si>
  <si>
    <t>('Ni', 'CCGTCCS', 2)</t>
  </si>
  <si>
    <t>('Ni', 'CCGTCCS', 4)</t>
  </si>
  <si>
    <t>('Ni', 'CCGTCCS', 6)</t>
  </si>
  <si>
    <t>('Ni', 'WindOn', 2)</t>
  </si>
  <si>
    <t>('Ni', 'WindOn', 4)</t>
  </si>
  <si>
    <t>('Ni', 'WindOn', 6)</t>
  </si>
  <si>
    <t>('Ni', 'WindOff', 4)</t>
  </si>
  <si>
    <t>('Ni', 'WindOff', 6)</t>
  </si>
  <si>
    <t>('Pb', 'BGCCS', 2)</t>
  </si>
  <si>
    <t>('Pb', 'BGCCS', 4)</t>
  </si>
  <si>
    <t>('Pb', 'BGCCS', 6)</t>
  </si>
  <si>
    <t>('Pb', 'WindOn', 2)</t>
  </si>
  <si>
    <t>('Pb', 'WindOn', 4)</t>
  </si>
  <si>
    <t>('Pb', 'WindOn', 6)</t>
  </si>
  <si>
    <t>('Pb', 'WindOff', 4)</t>
  </si>
  <si>
    <t>('Pb', 'WindOff', 6)</t>
  </si>
  <si>
    <t>('Si', 'Solar', 2)</t>
  </si>
  <si>
    <t>('Si', 'Solar', 4)</t>
  </si>
  <si>
    <t>('Si', 'Solar', 6)</t>
  </si>
  <si>
    <t>('Sn', 'WindOn', 2)</t>
  </si>
  <si>
    <t>('Sn', 'WindOn', 4)</t>
  </si>
  <si>
    <t>('Sn', 'WindOn', 6)</t>
  </si>
  <si>
    <t>('Sn', 'WindOff', 4)</t>
  </si>
  <si>
    <t>('Sn', 'WindOff', 6)</t>
  </si>
  <si>
    <t>('Sn', 'Solar', 2)</t>
  </si>
  <si>
    <t>('Sn', 'Solar', 4)</t>
  </si>
  <si>
    <t>('Sn', 'Solar', 6)</t>
  </si>
  <si>
    <t>('Ti', 'BGCCS', 2)</t>
  </si>
  <si>
    <t>('Ti', 'BGCCS', 4)</t>
  </si>
  <si>
    <t>('Ti', 'BGCCS', 6)</t>
  </si>
  <si>
    <t>('Zn', 'BGCCS', 2)</t>
  </si>
  <si>
    <t>('Zn', 'BGCCS', 4)</t>
  </si>
  <si>
    <t>('Zn', 'BGCCS', 6)</t>
  </si>
  <si>
    <t>('Zn', 'WindOn', 2)</t>
  </si>
  <si>
    <t>('Zn', 'WindOn', 4)</t>
  </si>
  <si>
    <t>('Zn', 'WindOn', 6)</t>
  </si>
  <si>
    <t>('Zn', 'WindOff', 4)</t>
  </si>
  <si>
    <t>('Zn', 'WindOff', 6)</t>
  </si>
  <si>
    <t>Total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</si>
</sst>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9" fontId="0" fillId="0" borderId="0" xfId="1" applyFont="1"/>
    <xf numFmtId="0" fontId="2" fillId="0" borderId="0" xfId="2"/>
    <xf numFmtId="0" fontId="3" fillId="0" borderId="1" xfId="2" applyFont="1" applyBorder="1" applyAlignment="1">
      <alignment horizontal="center" vertical="top"/>
    </xf>
  </cellXfs>
  <cellStyles count="3">
    <cellStyle name="Normal" xfId="0" builtinId="0"/>
    <cellStyle name="Normal 2" xfId="2" xr:uid="{B0198F05-3604-4DDF-BCD8-F32D487A3F7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9D24-232D-4E87-B171-DD3FC258BB91}">
  <dimension ref="B2:R34"/>
  <sheetViews>
    <sheetView workbookViewId="0">
      <selection activeCell="B15" sqref="B15:B17"/>
    </sheetView>
  </sheetViews>
  <sheetFormatPr defaultRowHeight="15" x14ac:dyDescent="0.25"/>
  <sheetData>
    <row r="2" spans="2:18" x14ac:dyDescent="0.25"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18</v>
      </c>
      <c r="M2" t="s">
        <v>17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</row>
    <row r="3" spans="2:18" x14ac:dyDescent="0.25">
      <c r="B3" t="s">
        <v>0</v>
      </c>
      <c r="C3" s="1">
        <v>0.32</v>
      </c>
      <c r="D3">
        <v>8</v>
      </c>
      <c r="F3">
        <v>0.03</v>
      </c>
      <c r="G3">
        <v>0</v>
      </c>
      <c r="H3">
        <v>0.41199999999999998</v>
      </c>
      <c r="I3">
        <v>0.13500000000000001</v>
      </c>
      <c r="J3">
        <v>0</v>
      </c>
      <c r="K3">
        <v>0</v>
      </c>
      <c r="L3">
        <v>0.01</v>
      </c>
      <c r="M3">
        <v>2.5999999999999999E-2</v>
      </c>
      <c r="N3">
        <v>0.79</v>
      </c>
      <c r="O3">
        <v>0</v>
      </c>
      <c r="P3">
        <v>0.42199999999999999</v>
      </c>
      <c r="Q3">
        <v>0</v>
      </c>
      <c r="R3">
        <v>0.79</v>
      </c>
    </row>
    <row r="4" spans="2:18" x14ac:dyDescent="0.25">
      <c r="B4" t="s">
        <v>1</v>
      </c>
      <c r="C4" s="1">
        <v>0.11</v>
      </c>
      <c r="D4">
        <v>4</v>
      </c>
      <c r="F4">
        <v>5.0000000000000001E-3</v>
      </c>
      <c r="G4">
        <v>0</v>
      </c>
      <c r="H4">
        <v>0.106</v>
      </c>
      <c r="I4">
        <v>3.4000000000000002E-2</v>
      </c>
      <c r="J4">
        <v>0</v>
      </c>
      <c r="K4">
        <v>0</v>
      </c>
      <c r="L4">
        <v>2E-3</v>
      </c>
      <c r="M4">
        <v>6.7999999999999996E-3</v>
      </c>
      <c r="N4">
        <v>0.2</v>
      </c>
      <c r="O4">
        <v>0</v>
      </c>
      <c r="P4">
        <v>0.11</v>
      </c>
      <c r="Q4">
        <v>0</v>
      </c>
      <c r="R4">
        <v>0.20300000000000001</v>
      </c>
    </row>
    <row r="5" spans="2:18" x14ac:dyDescent="0.25">
      <c r="B5" t="s">
        <v>2</v>
      </c>
      <c r="C5" s="1">
        <v>0.11</v>
      </c>
      <c r="D5">
        <v>4</v>
      </c>
      <c r="F5">
        <v>0.56000000000000005</v>
      </c>
      <c r="G5">
        <v>0</v>
      </c>
      <c r="H5">
        <v>0</v>
      </c>
      <c r="I5">
        <v>0.23899999999999999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0.46400000000000002</v>
      </c>
      <c r="Q5">
        <v>0</v>
      </c>
      <c r="R5">
        <v>0</v>
      </c>
    </row>
    <row r="6" spans="2:18" x14ac:dyDescent="0.25">
      <c r="B6" t="s">
        <v>3</v>
      </c>
      <c r="C6" s="1">
        <v>0.24</v>
      </c>
      <c r="D6">
        <v>6</v>
      </c>
      <c r="F6">
        <v>8.0000000000000002E-3</v>
      </c>
      <c r="G6">
        <v>0</v>
      </c>
      <c r="H6">
        <v>0</v>
      </c>
      <c r="I6">
        <v>1.47E-2</v>
      </c>
      <c r="J6">
        <v>0.28999999999999998</v>
      </c>
      <c r="K6">
        <v>0</v>
      </c>
      <c r="L6">
        <v>0.03</v>
      </c>
      <c r="M6">
        <v>7.0000000000000001E-3</v>
      </c>
      <c r="N6">
        <v>0</v>
      </c>
      <c r="O6">
        <v>0</v>
      </c>
      <c r="P6">
        <v>0</v>
      </c>
      <c r="Q6">
        <v>0</v>
      </c>
      <c r="R6">
        <v>0</v>
      </c>
    </row>
    <row r="7" spans="2:18" x14ac:dyDescent="0.25">
      <c r="B7" t="s">
        <v>4</v>
      </c>
      <c r="C7" s="1">
        <v>9.4E-2</v>
      </c>
      <c r="D7">
        <v>3</v>
      </c>
      <c r="F7">
        <v>5.0000000000000001E-3</v>
      </c>
      <c r="G7">
        <v>0.17299999999999999</v>
      </c>
      <c r="H7">
        <v>4.2000000000000003E-2</v>
      </c>
      <c r="I7">
        <v>2.1999999999999999E-2</v>
      </c>
      <c r="J7">
        <v>0.17599999999999999</v>
      </c>
      <c r="K7">
        <v>0</v>
      </c>
      <c r="L7">
        <v>0.1</v>
      </c>
      <c r="M7">
        <v>1.4999999999999999E-2</v>
      </c>
      <c r="N7">
        <v>0</v>
      </c>
      <c r="O7">
        <v>0</v>
      </c>
      <c r="P7">
        <v>0</v>
      </c>
      <c r="Q7">
        <v>0</v>
      </c>
      <c r="R7">
        <v>0</v>
      </c>
    </row>
    <row r="8" spans="2:18" x14ac:dyDescent="0.25">
      <c r="B8" t="s">
        <v>5</v>
      </c>
      <c r="C8" s="1">
        <v>0.01</v>
      </c>
      <c r="D8">
        <v>1</v>
      </c>
      <c r="F8">
        <v>0.01</v>
      </c>
      <c r="G8">
        <v>0.21</v>
      </c>
      <c r="H8">
        <v>0</v>
      </c>
      <c r="I8">
        <v>3.9E-2</v>
      </c>
      <c r="J8">
        <v>0.35</v>
      </c>
      <c r="K8">
        <v>0</v>
      </c>
      <c r="L8">
        <v>0</v>
      </c>
      <c r="M8">
        <v>3.0000000000000001E-3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x14ac:dyDescent="0.25">
      <c r="B9" t="s">
        <v>6</v>
      </c>
      <c r="C9" s="1">
        <v>0.08</v>
      </c>
      <c r="D9">
        <v>3</v>
      </c>
      <c r="F9">
        <v>0.32</v>
      </c>
      <c r="G9">
        <v>0</v>
      </c>
      <c r="H9">
        <v>0</v>
      </c>
      <c r="I9">
        <v>0.313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x14ac:dyDescent="0.25">
      <c r="B10" t="s">
        <v>7</v>
      </c>
      <c r="C10" s="1">
        <v>1E-3</v>
      </c>
      <c r="D10">
        <v>0</v>
      </c>
      <c r="F10">
        <v>5.0000000000000001E-3</v>
      </c>
      <c r="G10">
        <v>0</v>
      </c>
      <c r="H10">
        <v>0</v>
      </c>
      <c r="I10">
        <v>1.0999999999999999E-2</v>
      </c>
      <c r="J10">
        <v>0</v>
      </c>
      <c r="K10">
        <v>0</v>
      </c>
      <c r="L10">
        <v>0</v>
      </c>
      <c r="M10">
        <v>0.128</v>
      </c>
      <c r="N10">
        <v>0</v>
      </c>
      <c r="O10">
        <v>0</v>
      </c>
      <c r="P10">
        <v>0</v>
      </c>
      <c r="Q10">
        <v>0</v>
      </c>
      <c r="R10">
        <v>0</v>
      </c>
    </row>
    <row r="15" spans="2:18" x14ac:dyDescent="0.25">
      <c r="B15" t="s">
        <v>8</v>
      </c>
      <c r="C15" s="1">
        <v>0.72</v>
      </c>
      <c r="D15">
        <v>10</v>
      </c>
      <c r="F15">
        <v>2.3E-2</v>
      </c>
      <c r="G15">
        <v>0.27300000000000002</v>
      </c>
      <c r="H15">
        <v>0.17100000000000001</v>
      </c>
      <c r="I15">
        <v>8.4000000000000005E-2</v>
      </c>
      <c r="J15">
        <v>0</v>
      </c>
      <c r="K15">
        <v>0</v>
      </c>
      <c r="L15">
        <v>0.4</v>
      </c>
      <c r="M15">
        <v>0.4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x14ac:dyDescent="0.25">
      <c r="B16" t="s">
        <v>9</v>
      </c>
      <c r="C16" s="1">
        <v>9.6000000000000002E-2</v>
      </c>
      <c r="D16">
        <v>3</v>
      </c>
      <c r="F16">
        <v>2.1999999999999999E-2</v>
      </c>
      <c r="G16">
        <v>0.26600000000000001</v>
      </c>
      <c r="H16">
        <v>0.16700000000000001</v>
      </c>
      <c r="I16">
        <v>8.1000000000000003E-2</v>
      </c>
      <c r="J16">
        <v>0</v>
      </c>
      <c r="K16">
        <v>0</v>
      </c>
      <c r="L16">
        <v>0.39</v>
      </c>
      <c r="M16">
        <v>0.4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2:18" x14ac:dyDescent="0.25">
      <c r="B17" t="s">
        <v>10</v>
      </c>
      <c r="C17" s="1">
        <v>0.18</v>
      </c>
      <c r="D17">
        <v>4</v>
      </c>
      <c r="F17">
        <v>7.0000000000000001E-3</v>
      </c>
      <c r="G17">
        <v>7.4999999999999997E-2</v>
      </c>
      <c r="H17">
        <v>2.5999999999999999E-2</v>
      </c>
      <c r="I17">
        <v>2.1999999999999999E-2</v>
      </c>
      <c r="J17">
        <v>0.17299999999999999</v>
      </c>
      <c r="K17">
        <v>0</v>
      </c>
      <c r="L17">
        <v>0.06</v>
      </c>
      <c r="M17">
        <v>8.0000000000000002E-3</v>
      </c>
      <c r="N17">
        <v>4.0000000000000001E-3</v>
      </c>
      <c r="O17">
        <v>0</v>
      </c>
      <c r="P17">
        <v>0</v>
      </c>
      <c r="Q17">
        <v>1</v>
      </c>
      <c r="R17">
        <v>7.4000000000000003E-3</v>
      </c>
    </row>
    <row r="19" spans="2:18" x14ac:dyDescent="0.25">
      <c r="F19" t="s">
        <v>11</v>
      </c>
      <c r="G19" t="s">
        <v>12</v>
      </c>
      <c r="H19" t="s">
        <v>13</v>
      </c>
      <c r="I19" t="s">
        <v>14</v>
      </c>
      <c r="J19" t="s">
        <v>15</v>
      </c>
      <c r="K19" t="s">
        <v>16</v>
      </c>
      <c r="L19" t="s">
        <v>18</v>
      </c>
      <c r="M19" t="s">
        <v>17</v>
      </c>
      <c r="N19" t="s">
        <v>19</v>
      </c>
      <c r="O19" t="s">
        <v>20</v>
      </c>
      <c r="P19" t="s">
        <v>21</v>
      </c>
      <c r="Q19" t="s">
        <v>22</v>
      </c>
      <c r="R19" t="s">
        <v>23</v>
      </c>
    </row>
    <row r="20" spans="2:18" x14ac:dyDescent="0.25">
      <c r="F20">
        <f>F3*D3</f>
        <v>0.24</v>
      </c>
      <c r="G20">
        <f>G3*D3</f>
        <v>0</v>
      </c>
      <c r="H20">
        <f>H3*D3</f>
        <v>3.2959999999999998</v>
      </c>
      <c r="I20">
        <f>I3*D3</f>
        <v>1.08</v>
      </c>
      <c r="J20">
        <f>J3*D3</f>
        <v>0</v>
      </c>
      <c r="K20">
        <f>K3*D3</f>
        <v>0</v>
      </c>
      <c r="L20">
        <f>L3*D3</f>
        <v>0.08</v>
      </c>
      <c r="M20">
        <f>M3*D3</f>
        <v>0.20799999999999999</v>
      </c>
      <c r="N20">
        <f>N3*D3</f>
        <v>6.32</v>
      </c>
      <c r="O20">
        <f>O3*D3</f>
        <v>0</v>
      </c>
      <c r="P20">
        <f>P3*D3</f>
        <v>3.3759999999999999</v>
      </c>
      <c r="Q20">
        <f>Q3*D3</f>
        <v>0</v>
      </c>
      <c r="R20">
        <f>R3*D3</f>
        <v>6.32</v>
      </c>
    </row>
    <row r="21" spans="2:18" x14ac:dyDescent="0.25">
      <c r="F21">
        <f t="shared" ref="F21:F27" si="0">F4*D4</f>
        <v>0.02</v>
      </c>
      <c r="G21">
        <f t="shared" ref="G21:G27" si="1">G4*D4</f>
        <v>0</v>
      </c>
      <c r="H21">
        <f t="shared" ref="H21:H27" si="2">H4*D4</f>
        <v>0.42399999999999999</v>
      </c>
      <c r="I21">
        <f t="shared" ref="I21:I26" si="3">I4*D4</f>
        <v>0.13600000000000001</v>
      </c>
      <c r="J21">
        <f t="shared" ref="J21:J27" si="4">J4*D4</f>
        <v>0</v>
      </c>
      <c r="K21">
        <f t="shared" ref="K21:K27" si="5">K4*D4</f>
        <v>0</v>
      </c>
      <c r="L21">
        <f t="shared" ref="L21:L27" si="6">L4*D4</f>
        <v>8.0000000000000002E-3</v>
      </c>
      <c r="M21">
        <f t="shared" ref="M21:M27" si="7">M4*D4</f>
        <v>2.7199999999999998E-2</v>
      </c>
      <c r="N21">
        <f t="shared" ref="N21:N27" si="8">N4*D4</f>
        <v>0.8</v>
      </c>
      <c r="O21">
        <f t="shared" ref="O21:O27" si="9">O4*D4</f>
        <v>0</v>
      </c>
      <c r="P21">
        <f t="shared" ref="P21:P27" si="10">P4*D4</f>
        <v>0.44</v>
      </c>
      <c r="Q21">
        <f t="shared" ref="Q21:Q27" si="11">Q4*D4</f>
        <v>0</v>
      </c>
      <c r="R21">
        <f t="shared" ref="R21:R27" si="12">R4*D4</f>
        <v>0.81200000000000006</v>
      </c>
    </row>
    <row r="22" spans="2:18" x14ac:dyDescent="0.25">
      <c r="F22">
        <f t="shared" si="0"/>
        <v>2.2400000000000002</v>
      </c>
      <c r="G22">
        <f t="shared" si="1"/>
        <v>0</v>
      </c>
      <c r="H22">
        <f t="shared" si="2"/>
        <v>0</v>
      </c>
      <c r="I22">
        <f t="shared" si="3"/>
        <v>0.95599999999999996</v>
      </c>
      <c r="J22">
        <f t="shared" si="4"/>
        <v>0</v>
      </c>
      <c r="K22">
        <f t="shared" si="5"/>
        <v>0</v>
      </c>
      <c r="L22">
        <f t="shared" si="6"/>
        <v>0</v>
      </c>
      <c r="M22">
        <f t="shared" si="7"/>
        <v>0</v>
      </c>
      <c r="N22">
        <f t="shared" si="8"/>
        <v>0</v>
      </c>
      <c r="O22">
        <f t="shared" si="9"/>
        <v>4</v>
      </c>
      <c r="P22">
        <f t="shared" si="10"/>
        <v>1.8560000000000001</v>
      </c>
      <c r="Q22">
        <f t="shared" si="11"/>
        <v>0</v>
      </c>
      <c r="R22">
        <f t="shared" si="12"/>
        <v>0</v>
      </c>
    </row>
    <row r="23" spans="2:18" x14ac:dyDescent="0.25">
      <c r="F23">
        <f t="shared" si="0"/>
        <v>4.8000000000000001E-2</v>
      </c>
      <c r="G23">
        <f t="shared" si="1"/>
        <v>0</v>
      </c>
      <c r="H23">
        <f t="shared" si="2"/>
        <v>0</v>
      </c>
      <c r="I23">
        <f t="shared" si="3"/>
        <v>8.8200000000000001E-2</v>
      </c>
      <c r="J23">
        <f t="shared" si="4"/>
        <v>1.7399999999999998</v>
      </c>
      <c r="K23">
        <f t="shared" si="5"/>
        <v>0</v>
      </c>
      <c r="L23">
        <f t="shared" si="6"/>
        <v>0.18</v>
      </c>
      <c r="M23">
        <f t="shared" si="7"/>
        <v>4.2000000000000003E-2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2:18" x14ac:dyDescent="0.25">
      <c r="F24">
        <f t="shared" si="0"/>
        <v>1.4999999999999999E-2</v>
      </c>
      <c r="G24">
        <f t="shared" si="1"/>
        <v>0.51899999999999991</v>
      </c>
      <c r="H24">
        <f t="shared" si="2"/>
        <v>0.126</v>
      </c>
      <c r="I24">
        <f t="shared" si="3"/>
        <v>6.6000000000000003E-2</v>
      </c>
      <c r="J24">
        <f t="shared" si="4"/>
        <v>0.52800000000000002</v>
      </c>
      <c r="K24">
        <f t="shared" si="5"/>
        <v>0</v>
      </c>
      <c r="L24">
        <f t="shared" si="6"/>
        <v>0.30000000000000004</v>
      </c>
      <c r="M24">
        <f t="shared" si="7"/>
        <v>4.4999999999999998E-2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2:18" x14ac:dyDescent="0.25">
      <c r="F25">
        <f t="shared" si="0"/>
        <v>0.01</v>
      </c>
      <c r="G25">
        <f t="shared" si="1"/>
        <v>0.21</v>
      </c>
      <c r="H25">
        <f t="shared" si="2"/>
        <v>0</v>
      </c>
      <c r="I25">
        <f t="shared" si="3"/>
        <v>3.9E-2</v>
      </c>
      <c r="J25">
        <f t="shared" si="4"/>
        <v>0.35</v>
      </c>
      <c r="K25">
        <f t="shared" si="5"/>
        <v>0</v>
      </c>
      <c r="L25">
        <f t="shared" si="6"/>
        <v>0</v>
      </c>
      <c r="M25">
        <f t="shared" si="7"/>
        <v>3.0000000000000001E-3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2:18" x14ac:dyDescent="0.25">
      <c r="F26">
        <f t="shared" si="0"/>
        <v>0.96</v>
      </c>
      <c r="G26">
        <f t="shared" si="1"/>
        <v>0</v>
      </c>
      <c r="H26">
        <f t="shared" si="2"/>
        <v>0</v>
      </c>
      <c r="I26">
        <f t="shared" si="3"/>
        <v>0.93900000000000006</v>
      </c>
      <c r="J26">
        <f t="shared" si="4"/>
        <v>0</v>
      </c>
      <c r="K26">
        <f t="shared" si="5"/>
        <v>3</v>
      </c>
      <c r="L26">
        <f t="shared" si="6"/>
        <v>0</v>
      </c>
      <c r="M26">
        <f t="shared" si="7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2:18" x14ac:dyDescent="0.25">
      <c r="F27">
        <f t="shared" si="0"/>
        <v>0</v>
      </c>
      <c r="G27">
        <f t="shared" si="1"/>
        <v>0</v>
      </c>
      <c r="H27">
        <f t="shared" si="2"/>
        <v>0</v>
      </c>
      <c r="I27">
        <f t="shared" ref="I27" si="13">I10*G10</f>
        <v>0</v>
      </c>
      <c r="J27">
        <f t="shared" si="4"/>
        <v>0</v>
      </c>
      <c r="K27">
        <f t="shared" si="5"/>
        <v>0</v>
      </c>
      <c r="L27">
        <f t="shared" si="6"/>
        <v>0</v>
      </c>
      <c r="M27">
        <f t="shared" si="7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9" spans="2:18" x14ac:dyDescent="0.25">
      <c r="F29">
        <f>F15*D15</f>
        <v>0.22999999999999998</v>
      </c>
      <c r="G29">
        <f>G15*D15</f>
        <v>2.7300000000000004</v>
      </c>
      <c r="H29">
        <f>H15*D15</f>
        <v>1.7100000000000002</v>
      </c>
      <c r="I29">
        <f>I15*G15</f>
        <v>2.2932000000000004E-2</v>
      </c>
      <c r="J29">
        <f>J15*D15</f>
        <v>0</v>
      </c>
      <c r="K29">
        <f>K15*D15</f>
        <v>0</v>
      </c>
      <c r="L29">
        <f>L15*D15</f>
        <v>4</v>
      </c>
      <c r="M29">
        <f>M15*D15</f>
        <v>4</v>
      </c>
      <c r="N29">
        <f>N15*D15</f>
        <v>0</v>
      </c>
      <c r="O29">
        <f>O15*D15</f>
        <v>0</v>
      </c>
      <c r="P29">
        <f>P15*D15</f>
        <v>0</v>
      </c>
      <c r="Q29">
        <f>Q15*D15</f>
        <v>0</v>
      </c>
      <c r="R29">
        <f>R15*D15</f>
        <v>0</v>
      </c>
    </row>
    <row r="30" spans="2:18" x14ac:dyDescent="0.25">
      <c r="F30">
        <f>F16*D16</f>
        <v>6.6000000000000003E-2</v>
      </c>
      <c r="G30">
        <f>G16*D16</f>
        <v>0.79800000000000004</v>
      </c>
      <c r="H30">
        <f>H16*D16</f>
        <v>0.501</v>
      </c>
      <c r="I30">
        <f>I16*G16</f>
        <v>2.1546000000000003E-2</v>
      </c>
      <c r="J30">
        <f>J16*D16</f>
        <v>0</v>
      </c>
      <c r="K30">
        <f>K16*D16</f>
        <v>0</v>
      </c>
      <c r="L30">
        <f>L16*D16</f>
        <v>1.17</v>
      </c>
      <c r="M30">
        <f>M16*D16</f>
        <v>1.2000000000000002</v>
      </c>
      <c r="N30">
        <f>N16*D16</f>
        <v>0</v>
      </c>
      <c r="O30">
        <f>O16*D16</f>
        <v>0</v>
      </c>
      <c r="P30">
        <f>P16*D16</f>
        <v>0</v>
      </c>
      <c r="Q30">
        <f>Q16*D16</f>
        <v>0</v>
      </c>
      <c r="R30">
        <f>R16*D16</f>
        <v>0</v>
      </c>
    </row>
    <row r="31" spans="2:18" x14ac:dyDescent="0.25">
      <c r="F31">
        <f>F17*D17</f>
        <v>2.8000000000000001E-2</v>
      </c>
      <c r="G31">
        <f>G17*D17</f>
        <v>0.3</v>
      </c>
      <c r="H31">
        <f>H17*D17</f>
        <v>0.104</v>
      </c>
      <c r="I31">
        <f>I17*G17</f>
        <v>1.6499999999999998E-3</v>
      </c>
      <c r="J31">
        <f>J17*D17</f>
        <v>0.69199999999999995</v>
      </c>
      <c r="K31">
        <f>K17*D17</f>
        <v>0</v>
      </c>
      <c r="L31">
        <f>L17*D17</f>
        <v>0.24</v>
      </c>
      <c r="M31">
        <f>M17*D17</f>
        <v>3.2000000000000001E-2</v>
      </c>
      <c r="N31">
        <f>N17*D17</f>
        <v>1.6E-2</v>
      </c>
      <c r="O31">
        <f>O17*D17</f>
        <v>0</v>
      </c>
      <c r="P31">
        <f>P17*D17</f>
        <v>0</v>
      </c>
      <c r="Q31">
        <f>Q17*D17</f>
        <v>4</v>
      </c>
      <c r="R31">
        <f>R17*D17</f>
        <v>2.9600000000000001E-2</v>
      </c>
    </row>
    <row r="33" spans="6:18" x14ac:dyDescent="0.25">
      <c r="F33" t="s">
        <v>11</v>
      </c>
      <c r="G33" t="s">
        <v>12</v>
      </c>
      <c r="H33" t="s">
        <v>13</v>
      </c>
      <c r="I33" t="s">
        <v>14</v>
      </c>
      <c r="J33" t="s">
        <v>15</v>
      </c>
      <c r="K33" t="s">
        <v>16</v>
      </c>
      <c r="L33" t="s">
        <v>18</v>
      </c>
      <c r="M33" t="s">
        <v>17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</row>
    <row r="34" spans="6:18" x14ac:dyDescent="0.25">
      <c r="F34">
        <f>SUM(F20:F31)</f>
        <v>3.8569999999999998</v>
      </c>
      <c r="G34">
        <f t="shared" ref="G34:R34" si="14">SUM(G20:G31)</f>
        <v>4.5570000000000004</v>
      </c>
      <c r="H34">
        <f t="shared" si="14"/>
        <v>6.1610000000000005</v>
      </c>
      <c r="I34">
        <f t="shared" si="14"/>
        <v>3.3503280000000002</v>
      </c>
      <c r="J34">
        <f t="shared" si="14"/>
        <v>3.3099999999999996</v>
      </c>
      <c r="K34">
        <f t="shared" si="14"/>
        <v>3</v>
      </c>
      <c r="L34">
        <f t="shared" si="14"/>
        <v>5.9779999999999998</v>
      </c>
      <c r="M34">
        <f t="shared" si="14"/>
        <v>5.5571999999999999</v>
      </c>
      <c r="N34">
        <f t="shared" si="14"/>
        <v>7.1360000000000001</v>
      </c>
      <c r="O34">
        <f t="shared" si="14"/>
        <v>4</v>
      </c>
      <c r="P34">
        <f t="shared" si="14"/>
        <v>5.6719999999999997</v>
      </c>
      <c r="Q34">
        <f t="shared" si="14"/>
        <v>4</v>
      </c>
      <c r="R34">
        <f t="shared" si="14"/>
        <v>7.1616000000000009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AA12-72DA-44F7-9AE0-BCCE037F74B8}">
  <sheetPr filterMode="1"/>
  <dimension ref="A1:C213"/>
  <sheetViews>
    <sheetView topLeftCell="A139" workbookViewId="0">
      <selection activeCell="C118" activeCellId="1" sqref="C83:C111 C118"/>
    </sheetView>
  </sheetViews>
  <sheetFormatPr defaultRowHeight="15" x14ac:dyDescent="0.25"/>
  <cols>
    <col min="2" max="2" width="11.81640625" customWidth="1"/>
  </cols>
  <sheetData>
    <row r="1" spans="1:3" x14ac:dyDescent="0.25">
      <c r="A1" s="3" t="s">
        <v>24</v>
      </c>
      <c r="B1" s="3" t="s">
        <v>25</v>
      </c>
      <c r="C1" s="3" t="s">
        <v>26</v>
      </c>
    </row>
    <row r="2" spans="1:3" ht="15.6" hidden="1" x14ac:dyDescent="0.3">
      <c r="A2" s="2" t="s">
        <v>27</v>
      </c>
      <c r="B2" s="2" t="s">
        <v>28</v>
      </c>
      <c r="C2" s="2">
        <v>10000</v>
      </c>
    </row>
    <row r="3" spans="1:3" ht="15.6" hidden="1" x14ac:dyDescent="0.3">
      <c r="A3" s="2" t="s">
        <v>27</v>
      </c>
      <c r="B3" s="2" t="s">
        <v>29</v>
      </c>
      <c r="C3" s="2">
        <v>20000</v>
      </c>
    </row>
    <row r="4" spans="1:3" ht="15.6" x14ac:dyDescent="0.3">
      <c r="A4" s="2" t="s">
        <v>27</v>
      </c>
      <c r="B4" s="2" t="s">
        <v>30</v>
      </c>
      <c r="C4" s="2">
        <v>19500</v>
      </c>
    </row>
    <row r="5" spans="1:3" ht="15.6" hidden="1" x14ac:dyDescent="0.3">
      <c r="A5" s="2" t="s">
        <v>27</v>
      </c>
      <c r="B5" s="2" t="s">
        <v>31</v>
      </c>
      <c r="C5" s="2">
        <v>10000</v>
      </c>
    </row>
    <row r="6" spans="1:3" ht="15.6" hidden="1" x14ac:dyDescent="0.3">
      <c r="A6" s="2" t="s">
        <v>27</v>
      </c>
      <c r="B6" s="2" t="s">
        <v>32</v>
      </c>
      <c r="C6" s="2">
        <v>19500</v>
      </c>
    </row>
    <row r="7" spans="1:3" ht="15.6" x14ac:dyDescent="0.3">
      <c r="A7" s="2" t="s">
        <v>27</v>
      </c>
      <c r="B7" s="2" t="s">
        <v>33</v>
      </c>
      <c r="C7" s="2">
        <v>20000</v>
      </c>
    </row>
    <row r="8" spans="1:3" ht="15.6" hidden="1" x14ac:dyDescent="0.3">
      <c r="A8" s="2" t="s">
        <v>27</v>
      </c>
      <c r="B8" s="2" t="s">
        <v>34</v>
      </c>
      <c r="C8" s="2">
        <v>9900</v>
      </c>
    </row>
    <row r="9" spans="1:3" ht="15.6" hidden="1" x14ac:dyDescent="0.3">
      <c r="A9" s="2" t="s">
        <v>27</v>
      </c>
      <c r="B9" s="2" t="s">
        <v>35</v>
      </c>
      <c r="C9" s="2">
        <v>1100</v>
      </c>
    </row>
    <row r="10" spans="1:3" ht="15.6" x14ac:dyDescent="0.3">
      <c r="A10" s="2" t="s">
        <v>27</v>
      </c>
      <c r="B10" s="2" t="s">
        <v>36</v>
      </c>
      <c r="C10" s="2">
        <v>6600</v>
      </c>
    </row>
    <row r="11" spans="1:3" ht="15.6" x14ac:dyDescent="0.3">
      <c r="A11" s="2" t="s">
        <v>27</v>
      </c>
      <c r="B11" s="2" t="s">
        <v>37</v>
      </c>
      <c r="C11" s="2">
        <v>5064.6000000000004</v>
      </c>
    </row>
    <row r="12" spans="1:3" ht="15.6" hidden="1" x14ac:dyDescent="0.3">
      <c r="A12" s="2" t="s">
        <v>27</v>
      </c>
      <c r="B12" s="2" t="s">
        <v>38</v>
      </c>
      <c r="C12" s="2">
        <v>4237</v>
      </c>
    </row>
    <row r="13" spans="1:3" ht="15.6" hidden="1" x14ac:dyDescent="0.3">
      <c r="A13" s="2" t="s">
        <v>27</v>
      </c>
      <c r="B13" s="2" t="s">
        <v>39</v>
      </c>
      <c r="C13" s="2">
        <v>8920</v>
      </c>
    </row>
    <row r="14" spans="1:3" ht="15.6" x14ac:dyDescent="0.3">
      <c r="A14" s="2" t="s">
        <v>27</v>
      </c>
      <c r="B14" s="2" t="s">
        <v>40</v>
      </c>
      <c r="C14" s="2">
        <v>8920</v>
      </c>
    </row>
    <row r="15" spans="1:3" ht="15.6" hidden="1" x14ac:dyDescent="0.3">
      <c r="A15" s="2" t="s">
        <v>27</v>
      </c>
      <c r="B15" s="2" t="s">
        <v>41</v>
      </c>
      <c r="C15" s="2">
        <v>792</v>
      </c>
    </row>
    <row r="16" spans="1:3" ht="15.6" hidden="1" x14ac:dyDescent="0.3">
      <c r="A16" s="2" t="s">
        <v>27</v>
      </c>
      <c r="B16" s="2" t="s">
        <v>42</v>
      </c>
      <c r="C16" s="2">
        <v>792</v>
      </c>
    </row>
    <row r="17" spans="1:3" ht="15.6" x14ac:dyDescent="0.3">
      <c r="A17" s="2" t="s">
        <v>27</v>
      </c>
      <c r="B17" s="2" t="s">
        <v>43</v>
      </c>
      <c r="C17" s="2">
        <v>720</v>
      </c>
    </row>
    <row r="18" spans="1:3" ht="15.6" hidden="1" x14ac:dyDescent="0.3">
      <c r="A18" s="2" t="s">
        <v>27</v>
      </c>
      <c r="B18" s="2" t="s">
        <v>44</v>
      </c>
      <c r="C18" s="2">
        <v>4460</v>
      </c>
    </row>
    <row r="19" spans="1:3" ht="15.6" hidden="1" x14ac:dyDescent="0.3">
      <c r="A19" s="2" t="s">
        <v>27</v>
      </c>
      <c r="B19" s="2" t="s">
        <v>45</v>
      </c>
      <c r="C19" s="2">
        <v>4460</v>
      </c>
    </row>
    <row r="20" spans="1:3" ht="15.6" x14ac:dyDescent="0.3">
      <c r="A20" s="2" t="s">
        <v>27</v>
      </c>
      <c r="B20" s="2" t="s">
        <v>46</v>
      </c>
      <c r="C20" s="2">
        <v>4460</v>
      </c>
    </row>
    <row r="21" spans="1:3" ht="15.6" hidden="1" x14ac:dyDescent="0.3">
      <c r="A21" s="2" t="s">
        <v>27</v>
      </c>
      <c r="B21" s="2" t="s">
        <v>47</v>
      </c>
      <c r="C21" s="2">
        <v>6775</v>
      </c>
    </row>
    <row r="22" spans="1:3" ht="15.6" hidden="1" x14ac:dyDescent="0.3">
      <c r="A22" s="2" t="s">
        <v>27</v>
      </c>
      <c r="B22" s="2" t="s">
        <v>48</v>
      </c>
      <c r="C22" s="2">
        <v>6775</v>
      </c>
    </row>
    <row r="23" spans="1:3" ht="15.6" x14ac:dyDescent="0.3">
      <c r="A23" s="2" t="s">
        <v>27</v>
      </c>
      <c r="B23" s="2" t="s">
        <v>49</v>
      </c>
      <c r="C23" s="2">
        <v>6775</v>
      </c>
    </row>
    <row r="24" spans="1:3" ht="15.6" hidden="1" x14ac:dyDescent="0.3">
      <c r="A24" s="2" t="s">
        <v>27</v>
      </c>
      <c r="B24" s="2" t="s">
        <v>50</v>
      </c>
      <c r="C24" s="2">
        <v>28760.102963918751</v>
      </c>
    </row>
    <row r="25" spans="1:3" ht="15.6" x14ac:dyDescent="0.3">
      <c r="A25" s="2" t="s">
        <v>27</v>
      </c>
      <c r="B25" s="2" t="s">
        <v>51</v>
      </c>
      <c r="C25" s="2">
        <v>26336.862339197531</v>
      </c>
    </row>
    <row r="26" spans="1:3" ht="15.6" hidden="1" x14ac:dyDescent="0.3">
      <c r="A26" s="2" t="s">
        <v>27</v>
      </c>
      <c r="B26" s="2" t="s">
        <v>52</v>
      </c>
      <c r="C26" s="2">
        <v>8997.9447695849558</v>
      </c>
    </row>
    <row r="27" spans="1:3" ht="15.6" hidden="1" x14ac:dyDescent="0.3">
      <c r="A27" s="2" t="s">
        <v>27</v>
      </c>
      <c r="B27" s="2" t="s">
        <v>53</v>
      </c>
      <c r="C27" s="2">
        <v>191766.39243138349</v>
      </c>
    </row>
    <row r="28" spans="1:3" ht="15.6" x14ac:dyDescent="0.3">
      <c r="A28" s="2" t="s">
        <v>27</v>
      </c>
      <c r="B28" s="2" t="s">
        <v>54</v>
      </c>
      <c r="C28" s="2">
        <v>486570</v>
      </c>
    </row>
    <row r="29" spans="1:3" ht="15.6" hidden="1" x14ac:dyDescent="0.3">
      <c r="A29" s="2" t="s">
        <v>27</v>
      </c>
      <c r="B29" s="2" t="s">
        <v>55</v>
      </c>
      <c r="C29" s="2">
        <v>43290</v>
      </c>
    </row>
    <row r="30" spans="1:3" ht="15.6" hidden="1" x14ac:dyDescent="0.3">
      <c r="A30" s="2" t="s">
        <v>27</v>
      </c>
      <c r="B30" s="2" t="s">
        <v>56</v>
      </c>
      <c r="C30" s="2">
        <v>43290</v>
      </c>
    </row>
    <row r="31" spans="1:3" ht="15.6" x14ac:dyDescent="0.3">
      <c r="A31" s="2" t="s">
        <v>27</v>
      </c>
      <c r="B31" s="2" t="s">
        <v>57</v>
      </c>
      <c r="C31" s="2">
        <v>43290</v>
      </c>
    </row>
    <row r="32" spans="1:3" ht="15.6" x14ac:dyDescent="0.3">
      <c r="A32" s="2" t="s">
        <v>27</v>
      </c>
      <c r="B32" s="2" t="s">
        <v>58</v>
      </c>
      <c r="C32" s="2">
        <v>43290</v>
      </c>
    </row>
    <row r="33" spans="1:3" ht="15.6" x14ac:dyDescent="0.3">
      <c r="A33" s="2" t="s">
        <v>27</v>
      </c>
      <c r="B33" s="2" t="s">
        <v>59</v>
      </c>
      <c r="C33" s="2">
        <v>2180000</v>
      </c>
    </row>
    <row r="34" spans="1:3" ht="15.6" hidden="1" x14ac:dyDescent="0.3">
      <c r="A34" s="2" t="s">
        <v>27</v>
      </c>
      <c r="B34" s="2" t="s">
        <v>60</v>
      </c>
      <c r="C34" s="2">
        <v>3110000</v>
      </c>
    </row>
    <row r="35" spans="1:3" ht="15.6" hidden="1" x14ac:dyDescent="0.3">
      <c r="A35" s="2" t="s">
        <v>27</v>
      </c>
      <c r="B35" s="2" t="s">
        <v>61</v>
      </c>
      <c r="C35" s="2">
        <v>2670000</v>
      </c>
    </row>
    <row r="36" spans="1:3" ht="15.6" hidden="1" x14ac:dyDescent="0.3">
      <c r="A36" s="2" t="s">
        <v>27</v>
      </c>
      <c r="B36" s="2" t="s">
        <v>62</v>
      </c>
      <c r="C36" s="2">
        <v>1980000</v>
      </c>
    </row>
    <row r="37" spans="1:3" ht="15.6" hidden="1" x14ac:dyDescent="0.3">
      <c r="A37" s="2" t="s">
        <v>27</v>
      </c>
      <c r="B37" s="2" t="s">
        <v>63</v>
      </c>
      <c r="C37" s="2">
        <v>59662.923406414819</v>
      </c>
    </row>
    <row r="38" spans="1:3" ht="15.6" hidden="1" x14ac:dyDescent="0.3">
      <c r="A38" s="2" t="s">
        <v>27</v>
      </c>
      <c r="B38" s="2" t="s">
        <v>64</v>
      </c>
      <c r="C38" s="2">
        <v>277290</v>
      </c>
    </row>
    <row r="39" spans="1:3" ht="15.6" x14ac:dyDescent="0.3">
      <c r="A39" s="2" t="s">
        <v>27</v>
      </c>
      <c r="B39" s="2" t="s">
        <v>65</v>
      </c>
      <c r="C39" s="2">
        <v>277290</v>
      </c>
    </row>
    <row r="40" spans="1:3" ht="15.6" hidden="1" x14ac:dyDescent="0.3">
      <c r="A40" s="2" t="s">
        <v>27</v>
      </c>
      <c r="B40" s="2" t="s">
        <v>66</v>
      </c>
      <c r="C40" s="2">
        <v>13120.22155293365</v>
      </c>
    </row>
    <row r="41" spans="1:3" ht="15.6" hidden="1" x14ac:dyDescent="0.3">
      <c r="A41" s="2" t="s">
        <v>27</v>
      </c>
      <c r="B41" s="2" t="s">
        <v>67</v>
      </c>
      <c r="C41" s="2">
        <v>16262.4123519692</v>
      </c>
    </row>
    <row r="42" spans="1:3" ht="15.6" x14ac:dyDescent="0.3">
      <c r="A42" s="2" t="s">
        <v>27</v>
      </c>
      <c r="B42" s="2" t="s">
        <v>68</v>
      </c>
      <c r="C42" s="2">
        <v>33009.544626627503</v>
      </c>
    </row>
    <row r="43" spans="1:3" ht="15.6" hidden="1" x14ac:dyDescent="0.3">
      <c r="A43" s="2" t="s">
        <v>27</v>
      </c>
      <c r="B43" s="2" t="s">
        <v>69</v>
      </c>
      <c r="C43" s="2">
        <v>282068.24836125207</v>
      </c>
    </row>
    <row r="44" spans="1:3" ht="15.6" hidden="1" x14ac:dyDescent="0.3">
      <c r="A44" s="2" t="s">
        <v>27</v>
      </c>
      <c r="B44" s="2" t="s">
        <v>70</v>
      </c>
      <c r="C44" s="2">
        <v>337065.86795603711</v>
      </c>
    </row>
    <row r="45" spans="1:3" ht="15.6" x14ac:dyDescent="0.3">
      <c r="A45" s="2" t="s">
        <v>27</v>
      </c>
      <c r="B45" s="2" t="s">
        <v>71</v>
      </c>
      <c r="C45" s="2">
        <v>108978.8900435652</v>
      </c>
    </row>
    <row r="46" spans="1:3" ht="15.6" hidden="1" x14ac:dyDescent="0.3">
      <c r="A46" s="2" t="s">
        <v>27</v>
      </c>
      <c r="B46" s="2" t="s">
        <v>72</v>
      </c>
      <c r="C46" s="2">
        <v>43</v>
      </c>
    </row>
    <row r="47" spans="1:3" ht="15.6" hidden="1" x14ac:dyDescent="0.3">
      <c r="A47" s="2" t="s">
        <v>27</v>
      </c>
      <c r="B47" s="2" t="s">
        <v>73</v>
      </c>
      <c r="C47" s="2">
        <v>86</v>
      </c>
    </row>
    <row r="48" spans="1:3" ht="15.6" x14ac:dyDescent="0.3">
      <c r="A48" s="2" t="s">
        <v>27</v>
      </c>
      <c r="B48" s="2" t="s">
        <v>74</v>
      </c>
      <c r="C48" s="2">
        <v>83.85</v>
      </c>
    </row>
    <row r="49" spans="1:3" ht="15.6" hidden="1" x14ac:dyDescent="0.3">
      <c r="A49" s="2" t="s">
        <v>27</v>
      </c>
      <c r="B49" s="2" t="s">
        <v>75</v>
      </c>
      <c r="C49" s="2">
        <v>43</v>
      </c>
    </row>
    <row r="50" spans="1:3" ht="15.6" hidden="1" x14ac:dyDescent="0.3">
      <c r="A50" s="2" t="s">
        <v>27</v>
      </c>
      <c r="B50" s="2" t="s">
        <v>76</v>
      </c>
      <c r="C50" s="2">
        <v>83.85</v>
      </c>
    </row>
    <row r="51" spans="1:3" ht="15.6" x14ac:dyDescent="0.3">
      <c r="A51" s="2" t="s">
        <v>27</v>
      </c>
      <c r="B51" s="2" t="s">
        <v>77</v>
      </c>
      <c r="C51" s="2">
        <v>86</v>
      </c>
    </row>
    <row r="52" spans="1:3" ht="15.6" hidden="1" x14ac:dyDescent="0.3">
      <c r="A52" s="2" t="s">
        <v>27</v>
      </c>
      <c r="B52" s="2" t="s">
        <v>78</v>
      </c>
      <c r="C52" s="2">
        <v>35.549999999999997</v>
      </c>
    </row>
    <row r="53" spans="1:3" ht="15.6" hidden="1" x14ac:dyDescent="0.3">
      <c r="A53" s="2" t="s">
        <v>27</v>
      </c>
      <c r="B53" s="2" t="s">
        <v>79</v>
      </c>
      <c r="C53" s="2">
        <v>3.95</v>
      </c>
    </row>
    <row r="54" spans="1:3" ht="15.6" x14ac:dyDescent="0.3">
      <c r="A54" s="2" t="s">
        <v>27</v>
      </c>
      <c r="B54" s="2" t="s">
        <v>80</v>
      </c>
      <c r="C54" s="2">
        <v>23.7</v>
      </c>
    </row>
    <row r="55" spans="1:3" ht="15.6" hidden="1" x14ac:dyDescent="0.3">
      <c r="A55" s="2" t="s">
        <v>27</v>
      </c>
      <c r="B55" s="2" t="s">
        <v>81</v>
      </c>
      <c r="C55" s="2">
        <v>31.35</v>
      </c>
    </row>
    <row r="56" spans="1:3" ht="15.6" hidden="1" x14ac:dyDescent="0.3">
      <c r="A56" s="2" t="s">
        <v>27</v>
      </c>
      <c r="B56" s="2" t="s">
        <v>82</v>
      </c>
      <c r="C56" s="2">
        <v>66</v>
      </c>
    </row>
    <row r="57" spans="1:3" ht="15.6" x14ac:dyDescent="0.3">
      <c r="A57" s="2" t="s">
        <v>27</v>
      </c>
      <c r="B57" s="2" t="s">
        <v>83</v>
      </c>
      <c r="C57" s="2">
        <v>66</v>
      </c>
    </row>
    <row r="58" spans="1:3" ht="15.6" hidden="1" x14ac:dyDescent="0.3">
      <c r="A58" s="2" t="s">
        <v>27</v>
      </c>
      <c r="B58" s="2" t="s">
        <v>84</v>
      </c>
      <c r="C58" s="2">
        <v>54.5</v>
      </c>
    </row>
    <row r="59" spans="1:3" ht="15.6" hidden="1" x14ac:dyDescent="0.3">
      <c r="A59" s="2" t="s">
        <v>27</v>
      </c>
      <c r="B59" s="2" t="s">
        <v>85</v>
      </c>
      <c r="C59" s="2">
        <v>54.5</v>
      </c>
    </row>
    <row r="60" spans="1:3" ht="15.6" x14ac:dyDescent="0.3">
      <c r="A60" s="2" t="s">
        <v>27</v>
      </c>
      <c r="B60" s="2" t="s">
        <v>86</v>
      </c>
      <c r="C60" s="2">
        <v>54.5</v>
      </c>
    </row>
    <row r="61" spans="1:3" ht="15.6" hidden="1" x14ac:dyDescent="0.3">
      <c r="A61" s="2" t="s">
        <v>27</v>
      </c>
      <c r="B61" s="2" t="s">
        <v>87</v>
      </c>
      <c r="C61" s="2">
        <v>1960</v>
      </c>
    </row>
    <row r="62" spans="1:3" ht="15.6" hidden="1" x14ac:dyDescent="0.3">
      <c r="A62" s="2" t="s">
        <v>27</v>
      </c>
      <c r="B62" s="2" t="s">
        <v>88</v>
      </c>
      <c r="C62" s="2">
        <v>3920</v>
      </c>
    </row>
    <row r="63" spans="1:3" ht="15.6" x14ac:dyDescent="0.3">
      <c r="A63" s="2" t="s">
        <v>27</v>
      </c>
      <c r="B63" s="2" t="s">
        <v>89</v>
      </c>
      <c r="C63" s="2">
        <v>3822</v>
      </c>
    </row>
    <row r="64" spans="1:3" ht="15.6" hidden="1" x14ac:dyDescent="0.3">
      <c r="A64" s="2" t="s">
        <v>27</v>
      </c>
      <c r="B64" s="2" t="s">
        <v>90</v>
      </c>
      <c r="C64" s="2">
        <v>1960</v>
      </c>
    </row>
    <row r="65" spans="1:3" ht="15.6" hidden="1" x14ac:dyDescent="0.3">
      <c r="A65" s="2" t="s">
        <v>27</v>
      </c>
      <c r="B65" s="2" t="s">
        <v>91</v>
      </c>
      <c r="C65" s="2">
        <v>3822</v>
      </c>
    </row>
    <row r="66" spans="1:3" ht="15.6" x14ac:dyDescent="0.3">
      <c r="A66" s="2" t="s">
        <v>27</v>
      </c>
      <c r="B66" s="2" t="s">
        <v>92</v>
      </c>
      <c r="C66" s="2">
        <v>3920</v>
      </c>
    </row>
    <row r="67" spans="1:3" ht="15.6" hidden="1" x14ac:dyDescent="0.3">
      <c r="A67" s="2" t="s">
        <v>27</v>
      </c>
      <c r="B67" s="2" t="s">
        <v>93</v>
      </c>
      <c r="C67" s="2">
        <v>903.6</v>
      </c>
    </row>
    <row r="68" spans="1:3" ht="15.6" hidden="1" x14ac:dyDescent="0.3">
      <c r="A68" s="2" t="s">
        <v>27</v>
      </c>
      <c r="B68" s="2" t="s">
        <v>94</v>
      </c>
      <c r="C68" s="2">
        <v>100.4</v>
      </c>
    </row>
    <row r="69" spans="1:3" ht="15.6" x14ac:dyDescent="0.3">
      <c r="A69" s="2" t="s">
        <v>27</v>
      </c>
      <c r="B69" s="2" t="s">
        <v>95</v>
      </c>
      <c r="C69" s="2">
        <v>602.4</v>
      </c>
    </row>
    <row r="70" spans="1:3" ht="15.6" hidden="1" x14ac:dyDescent="0.3">
      <c r="A70" s="2" t="s">
        <v>27</v>
      </c>
      <c r="B70" s="2" t="s">
        <v>96</v>
      </c>
      <c r="C70" s="2">
        <v>1854.6</v>
      </c>
    </row>
    <row r="71" spans="1:3" ht="15.6" hidden="1" x14ac:dyDescent="0.3">
      <c r="A71" s="2" t="s">
        <v>27</v>
      </c>
      <c r="B71" s="2" t="s">
        <v>97</v>
      </c>
      <c r="C71" s="2">
        <v>1854.6</v>
      </c>
    </row>
    <row r="72" spans="1:3" ht="15.6" x14ac:dyDescent="0.3">
      <c r="A72" s="2" t="s">
        <v>27</v>
      </c>
      <c r="B72" s="2" t="s">
        <v>98</v>
      </c>
      <c r="C72" s="2">
        <v>1686</v>
      </c>
    </row>
    <row r="73" spans="1:3" ht="15.6" hidden="1" x14ac:dyDescent="0.3">
      <c r="A73" s="2" t="s">
        <v>27</v>
      </c>
      <c r="B73" s="2" t="s">
        <v>99</v>
      </c>
      <c r="C73" s="2">
        <v>980</v>
      </c>
    </row>
    <row r="74" spans="1:3" ht="15.6" hidden="1" x14ac:dyDescent="0.3">
      <c r="A74" s="2" t="s">
        <v>27</v>
      </c>
      <c r="B74" s="2" t="s">
        <v>100</v>
      </c>
      <c r="C74" s="2">
        <v>980</v>
      </c>
    </row>
    <row r="75" spans="1:3" ht="15.6" x14ac:dyDescent="0.3">
      <c r="A75" s="2" t="s">
        <v>27</v>
      </c>
      <c r="B75" s="2" t="s">
        <v>101</v>
      </c>
      <c r="C75" s="2">
        <v>980</v>
      </c>
    </row>
    <row r="76" spans="1:3" ht="15.6" hidden="1" x14ac:dyDescent="0.3">
      <c r="A76" s="2" t="s">
        <v>27</v>
      </c>
      <c r="B76" s="2" t="s">
        <v>102</v>
      </c>
      <c r="C76" s="2">
        <v>2430</v>
      </c>
    </row>
    <row r="77" spans="1:3" ht="15.6" hidden="1" x14ac:dyDescent="0.3">
      <c r="A77" s="2" t="s">
        <v>27</v>
      </c>
      <c r="B77" s="2" t="s">
        <v>103</v>
      </c>
      <c r="C77" s="2">
        <v>2430</v>
      </c>
    </row>
    <row r="78" spans="1:3" ht="15.6" x14ac:dyDescent="0.3">
      <c r="A78" s="2" t="s">
        <v>27</v>
      </c>
      <c r="B78" s="2" t="s">
        <v>104</v>
      </c>
      <c r="C78" s="2">
        <v>2430</v>
      </c>
    </row>
    <row r="79" spans="1:3" ht="15.6" hidden="1" x14ac:dyDescent="0.3">
      <c r="A79" s="2" t="s">
        <v>27</v>
      </c>
      <c r="B79" s="2" t="s">
        <v>105</v>
      </c>
      <c r="C79" s="2">
        <v>10315.43176418045</v>
      </c>
    </row>
    <row r="80" spans="1:3" ht="15.6" x14ac:dyDescent="0.3">
      <c r="A80" s="2" t="s">
        <v>27</v>
      </c>
      <c r="B80" s="2" t="s">
        <v>106</v>
      </c>
      <c r="C80" s="2">
        <v>9446.2842043173405</v>
      </c>
    </row>
    <row r="81" spans="1:3" ht="15.6" hidden="1" x14ac:dyDescent="0.3">
      <c r="A81" s="2" t="s">
        <v>27</v>
      </c>
      <c r="B81" s="2" t="s">
        <v>107</v>
      </c>
      <c r="C81" s="2">
        <v>22300</v>
      </c>
    </row>
    <row r="82" spans="1:3" ht="15.6" hidden="1" x14ac:dyDescent="0.3">
      <c r="A82" s="2" t="s">
        <v>27</v>
      </c>
      <c r="B82" s="2" t="s">
        <v>108</v>
      </c>
      <c r="C82" s="2">
        <v>44600</v>
      </c>
    </row>
    <row r="83" spans="1:3" ht="15.6" x14ac:dyDescent="0.3">
      <c r="A83" s="2" t="s">
        <v>27</v>
      </c>
      <c r="B83" s="2" t="s">
        <v>109</v>
      </c>
      <c r="C83" s="2">
        <v>43485</v>
      </c>
    </row>
    <row r="84" spans="1:3" ht="15.6" hidden="1" x14ac:dyDescent="0.3">
      <c r="A84" s="2" t="s">
        <v>27</v>
      </c>
      <c r="B84" s="2" t="s">
        <v>110</v>
      </c>
      <c r="C84" s="2">
        <v>22300</v>
      </c>
    </row>
    <row r="85" spans="1:3" ht="15.6" hidden="1" x14ac:dyDescent="0.3">
      <c r="A85" s="2" t="s">
        <v>27</v>
      </c>
      <c r="B85" s="2" t="s">
        <v>111</v>
      </c>
      <c r="C85" s="2">
        <v>43485</v>
      </c>
    </row>
    <row r="86" spans="1:3" ht="15.6" x14ac:dyDescent="0.3">
      <c r="A86" s="2" t="s">
        <v>27</v>
      </c>
      <c r="B86" s="2" t="s">
        <v>112</v>
      </c>
      <c r="C86" s="2">
        <v>44600</v>
      </c>
    </row>
    <row r="87" spans="1:3" ht="15.6" hidden="1" x14ac:dyDescent="0.3">
      <c r="A87" s="2" t="s">
        <v>27</v>
      </c>
      <c r="B87" s="2" t="s">
        <v>113</v>
      </c>
      <c r="C87" s="2">
        <v>18261</v>
      </c>
    </row>
    <row r="88" spans="1:3" ht="15.6" hidden="1" x14ac:dyDescent="0.3">
      <c r="A88" s="2" t="s">
        <v>27</v>
      </c>
      <c r="B88" s="2" t="s">
        <v>114</v>
      </c>
      <c r="C88" s="2">
        <v>2029</v>
      </c>
    </row>
    <row r="89" spans="1:3" ht="15.6" x14ac:dyDescent="0.3">
      <c r="A89" s="2" t="s">
        <v>27</v>
      </c>
      <c r="B89" s="2" t="s">
        <v>115</v>
      </c>
      <c r="C89" s="2">
        <v>12174</v>
      </c>
    </row>
    <row r="90" spans="1:3" ht="15.6" x14ac:dyDescent="0.3">
      <c r="A90" s="2" t="s">
        <v>27</v>
      </c>
      <c r="B90" s="2" t="s">
        <v>116</v>
      </c>
      <c r="C90" s="2">
        <v>5866.1279999999997</v>
      </c>
    </row>
    <row r="91" spans="1:3" ht="15.6" hidden="1" x14ac:dyDescent="0.3">
      <c r="A91" s="2" t="s">
        <v>27</v>
      </c>
      <c r="B91" s="2" t="s">
        <v>117</v>
      </c>
      <c r="C91" s="2">
        <v>10003.5</v>
      </c>
    </row>
    <row r="92" spans="1:3" ht="15.6" hidden="1" x14ac:dyDescent="0.3">
      <c r="A92" s="2" t="s">
        <v>27</v>
      </c>
      <c r="B92" s="2" t="s">
        <v>118</v>
      </c>
      <c r="C92" s="2">
        <v>21060</v>
      </c>
    </row>
    <row r="93" spans="1:3" ht="15.6" x14ac:dyDescent="0.3">
      <c r="A93" s="2" t="s">
        <v>27</v>
      </c>
      <c r="B93" s="2" t="s">
        <v>119</v>
      </c>
      <c r="C93" s="2">
        <v>21060</v>
      </c>
    </row>
    <row r="94" spans="1:3" ht="15.6" hidden="1" x14ac:dyDescent="0.3">
      <c r="A94" s="2" t="s">
        <v>27</v>
      </c>
      <c r="B94" s="2" t="s">
        <v>120</v>
      </c>
      <c r="C94" s="2">
        <v>8613</v>
      </c>
    </row>
    <row r="95" spans="1:3" ht="15.6" hidden="1" x14ac:dyDescent="0.3">
      <c r="A95" s="2" t="s">
        <v>27</v>
      </c>
      <c r="B95" s="2" t="s">
        <v>121</v>
      </c>
      <c r="C95" s="2">
        <v>8613</v>
      </c>
    </row>
    <row r="96" spans="1:3" ht="15.6" x14ac:dyDescent="0.3">
      <c r="A96" s="2" t="s">
        <v>27</v>
      </c>
      <c r="B96" s="2" t="s">
        <v>122</v>
      </c>
      <c r="C96" s="2">
        <v>7830</v>
      </c>
    </row>
    <row r="97" spans="1:3" ht="15.6" hidden="1" x14ac:dyDescent="0.3">
      <c r="A97" s="2" t="s">
        <v>27</v>
      </c>
      <c r="B97" s="2" t="s">
        <v>123</v>
      </c>
      <c r="C97" s="2">
        <v>11680</v>
      </c>
    </row>
    <row r="98" spans="1:3" ht="15.6" hidden="1" x14ac:dyDescent="0.3">
      <c r="A98" s="2" t="s">
        <v>27</v>
      </c>
      <c r="B98" s="2" t="s">
        <v>124</v>
      </c>
      <c r="C98" s="2">
        <v>11680</v>
      </c>
    </row>
    <row r="99" spans="1:3" ht="15.6" x14ac:dyDescent="0.3">
      <c r="A99" s="2" t="s">
        <v>27</v>
      </c>
      <c r="B99" s="2" t="s">
        <v>125</v>
      </c>
      <c r="C99" s="2">
        <v>11680</v>
      </c>
    </row>
    <row r="100" spans="1:3" ht="15.6" hidden="1" x14ac:dyDescent="0.3">
      <c r="A100" s="2" t="s">
        <v>27</v>
      </c>
      <c r="B100" s="2" t="s">
        <v>126</v>
      </c>
      <c r="C100" s="2">
        <v>18545</v>
      </c>
    </row>
    <row r="101" spans="1:3" ht="15.6" hidden="1" x14ac:dyDescent="0.3">
      <c r="A101" s="2" t="s">
        <v>27</v>
      </c>
      <c r="B101" s="2" t="s">
        <v>127</v>
      </c>
      <c r="C101" s="2">
        <v>18545</v>
      </c>
    </row>
    <row r="102" spans="1:3" ht="15.6" x14ac:dyDescent="0.3">
      <c r="A102" s="2" t="s">
        <v>27</v>
      </c>
      <c r="B102" s="2" t="s">
        <v>128</v>
      </c>
      <c r="C102" s="2">
        <v>18545</v>
      </c>
    </row>
    <row r="103" spans="1:3" ht="15.6" hidden="1" x14ac:dyDescent="0.3">
      <c r="A103" s="2" t="s">
        <v>27</v>
      </c>
      <c r="B103" s="2" t="s">
        <v>129</v>
      </c>
      <c r="C103" s="2">
        <v>78724.148998652876</v>
      </c>
    </row>
    <row r="104" spans="1:3" ht="15.6" x14ac:dyDescent="0.3">
      <c r="A104" s="2" t="s">
        <v>27</v>
      </c>
      <c r="B104" s="2" t="s">
        <v>130</v>
      </c>
      <c r="C104" s="2">
        <v>72091.086653936247</v>
      </c>
    </row>
    <row r="105" spans="1:3" ht="15.6" hidden="1" x14ac:dyDescent="0.3">
      <c r="A105" s="2" t="s">
        <v>27</v>
      </c>
      <c r="B105" s="2" t="s">
        <v>131</v>
      </c>
      <c r="C105" s="2">
        <v>2346.1562630602862</v>
      </c>
    </row>
    <row r="106" spans="1:3" ht="15.6" hidden="1" x14ac:dyDescent="0.3">
      <c r="A106" s="2" t="s">
        <v>27</v>
      </c>
      <c r="B106" s="2" t="s">
        <v>132</v>
      </c>
      <c r="C106" s="2">
        <v>50001.854219885383</v>
      </c>
    </row>
    <row r="107" spans="1:3" ht="15.6" x14ac:dyDescent="0.3">
      <c r="A107" s="2" t="s">
        <v>27</v>
      </c>
      <c r="B107" s="2" t="s">
        <v>133</v>
      </c>
      <c r="C107" s="2">
        <v>126870</v>
      </c>
    </row>
    <row r="108" spans="1:3" ht="15.6" hidden="1" x14ac:dyDescent="0.3">
      <c r="A108" s="2" t="s">
        <v>27</v>
      </c>
      <c r="B108" s="2" t="s">
        <v>134</v>
      </c>
      <c r="C108" s="2">
        <v>8658</v>
      </c>
    </row>
    <row r="109" spans="1:3" ht="15.6" hidden="1" x14ac:dyDescent="0.3">
      <c r="A109" s="2" t="s">
        <v>27</v>
      </c>
      <c r="B109" s="2" t="s">
        <v>135</v>
      </c>
      <c r="C109" s="2">
        <v>8658</v>
      </c>
    </row>
    <row r="110" spans="1:3" ht="15.6" x14ac:dyDescent="0.3">
      <c r="A110" s="2" t="s">
        <v>27</v>
      </c>
      <c r="B110" s="2" t="s">
        <v>136</v>
      </c>
      <c r="C110" s="2">
        <v>8658</v>
      </c>
    </row>
    <row r="111" spans="1:3" ht="15.6" x14ac:dyDescent="0.3">
      <c r="A111" s="2" t="s">
        <v>27</v>
      </c>
      <c r="B111" s="2" t="s">
        <v>137</v>
      </c>
      <c r="C111" s="2">
        <v>8658</v>
      </c>
    </row>
    <row r="112" spans="1:3" ht="15.6" x14ac:dyDescent="0.3">
      <c r="A112" s="2" t="s">
        <v>27</v>
      </c>
      <c r="B112" s="2" t="s">
        <v>138</v>
      </c>
      <c r="C112" s="2">
        <v>436000</v>
      </c>
    </row>
    <row r="113" spans="1:3" ht="15.6" hidden="1" x14ac:dyDescent="0.3">
      <c r="A113" s="2" t="s">
        <v>27</v>
      </c>
      <c r="B113" s="2" t="s">
        <v>139</v>
      </c>
      <c r="C113" s="2">
        <v>622000</v>
      </c>
    </row>
    <row r="114" spans="1:3" ht="15.6" hidden="1" x14ac:dyDescent="0.3">
      <c r="A114" s="2" t="s">
        <v>27</v>
      </c>
      <c r="B114" s="2" t="s">
        <v>140</v>
      </c>
      <c r="C114" s="2">
        <v>534000</v>
      </c>
    </row>
    <row r="115" spans="1:3" ht="15.6" hidden="1" x14ac:dyDescent="0.3">
      <c r="A115" s="2" t="s">
        <v>27</v>
      </c>
      <c r="B115" s="2" t="s">
        <v>141</v>
      </c>
      <c r="C115" s="2">
        <v>396000</v>
      </c>
    </row>
    <row r="116" spans="1:3" ht="15.6" hidden="1" x14ac:dyDescent="0.3">
      <c r="A116" s="2" t="s">
        <v>27</v>
      </c>
      <c r="B116" s="2" t="s">
        <v>142</v>
      </c>
      <c r="C116" s="2">
        <v>35766.770377036082</v>
      </c>
    </row>
    <row r="117" spans="1:3" ht="15.6" hidden="1" x14ac:dyDescent="0.3">
      <c r="A117" s="2" t="s">
        <v>27</v>
      </c>
      <c r="B117" s="2" t="s">
        <v>143</v>
      </c>
      <c r="C117" s="2">
        <v>166230</v>
      </c>
    </row>
    <row r="118" spans="1:3" ht="15.6" x14ac:dyDescent="0.3">
      <c r="A118" s="2" t="s">
        <v>27</v>
      </c>
      <c r="B118" s="2" t="s">
        <v>144</v>
      </c>
      <c r="C118" s="2">
        <v>166230</v>
      </c>
    </row>
    <row r="119" spans="1:3" ht="15.6" hidden="1" x14ac:dyDescent="0.3">
      <c r="A119" s="2" t="s">
        <v>27</v>
      </c>
      <c r="B119" s="2" t="s">
        <v>145</v>
      </c>
      <c r="C119" s="2">
        <v>26240.443105867289</v>
      </c>
    </row>
    <row r="120" spans="1:3" ht="15.6" hidden="1" x14ac:dyDescent="0.3">
      <c r="A120" s="2" t="s">
        <v>27</v>
      </c>
      <c r="B120" s="2" t="s">
        <v>146</v>
      </c>
      <c r="C120" s="2">
        <v>32524.824703938411</v>
      </c>
    </row>
    <row r="121" spans="1:3" ht="15.6" x14ac:dyDescent="0.3">
      <c r="A121" s="2" t="s">
        <v>27</v>
      </c>
      <c r="B121" s="2" t="s">
        <v>147</v>
      </c>
      <c r="C121" s="2">
        <v>66019.089253254991</v>
      </c>
    </row>
    <row r="122" spans="1:3" ht="15.6" hidden="1" x14ac:dyDescent="0.3">
      <c r="A122" s="2" t="s">
        <v>27</v>
      </c>
      <c r="B122" s="2" t="s">
        <v>148</v>
      </c>
      <c r="C122" s="2">
        <v>246809.7173160956</v>
      </c>
    </row>
    <row r="123" spans="1:3" ht="15.6" hidden="1" x14ac:dyDescent="0.3">
      <c r="A123" s="2" t="s">
        <v>27</v>
      </c>
      <c r="B123" s="2" t="s">
        <v>149</v>
      </c>
      <c r="C123" s="2">
        <v>294932.63446153252</v>
      </c>
    </row>
    <row r="124" spans="1:3" ht="15.6" x14ac:dyDescent="0.3">
      <c r="A124" s="2" t="s">
        <v>27</v>
      </c>
      <c r="B124" s="2" t="s">
        <v>150</v>
      </c>
      <c r="C124" s="2">
        <v>95356.52878811954</v>
      </c>
    </row>
    <row r="125" spans="1:3" ht="15.6" hidden="1" x14ac:dyDescent="0.3">
      <c r="A125" s="2" t="s">
        <v>27</v>
      </c>
      <c r="B125" s="2" t="s">
        <v>151</v>
      </c>
      <c r="C125" s="2">
        <v>8100</v>
      </c>
    </row>
    <row r="126" spans="1:3" ht="15.6" hidden="1" x14ac:dyDescent="0.3">
      <c r="A126" s="2" t="s">
        <v>27</v>
      </c>
      <c r="B126" s="2" t="s">
        <v>152</v>
      </c>
      <c r="C126" s="2">
        <v>900</v>
      </c>
    </row>
    <row r="127" spans="1:3" ht="15.6" x14ac:dyDescent="0.3">
      <c r="A127" s="2" t="s">
        <v>27</v>
      </c>
      <c r="B127" s="2" t="s">
        <v>153</v>
      </c>
      <c r="C127" s="2">
        <v>5400</v>
      </c>
    </row>
    <row r="128" spans="1:3" ht="15.6" hidden="1" x14ac:dyDescent="0.3">
      <c r="A128" s="2" t="s">
        <v>27</v>
      </c>
      <c r="B128" s="2" t="s">
        <v>154</v>
      </c>
      <c r="C128" s="2">
        <v>5215.5</v>
      </c>
    </row>
    <row r="129" spans="1:3" ht="15.6" hidden="1" x14ac:dyDescent="0.3">
      <c r="A129" s="2" t="s">
        <v>27</v>
      </c>
      <c r="B129" s="2" t="s">
        <v>155</v>
      </c>
      <c r="C129" s="2">
        <v>10980</v>
      </c>
    </row>
    <row r="130" spans="1:3" ht="15.6" x14ac:dyDescent="0.3">
      <c r="A130" s="2" t="s">
        <v>27</v>
      </c>
      <c r="B130" s="2" t="s">
        <v>156</v>
      </c>
      <c r="C130" s="2">
        <v>10980</v>
      </c>
    </row>
    <row r="131" spans="1:3" ht="15.6" hidden="1" x14ac:dyDescent="0.3">
      <c r="A131" s="2" t="s">
        <v>27</v>
      </c>
      <c r="B131" s="2" t="s">
        <v>157</v>
      </c>
      <c r="C131" s="2">
        <v>10098</v>
      </c>
    </row>
    <row r="132" spans="1:3" ht="15.6" hidden="1" x14ac:dyDescent="0.3">
      <c r="A132" s="2" t="s">
        <v>27</v>
      </c>
      <c r="B132" s="2" t="s">
        <v>158</v>
      </c>
      <c r="C132" s="2">
        <v>10098</v>
      </c>
    </row>
    <row r="133" spans="1:3" ht="15.6" x14ac:dyDescent="0.3">
      <c r="A133" s="2" t="s">
        <v>27</v>
      </c>
      <c r="B133" s="2" t="s">
        <v>159</v>
      </c>
      <c r="C133" s="2">
        <v>9180</v>
      </c>
    </row>
    <row r="134" spans="1:3" ht="15.6" hidden="1" x14ac:dyDescent="0.3">
      <c r="A134" s="2" t="s">
        <v>27</v>
      </c>
      <c r="B134" s="2" t="s">
        <v>160</v>
      </c>
      <c r="C134" s="2">
        <v>5490</v>
      </c>
    </row>
    <row r="135" spans="1:3" ht="15.6" hidden="1" x14ac:dyDescent="0.3">
      <c r="A135" s="2" t="s">
        <v>27</v>
      </c>
      <c r="B135" s="2" t="s">
        <v>161</v>
      </c>
      <c r="C135" s="2">
        <v>5490</v>
      </c>
    </row>
    <row r="136" spans="1:3" ht="15.6" x14ac:dyDescent="0.3">
      <c r="A136" s="2" t="s">
        <v>27</v>
      </c>
      <c r="B136" s="2" t="s">
        <v>162</v>
      </c>
      <c r="C136" s="2">
        <v>5490</v>
      </c>
    </row>
    <row r="137" spans="1:3" ht="15.6" hidden="1" x14ac:dyDescent="0.3">
      <c r="A137" s="2" t="s">
        <v>27</v>
      </c>
      <c r="B137" s="2" t="s">
        <v>163</v>
      </c>
      <c r="C137" s="2">
        <v>4492.6316878572661</v>
      </c>
    </row>
    <row r="138" spans="1:3" ht="15.6" hidden="1" x14ac:dyDescent="0.3">
      <c r="A138" s="2" t="s">
        <v>27</v>
      </c>
      <c r="B138" s="2" t="s">
        <v>164</v>
      </c>
      <c r="C138" s="2">
        <v>20880</v>
      </c>
    </row>
    <row r="139" spans="1:3" ht="15.6" x14ac:dyDescent="0.3">
      <c r="A139" s="2" t="s">
        <v>27</v>
      </c>
      <c r="B139" s="2" t="s">
        <v>165</v>
      </c>
      <c r="C139" s="2">
        <v>20880</v>
      </c>
    </row>
    <row r="140" spans="1:3" ht="15.6" hidden="1" x14ac:dyDescent="0.3">
      <c r="A140" s="2" t="s">
        <v>27</v>
      </c>
      <c r="B140" s="2" t="s">
        <v>166</v>
      </c>
      <c r="C140" s="2">
        <v>20320</v>
      </c>
    </row>
    <row r="141" spans="1:3" ht="15.6" hidden="1" x14ac:dyDescent="0.3">
      <c r="A141" s="2" t="s">
        <v>27</v>
      </c>
      <c r="B141" s="2" t="s">
        <v>167</v>
      </c>
      <c r="C141" s="2">
        <v>40640</v>
      </c>
    </row>
    <row r="142" spans="1:3" ht="15.6" x14ac:dyDescent="0.3">
      <c r="A142" s="2" t="s">
        <v>27</v>
      </c>
      <c r="B142" s="2" t="s">
        <v>168</v>
      </c>
      <c r="C142" s="2">
        <v>39624</v>
      </c>
    </row>
    <row r="143" spans="1:3" ht="15.6" hidden="1" x14ac:dyDescent="0.3">
      <c r="A143" s="2" t="s">
        <v>27</v>
      </c>
      <c r="B143" s="2" t="s">
        <v>169</v>
      </c>
      <c r="C143" s="2">
        <v>20320</v>
      </c>
    </row>
    <row r="144" spans="1:3" ht="15.6" hidden="1" x14ac:dyDescent="0.3">
      <c r="A144" s="2" t="s">
        <v>27</v>
      </c>
      <c r="B144" s="2" t="s">
        <v>170</v>
      </c>
      <c r="C144" s="2">
        <v>39624</v>
      </c>
    </row>
    <row r="145" spans="1:3" ht="15.6" x14ac:dyDescent="0.3">
      <c r="A145" s="2" t="s">
        <v>27</v>
      </c>
      <c r="B145" s="2" t="s">
        <v>171</v>
      </c>
      <c r="C145" s="2">
        <v>40640</v>
      </c>
    </row>
    <row r="146" spans="1:3" ht="15.6" hidden="1" x14ac:dyDescent="0.3">
      <c r="A146" s="2" t="s">
        <v>27</v>
      </c>
      <c r="B146" s="2" t="s">
        <v>172</v>
      </c>
      <c r="C146" s="2">
        <v>9144</v>
      </c>
    </row>
    <row r="147" spans="1:3" ht="15.6" hidden="1" x14ac:dyDescent="0.3">
      <c r="A147" s="2" t="s">
        <v>27</v>
      </c>
      <c r="B147" s="2" t="s">
        <v>173</v>
      </c>
      <c r="C147" s="2">
        <v>1016</v>
      </c>
    </row>
    <row r="148" spans="1:3" ht="15.6" x14ac:dyDescent="0.3">
      <c r="A148" s="2" t="s">
        <v>27</v>
      </c>
      <c r="B148" s="2" t="s">
        <v>174</v>
      </c>
      <c r="C148" s="2">
        <v>6096</v>
      </c>
    </row>
    <row r="149" spans="1:3" ht="15.6" hidden="1" x14ac:dyDescent="0.3">
      <c r="A149" s="2" t="s">
        <v>27</v>
      </c>
      <c r="B149" s="2" t="s">
        <v>175</v>
      </c>
      <c r="C149" s="2">
        <v>3399</v>
      </c>
    </row>
    <row r="150" spans="1:3" ht="15.6" hidden="1" x14ac:dyDescent="0.3">
      <c r="A150" s="2" t="s">
        <v>27</v>
      </c>
      <c r="B150" s="2" t="s">
        <v>176</v>
      </c>
      <c r="C150" s="2">
        <v>3399</v>
      </c>
    </row>
    <row r="151" spans="1:3" ht="15.6" x14ac:dyDescent="0.3">
      <c r="A151" s="2" t="s">
        <v>27</v>
      </c>
      <c r="B151" s="2" t="s">
        <v>177</v>
      </c>
      <c r="C151" s="2">
        <v>3090</v>
      </c>
    </row>
    <row r="152" spans="1:3" ht="15.6" hidden="1" x14ac:dyDescent="0.3">
      <c r="A152" s="2" t="s">
        <v>27</v>
      </c>
      <c r="B152" s="2" t="s">
        <v>178</v>
      </c>
      <c r="C152" s="2">
        <v>10160</v>
      </c>
    </row>
    <row r="153" spans="1:3" ht="15.6" hidden="1" x14ac:dyDescent="0.3">
      <c r="A153" s="2" t="s">
        <v>27</v>
      </c>
      <c r="B153" s="2" t="s">
        <v>179</v>
      </c>
      <c r="C153" s="2">
        <v>10160</v>
      </c>
    </row>
    <row r="154" spans="1:3" ht="15.6" x14ac:dyDescent="0.3">
      <c r="A154" s="2" t="s">
        <v>27</v>
      </c>
      <c r="B154" s="2" t="s">
        <v>180</v>
      </c>
      <c r="C154" s="2">
        <v>10160</v>
      </c>
    </row>
    <row r="155" spans="1:3" ht="15.6" hidden="1" x14ac:dyDescent="0.3">
      <c r="A155" s="2" t="s">
        <v>27</v>
      </c>
      <c r="B155" s="2" t="s">
        <v>181</v>
      </c>
      <c r="C155" s="2">
        <v>285</v>
      </c>
    </row>
    <row r="156" spans="1:3" ht="15.6" hidden="1" x14ac:dyDescent="0.3">
      <c r="A156" s="2" t="s">
        <v>27</v>
      </c>
      <c r="B156" s="2" t="s">
        <v>182</v>
      </c>
      <c r="C156" s="2">
        <v>285</v>
      </c>
    </row>
    <row r="157" spans="1:3" ht="15.6" x14ac:dyDescent="0.3">
      <c r="A157" s="2" t="s">
        <v>27</v>
      </c>
      <c r="B157" s="2" t="s">
        <v>183</v>
      </c>
      <c r="C157" s="2">
        <v>285</v>
      </c>
    </row>
    <row r="158" spans="1:3" ht="15.6" hidden="1" x14ac:dyDescent="0.3">
      <c r="A158" s="2" t="s">
        <v>27</v>
      </c>
      <c r="B158" s="2" t="s">
        <v>184</v>
      </c>
      <c r="C158" s="2">
        <v>1209.834589626103</v>
      </c>
    </row>
    <row r="159" spans="1:3" ht="15.6" x14ac:dyDescent="0.3">
      <c r="A159" s="2" t="s">
        <v>27</v>
      </c>
      <c r="B159" s="2" t="s">
        <v>185</v>
      </c>
      <c r="C159" s="2">
        <v>1107.897530135984</v>
      </c>
    </row>
    <row r="160" spans="1:3" ht="15.6" hidden="1" x14ac:dyDescent="0.3">
      <c r="A160" s="2" t="s">
        <v>27</v>
      </c>
      <c r="B160" s="2" t="s">
        <v>186</v>
      </c>
      <c r="C160" s="2">
        <v>46020</v>
      </c>
    </row>
    <row r="161" spans="1:3" ht="15.6" hidden="1" x14ac:dyDescent="0.3">
      <c r="A161" s="2" t="s">
        <v>27</v>
      </c>
      <c r="B161" s="2" t="s">
        <v>187</v>
      </c>
      <c r="C161" s="2">
        <v>92040</v>
      </c>
    </row>
    <row r="162" spans="1:3" ht="15.6" x14ac:dyDescent="0.3">
      <c r="A162" s="2" t="s">
        <v>27</v>
      </c>
      <c r="B162" s="2" t="s">
        <v>188</v>
      </c>
      <c r="C162" s="2">
        <v>89739</v>
      </c>
    </row>
    <row r="163" spans="1:3" ht="15.6" hidden="1" x14ac:dyDescent="0.3">
      <c r="A163" s="2" t="s">
        <v>27</v>
      </c>
      <c r="B163" s="2" t="s">
        <v>189</v>
      </c>
      <c r="C163" s="2">
        <v>46020</v>
      </c>
    </row>
    <row r="164" spans="1:3" ht="15.6" hidden="1" x14ac:dyDescent="0.3">
      <c r="A164" s="2" t="s">
        <v>27</v>
      </c>
      <c r="B164" s="2" t="s">
        <v>190</v>
      </c>
      <c r="C164" s="2">
        <v>89739</v>
      </c>
    </row>
    <row r="165" spans="1:3" ht="15.6" x14ac:dyDescent="0.3">
      <c r="A165" s="2" t="s">
        <v>27</v>
      </c>
      <c r="B165" s="2" t="s">
        <v>191</v>
      </c>
      <c r="C165" s="2">
        <v>92040</v>
      </c>
    </row>
    <row r="166" spans="1:3" ht="15.6" hidden="1" x14ac:dyDescent="0.3">
      <c r="A166" s="2" t="s">
        <v>27</v>
      </c>
      <c r="B166" s="2" t="s">
        <v>192</v>
      </c>
      <c r="C166" s="2">
        <v>2889</v>
      </c>
    </row>
    <row r="167" spans="1:3" ht="15.6" hidden="1" x14ac:dyDescent="0.3">
      <c r="A167" s="2" t="s">
        <v>27</v>
      </c>
      <c r="B167" s="2" t="s">
        <v>193</v>
      </c>
      <c r="C167" s="2">
        <v>321</v>
      </c>
    </row>
    <row r="168" spans="1:3" ht="15.6" x14ac:dyDescent="0.3">
      <c r="A168" s="2" t="s">
        <v>27</v>
      </c>
      <c r="B168" s="2" t="s">
        <v>194</v>
      </c>
      <c r="C168" s="2">
        <v>1926</v>
      </c>
    </row>
    <row r="169" spans="1:3" ht="15.6" x14ac:dyDescent="0.3">
      <c r="A169" s="2" t="s">
        <v>27</v>
      </c>
      <c r="B169" s="2" t="s">
        <v>195</v>
      </c>
      <c r="C169" s="2">
        <v>29154.48</v>
      </c>
    </row>
    <row r="170" spans="1:3" ht="15.6" hidden="1" x14ac:dyDescent="0.3">
      <c r="A170" s="2" t="s">
        <v>27</v>
      </c>
      <c r="B170" s="2" t="s">
        <v>196</v>
      </c>
      <c r="C170" s="2">
        <v>384.75</v>
      </c>
    </row>
    <row r="171" spans="1:3" ht="15.6" hidden="1" x14ac:dyDescent="0.3">
      <c r="A171" s="2" t="s">
        <v>27</v>
      </c>
      <c r="B171" s="2" t="s">
        <v>197</v>
      </c>
      <c r="C171" s="2">
        <v>810</v>
      </c>
    </row>
    <row r="172" spans="1:3" ht="15.6" x14ac:dyDescent="0.3">
      <c r="A172" s="2" t="s">
        <v>27</v>
      </c>
      <c r="B172" s="2" t="s">
        <v>198</v>
      </c>
      <c r="C172" s="2">
        <v>810</v>
      </c>
    </row>
    <row r="173" spans="1:3" ht="15.6" hidden="1" x14ac:dyDescent="0.3">
      <c r="A173" s="2" t="s">
        <v>27</v>
      </c>
      <c r="B173" s="2" t="s">
        <v>199</v>
      </c>
      <c r="C173" s="2">
        <v>1881</v>
      </c>
    </row>
    <row r="174" spans="1:3" ht="15.6" hidden="1" x14ac:dyDescent="0.3">
      <c r="A174" s="2" t="s">
        <v>27</v>
      </c>
      <c r="B174" s="2" t="s">
        <v>200</v>
      </c>
      <c r="C174" s="2">
        <v>1881</v>
      </c>
    </row>
    <row r="175" spans="1:3" ht="15.6" x14ac:dyDescent="0.3">
      <c r="A175" s="2" t="s">
        <v>27</v>
      </c>
      <c r="B175" s="2" t="s">
        <v>201</v>
      </c>
      <c r="C175" s="2">
        <v>1710</v>
      </c>
    </row>
    <row r="176" spans="1:3" ht="15.6" hidden="1" x14ac:dyDescent="0.3">
      <c r="A176" s="2" t="s">
        <v>27</v>
      </c>
      <c r="B176" s="2" t="s">
        <v>202</v>
      </c>
      <c r="C176" s="2">
        <v>3415</v>
      </c>
    </row>
    <row r="177" spans="1:3" ht="15.6" hidden="1" x14ac:dyDescent="0.3">
      <c r="A177" s="2" t="s">
        <v>27</v>
      </c>
      <c r="B177" s="2" t="s">
        <v>203</v>
      </c>
      <c r="C177" s="2">
        <v>3415</v>
      </c>
    </row>
    <row r="178" spans="1:3" ht="15.6" x14ac:dyDescent="0.3">
      <c r="A178" s="2" t="s">
        <v>27</v>
      </c>
      <c r="B178" s="2" t="s">
        <v>204</v>
      </c>
      <c r="C178" s="2">
        <v>3415</v>
      </c>
    </row>
    <row r="179" spans="1:3" ht="15.6" hidden="1" x14ac:dyDescent="0.3">
      <c r="A179" s="2" t="s">
        <v>27</v>
      </c>
      <c r="B179" s="2" t="s">
        <v>205</v>
      </c>
      <c r="C179" s="2">
        <v>1550</v>
      </c>
    </row>
    <row r="180" spans="1:3" ht="15.6" hidden="1" x14ac:dyDescent="0.3">
      <c r="A180" s="2" t="s">
        <v>27</v>
      </c>
      <c r="B180" s="2" t="s">
        <v>206</v>
      </c>
      <c r="C180" s="2">
        <v>1550</v>
      </c>
    </row>
    <row r="181" spans="1:3" ht="15.6" x14ac:dyDescent="0.3">
      <c r="A181" s="2" t="s">
        <v>27</v>
      </c>
      <c r="B181" s="2" t="s">
        <v>207</v>
      </c>
      <c r="C181" s="2">
        <v>1550</v>
      </c>
    </row>
    <row r="182" spans="1:3" ht="15.6" hidden="1" x14ac:dyDescent="0.3">
      <c r="A182" s="2" t="s">
        <v>27</v>
      </c>
      <c r="B182" s="2" t="s">
        <v>208</v>
      </c>
      <c r="C182" s="2">
        <v>6579.8021541068729</v>
      </c>
    </row>
    <row r="183" spans="1:3" ht="15.6" x14ac:dyDescent="0.3">
      <c r="A183" s="2" t="s">
        <v>27</v>
      </c>
      <c r="B183" s="2" t="s">
        <v>209</v>
      </c>
      <c r="C183" s="2">
        <v>6025.4076200378086</v>
      </c>
    </row>
    <row r="184" spans="1:3" ht="15.6" hidden="1" x14ac:dyDescent="0.3">
      <c r="A184" s="2" t="s">
        <v>27</v>
      </c>
      <c r="B184" s="2" t="s">
        <v>210</v>
      </c>
      <c r="C184" s="2">
        <v>936</v>
      </c>
    </row>
    <row r="185" spans="1:3" ht="15.6" hidden="1" x14ac:dyDescent="0.3">
      <c r="A185" s="2" t="s">
        <v>27</v>
      </c>
      <c r="B185" s="2" t="s">
        <v>211</v>
      </c>
      <c r="C185" s="2">
        <v>104</v>
      </c>
    </row>
    <row r="186" spans="1:3" ht="15.6" x14ac:dyDescent="0.3">
      <c r="A186" s="2" t="s">
        <v>27</v>
      </c>
      <c r="B186" s="2" t="s">
        <v>212</v>
      </c>
      <c r="C186" s="2">
        <v>624</v>
      </c>
    </row>
    <row r="187" spans="1:3" ht="15.6" hidden="1" x14ac:dyDescent="0.3">
      <c r="A187" s="2" t="s">
        <v>27</v>
      </c>
      <c r="B187" s="2" t="s">
        <v>213</v>
      </c>
      <c r="C187" s="2">
        <v>29935</v>
      </c>
    </row>
    <row r="188" spans="1:3" ht="15.6" hidden="1" x14ac:dyDescent="0.3">
      <c r="A188" s="2" t="s">
        <v>27</v>
      </c>
      <c r="B188" s="2" t="s">
        <v>214</v>
      </c>
      <c r="C188" s="2">
        <v>29935</v>
      </c>
    </row>
    <row r="189" spans="1:3" ht="15.6" x14ac:dyDescent="0.3">
      <c r="A189" s="2" t="s">
        <v>27</v>
      </c>
      <c r="B189" s="2" t="s">
        <v>215</v>
      </c>
      <c r="C189" s="2">
        <v>29935</v>
      </c>
    </row>
    <row r="190" spans="1:3" ht="15.6" hidden="1" x14ac:dyDescent="0.3">
      <c r="A190" s="2" t="s">
        <v>27</v>
      </c>
      <c r="B190" s="2" t="s">
        <v>216</v>
      </c>
      <c r="C190" s="2">
        <v>127075.0822472189</v>
      </c>
    </row>
    <row r="191" spans="1:3" ht="15.6" x14ac:dyDescent="0.3">
      <c r="A191" s="2" t="s">
        <v>27</v>
      </c>
      <c r="B191" s="2" t="s">
        <v>217</v>
      </c>
      <c r="C191" s="2">
        <v>116368.114261827</v>
      </c>
    </row>
    <row r="192" spans="1:3" ht="15.6" hidden="1" x14ac:dyDescent="0.3">
      <c r="A192" s="2" t="s">
        <v>27</v>
      </c>
      <c r="B192" s="2" t="s">
        <v>218</v>
      </c>
      <c r="C192" s="2">
        <v>1553.3784669115159</v>
      </c>
    </row>
    <row r="193" spans="1:3" ht="15.6" hidden="1" x14ac:dyDescent="0.3">
      <c r="A193" s="2" t="s">
        <v>27</v>
      </c>
      <c r="B193" s="2" t="s">
        <v>219</v>
      </c>
      <c r="C193" s="2">
        <v>33105.98056648831</v>
      </c>
    </row>
    <row r="194" spans="1:3" ht="15.6" x14ac:dyDescent="0.3">
      <c r="A194" s="2" t="s">
        <v>27</v>
      </c>
      <c r="B194" s="2" t="s">
        <v>220</v>
      </c>
      <c r="C194" s="2">
        <v>84000</v>
      </c>
    </row>
    <row r="195" spans="1:3" ht="15.6" hidden="1" x14ac:dyDescent="0.3">
      <c r="A195" s="2" t="s">
        <v>27</v>
      </c>
      <c r="B195" s="2" t="s">
        <v>221</v>
      </c>
      <c r="C195" s="2">
        <v>450</v>
      </c>
    </row>
    <row r="196" spans="1:3" ht="15.6" hidden="1" x14ac:dyDescent="0.3">
      <c r="A196" s="2" t="s">
        <v>27</v>
      </c>
      <c r="B196" s="2" t="s">
        <v>222</v>
      </c>
      <c r="C196" s="2">
        <v>450</v>
      </c>
    </row>
    <row r="197" spans="1:3" ht="15.6" x14ac:dyDescent="0.3">
      <c r="A197" s="2" t="s">
        <v>27</v>
      </c>
      <c r="B197" s="2" t="s">
        <v>223</v>
      </c>
      <c r="C197" s="2">
        <v>450</v>
      </c>
    </row>
    <row r="198" spans="1:3" ht="15.6" hidden="1" x14ac:dyDescent="0.3">
      <c r="A198" s="2" t="s">
        <v>27</v>
      </c>
      <c r="B198" s="2" t="s">
        <v>224</v>
      </c>
      <c r="C198" s="2">
        <v>1910.2651415148989</v>
      </c>
    </row>
    <row r="199" spans="1:3" ht="15.6" x14ac:dyDescent="0.3">
      <c r="A199" s="2" t="s">
        <v>27</v>
      </c>
      <c r="B199" s="2" t="s">
        <v>225</v>
      </c>
      <c r="C199" s="2">
        <v>1749.3118896883959</v>
      </c>
    </row>
    <row r="200" spans="1:3" ht="15.6" hidden="1" x14ac:dyDescent="0.3">
      <c r="A200" s="2" t="s">
        <v>27</v>
      </c>
      <c r="B200" s="2" t="s">
        <v>226</v>
      </c>
      <c r="C200" s="2">
        <v>35.505793529406077</v>
      </c>
    </row>
    <row r="201" spans="1:3" ht="15.6" hidden="1" x14ac:dyDescent="0.3">
      <c r="A201" s="2" t="s">
        <v>27</v>
      </c>
      <c r="B201" s="2" t="s">
        <v>227</v>
      </c>
      <c r="C201" s="2">
        <v>756.70812723401843</v>
      </c>
    </row>
    <row r="202" spans="1:3" ht="15.6" x14ac:dyDescent="0.3">
      <c r="A202" s="2" t="s">
        <v>27</v>
      </c>
      <c r="B202" s="2" t="s">
        <v>228</v>
      </c>
      <c r="C202" s="2">
        <v>1920</v>
      </c>
    </row>
    <row r="203" spans="1:3" ht="15.6" hidden="1" x14ac:dyDescent="0.3">
      <c r="A203" s="2" t="s">
        <v>27</v>
      </c>
      <c r="B203" s="2" t="s">
        <v>229</v>
      </c>
      <c r="C203" s="2">
        <v>3600</v>
      </c>
    </row>
    <row r="204" spans="1:3" ht="15.6" hidden="1" x14ac:dyDescent="0.3">
      <c r="A204" s="2" t="s">
        <v>27</v>
      </c>
      <c r="B204" s="2" t="s">
        <v>230</v>
      </c>
      <c r="C204" s="2">
        <v>400</v>
      </c>
    </row>
    <row r="205" spans="1:3" ht="15.6" x14ac:dyDescent="0.3">
      <c r="A205" s="2" t="s">
        <v>27</v>
      </c>
      <c r="B205" s="2" t="s">
        <v>231</v>
      </c>
      <c r="C205" s="2">
        <v>2400</v>
      </c>
    </row>
    <row r="206" spans="1:3" ht="15.6" hidden="1" x14ac:dyDescent="0.3">
      <c r="A206" s="2" t="s">
        <v>27</v>
      </c>
      <c r="B206" s="2" t="s">
        <v>232</v>
      </c>
      <c r="C206" s="2">
        <v>1440</v>
      </c>
    </row>
    <row r="207" spans="1:3" ht="15.6" hidden="1" x14ac:dyDescent="0.3">
      <c r="A207" s="2" t="s">
        <v>27</v>
      </c>
      <c r="B207" s="2" t="s">
        <v>233</v>
      </c>
      <c r="C207" s="2">
        <v>160</v>
      </c>
    </row>
    <row r="208" spans="1:3" ht="15.6" x14ac:dyDescent="0.3">
      <c r="A208" s="2" t="s">
        <v>27</v>
      </c>
      <c r="B208" s="2" t="s">
        <v>234</v>
      </c>
      <c r="C208" s="2">
        <v>960</v>
      </c>
    </row>
    <row r="209" spans="1:3" ht="15.6" hidden="1" x14ac:dyDescent="0.3">
      <c r="A209" s="2" t="s">
        <v>27</v>
      </c>
      <c r="B209" s="2" t="s">
        <v>235</v>
      </c>
      <c r="C209" s="2">
        <v>26280</v>
      </c>
    </row>
    <row r="210" spans="1:3" ht="15.6" hidden="1" x14ac:dyDescent="0.3">
      <c r="A210" s="2" t="s">
        <v>27</v>
      </c>
      <c r="B210" s="2" t="s">
        <v>236</v>
      </c>
      <c r="C210" s="2">
        <v>26280</v>
      </c>
    </row>
    <row r="211" spans="1:3" ht="15.6" x14ac:dyDescent="0.3">
      <c r="A211" s="2" t="s">
        <v>27</v>
      </c>
      <c r="B211" s="2" t="s">
        <v>237</v>
      </c>
      <c r="C211" s="2">
        <v>26280</v>
      </c>
    </row>
    <row r="212" spans="1:3" ht="15.6" hidden="1" x14ac:dyDescent="0.3">
      <c r="A212" s="2" t="s">
        <v>27</v>
      </c>
      <c r="B212" s="2" t="s">
        <v>238</v>
      </c>
      <c r="C212" s="2">
        <v>111559.4842644701</v>
      </c>
    </row>
    <row r="213" spans="1:3" ht="15.6" x14ac:dyDescent="0.3">
      <c r="A213" s="2" t="s">
        <v>27</v>
      </c>
      <c r="B213" s="2" t="s">
        <v>239</v>
      </c>
      <c r="C213" s="2">
        <v>102159.8143578023</v>
      </c>
    </row>
  </sheetData>
  <autoFilter ref="B1:B213" xr:uid="{D848AA12-72DA-44F7-9AE0-BCCE037F74B8}">
    <filterColumn colId="0">
      <filters>
        <filter val="('Al', 'ASHP', 6)"/>
        <filter val="('Al', 'ATRCCS', 6)"/>
        <filter val="('Al', 'BGCCS', 6)"/>
        <filter val="('Al', 'CCGTCCS', 6)"/>
        <filter val="('Al', 'FC', 6)"/>
        <filter val="('Al', 'H2CCGT', 6)"/>
        <filter val="('Al', 'HPSV', 6)"/>
        <filter val="('Al', 'HyBoiler', 6)"/>
        <filter val="('Al', 'LeadBat', 6)"/>
        <filter val="('Al', 'MPSV', 6)"/>
        <filter val="('Al', 'Nuclear', 6)"/>
        <filter val="('Al', 'OnTeeside', 6)"/>
        <filter val="('Al', 'SMRCCS', 6)"/>
        <filter val="('Al', 'Solar', 6)"/>
        <filter val="('Al', 'WindOff', 6)"/>
        <filter val="('Al', 'WindOn', 6)"/>
        <filter val="('Co', 'ATRCCS', 6)"/>
        <filter val="('Co', 'BGCCS', 6)"/>
        <filter val="('Co', 'CCGTCCS', 6)"/>
        <filter val="('Co', 'H2CCGT', 6)"/>
        <filter val="('Co', 'SMRCCS', 6)"/>
        <filter val="('Cr', 'ATRCCS', 6)"/>
        <filter val="('Cr', 'BGCCS', 6)"/>
        <filter val="('Cr', 'CCGTCCS', 6)"/>
        <filter val="('Cr', 'Nuclear', 6)"/>
        <filter val="('Cr', 'SMRCCS', 6)"/>
        <filter val="('Cr', 'WindOff', 6)"/>
        <filter val="('Cr', 'WindOn', 6)"/>
        <filter val="('Cu', 'ASHP', 6)"/>
        <filter val="('Cu', 'ATRCCS', 6)"/>
        <filter val="('Cu', 'BGCCS', 6)"/>
        <filter val="('Cu', 'CCGTCCS', 6)"/>
        <filter val="('Cu', 'FC', 6)"/>
        <filter val="('Cu', 'H2CCGT', 6)"/>
        <filter val="('Cu', 'HPSV', 6)"/>
        <filter val="('Cu', 'HyBoiler', 6)"/>
        <filter val="('Cu', 'LeadBat', 6)"/>
        <filter val="('Cu', 'MPSV', 6)"/>
        <filter val="('Cu', 'Nuclear', 6)"/>
        <filter val="('Cu', 'OnTeeside', 6)"/>
        <filter val="('Cu', 'SMRCCS', 6)"/>
        <filter val="('Cu', 'Solar', 6)"/>
        <filter val="('Cu', 'WindOff', 6)"/>
        <filter val="('Cu', 'WindOn', 6)"/>
        <filter val="('Fe', 'BGCCS', 6)"/>
        <filter val="('Fe', 'CCGTCCS', 6)"/>
        <filter val="('Fe', 'H2CCGT', 6)"/>
        <filter val="('Fe', 'Nuclear', 6)"/>
        <filter val="('Li', 'LeadBat', 6)"/>
        <filter val="('Mn', 'ATRCCS', 6)"/>
        <filter val="('Mn', 'BGCCS', 6)"/>
        <filter val="('Mn', 'CCGTCCS', 6)"/>
        <filter val="('Mn', 'Nuclear', 6)"/>
        <filter val="('Mn', 'SMRCCS', 6)"/>
        <filter val="('Mn', 'WindOff', 6)"/>
        <filter val="('Mn', 'WindOn', 6)"/>
        <filter val="('Ni', 'ATRCCS', 6)"/>
        <filter val="('Ni', 'BGCCS', 6)"/>
        <filter val="('Ni', 'CCGTCCS', 6)"/>
        <filter val="('Ni', 'FC', 6)"/>
        <filter val="('Ni', 'H2CCGT', 6)"/>
        <filter val="('Ni', 'Nuclear', 6)"/>
        <filter val="('Ni', 'SMRCCS', 6)"/>
        <filter val="('Ni', 'WindOff', 6)"/>
        <filter val="('Ni', 'WindOn', 6)"/>
        <filter val="('Pb', 'BGCCS', 6)"/>
        <filter val="('Pb', 'WindOff', 6)"/>
        <filter val="('Pb', 'WindOn', 6)"/>
        <filter val="('Si', 'Solar', 6)"/>
        <filter val="('Sn', 'Solar', 6)"/>
        <filter val="('Sn', 'WindOff', 6)"/>
        <filter val="('Sn', 'WindOn', 6)"/>
        <filter val="('Ti', 'BGCCS', 6)"/>
        <filter val="('Zn', 'BGCCS', 6)"/>
        <filter val="('Zn', 'WindOff', 6)"/>
        <filter val="('Zn', 'WindOn', 6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3148-F5B6-41A7-8797-A7CA18BDF139}">
  <dimension ref="A1:D77"/>
  <sheetViews>
    <sheetView topLeftCell="A41" workbookViewId="0">
      <selection activeCell="D75" sqref="D75:D77"/>
    </sheetView>
  </sheetViews>
  <sheetFormatPr defaultRowHeight="15" x14ac:dyDescent="0.25"/>
  <cols>
    <col min="2" max="2" width="18.08984375" customWidth="1"/>
  </cols>
  <sheetData>
    <row r="1" spans="1:4" x14ac:dyDescent="0.25">
      <c r="A1" s="3" t="s">
        <v>24</v>
      </c>
      <c r="B1" s="3" t="s">
        <v>25</v>
      </c>
      <c r="C1" s="3" t="s">
        <v>26</v>
      </c>
    </row>
    <row r="2" spans="1:4" ht="15.6" x14ac:dyDescent="0.3">
      <c r="A2" s="2" t="s">
        <v>27</v>
      </c>
      <c r="B2" s="2" t="s">
        <v>30</v>
      </c>
      <c r="C2" s="2">
        <v>19500</v>
      </c>
      <c r="D2">
        <f>C2/862236</f>
        <v>2.2615617997856736E-2</v>
      </c>
    </row>
    <row r="3" spans="1:4" ht="15.6" x14ac:dyDescent="0.3">
      <c r="A3" s="2" t="s">
        <v>27</v>
      </c>
      <c r="B3" s="2" t="s">
        <v>33</v>
      </c>
      <c r="C3" s="2">
        <v>20000</v>
      </c>
      <c r="D3">
        <f t="shared" ref="D3:D15" si="0">C3/862236</f>
        <v>2.319550563882742E-2</v>
      </c>
    </row>
    <row r="4" spans="1:4" ht="15.6" x14ac:dyDescent="0.3">
      <c r="A4" s="2" t="s">
        <v>27</v>
      </c>
      <c r="B4" s="2" t="s">
        <v>36</v>
      </c>
      <c r="C4" s="2">
        <v>6600</v>
      </c>
      <c r="D4">
        <f t="shared" si="0"/>
        <v>7.6545168608130485E-3</v>
      </c>
    </row>
    <row r="5" spans="1:4" ht="15.6" x14ac:dyDescent="0.3">
      <c r="A5" s="2" t="s">
        <v>27</v>
      </c>
      <c r="B5" s="2" t="s">
        <v>37</v>
      </c>
      <c r="C5" s="2">
        <v>5064.6000000000004</v>
      </c>
      <c r="D5">
        <f t="shared" si="0"/>
        <v>5.8737978929202682E-3</v>
      </c>
    </row>
    <row r="6" spans="1:4" ht="15.6" x14ac:dyDescent="0.3">
      <c r="A6" s="2" t="s">
        <v>27</v>
      </c>
      <c r="B6" s="2" t="s">
        <v>40</v>
      </c>
      <c r="C6" s="2">
        <v>8920</v>
      </c>
      <c r="D6">
        <f t="shared" si="0"/>
        <v>1.0345195514917029E-2</v>
      </c>
    </row>
    <row r="7" spans="1:4" ht="15.6" x14ac:dyDescent="0.3">
      <c r="A7" s="2" t="s">
        <v>27</v>
      </c>
      <c r="B7" s="2" t="s">
        <v>43</v>
      </c>
      <c r="C7" s="2">
        <v>720</v>
      </c>
      <c r="D7">
        <f t="shared" si="0"/>
        <v>8.3503820299778717E-4</v>
      </c>
    </row>
    <row r="8" spans="1:4" ht="15.6" x14ac:dyDescent="0.3">
      <c r="A8" s="2" t="s">
        <v>27</v>
      </c>
      <c r="B8" s="2" t="s">
        <v>46</v>
      </c>
      <c r="C8" s="2">
        <v>4460</v>
      </c>
      <c r="D8">
        <f t="shared" si="0"/>
        <v>5.1725977574585144E-3</v>
      </c>
    </row>
    <row r="9" spans="1:4" ht="15.6" x14ac:dyDescent="0.3">
      <c r="A9" s="2" t="s">
        <v>27</v>
      </c>
      <c r="B9" s="2" t="s">
        <v>49</v>
      </c>
      <c r="C9" s="2">
        <v>6775</v>
      </c>
      <c r="D9">
        <f t="shared" si="0"/>
        <v>7.8574775351527883E-3</v>
      </c>
    </row>
    <row r="10" spans="1:4" ht="15.6" x14ac:dyDescent="0.3">
      <c r="A10" s="2" t="s">
        <v>27</v>
      </c>
      <c r="B10" s="2" t="s">
        <v>51</v>
      </c>
      <c r="C10" s="2">
        <v>26336.862339197531</v>
      </c>
      <c r="D10">
        <f t="shared" si="0"/>
        <v>3.0544841944893892E-2</v>
      </c>
    </row>
    <row r="11" spans="1:4" ht="15.6" x14ac:dyDescent="0.3">
      <c r="A11" s="2" t="s">
        <v>27</v>
      </c>
      <c r="B11" s="2" t="s">
        <v>54</v>
      </c>
      <c r="C11" s="2">
        <v>486570</v>
      </c>
      <c r="D11">
        <f t="shared" si="0"/>
        <v>0.56431185893421287</v>
      </c>
    </row>
    <row r="12" spans="1:4" ht="15.6" x14ac:dyDescent="0.3">
      <c r="A12" s="2" t="s">
        <v>27</v>
      </c>
      <c r="B12" s="2" t="s">
        <v>57</v>
      </c>
      <c r="C12" s="2">
        <v>43290</v>
      </c>
      <c r="D12">
        <f t="shared" si="0"/>
        <v>5.0206671955241949E-2</v>
      </c>
    </row>
    <row r="13" spans="1:4" ht="15.6" x14ac:dyDescent="0.3">
      <c r="A13" s="2" t="s">
        <v>27</v>
      </c>
      <c r="B13" s="2" t="s">
        <v>58</v>
      </c>
      <c r="C13" s="2">
        <v>43290</v>
      </c>
      <c r="D13">
        <f t="shared" si="0"/>
        <v>5.0206671955241949E-2</v>
      </c>
    </row>
    <row r="14" spans="1:4" ht="15.6" x14ac:dyDescent="0.3">
      <c r="A14" s="2" t="s">
        <v>27</v>
      </c>
      <c r="B14" s="2" t="s">
        <v>59</v>
      </c>
      <c r="C14" s="2">
        <v>2180000</v>
      </c>
      <c r="D14">
        <f t="shared" si="0"/>
        <v>2.5283101146321889</v>
      </c>
    </row>
    <row r="15" spans="1:4" ht="15.6" x14ac:dyDescent="0.3">
      <c r="A15" s="2" t="s">
        <v>27</v>
      </c>
      <c r="B15" s="2" t="s">
        <v>65</v>
      </c>
      <c r="C15" s="2">
        <v>277290</v>
      </c>
      <c r="D15">
        <f t="shared" si="0"/>
        <v>0.32159408792952277</v>
      </c>
    </row>
    <row r="16" spans="1:4" ht="15.6" x14ac:dyDescent="0.3">
      <c r="A16" s="2" t="s">
        <v>27</v>
      </c>
      <c r="B16" s="2" t="s">
        <v>68</v>
      </c>
      <c r="C16" s="2">
        <v>33009.544626627503</v>
      </c>
    </row>
    <row r="17" spans="1:4" ht="15.6" x14ac:dyDescent="0.3">
      <c r="A17" s="2" t="s">
        <v>27</v>
      </c>
      <c r="B17" s="2" t="s">
        <v>71</v>
      </c>
      <c r="C17" s="2">
        <v>108978.8900435652</v>
      </c>
    </row>
    <row r="18" spans="1:4" ht="15.6" x14ac:dyDescent="0.3">
      <c r="A18" s="2" t="s">
        <v>27</v>
      </c>
      <c r="B18" s="2" t="s">
        <v>74</v>
      </c>
      <c r="C18" s="2">
        <v>83.85</v>
      </c>
      <c r="D18">
        <f>C18/314.05</f>
        <v>0.26699570132144562</v>
      </c>
    </row>
    <row r="19" spans="1:4" ht="15.6" x14ac:dyDescent="0.3">
      <c r="A19" s="2" t="s">
        <v>27</v>
      </c>
      <c r="B19" s="2" t="s">
        <v>77</v>
      </c>
      <c r="C19" s="2">
        <v>86</v>
      </c>
      <c r="D19">
        <f t="shared" ref="D19:D22" si="1">C19/314.05</f>
        <v>0.27384174494507241</v>
      </c>
    </row>
    <row r="20" spans="1:4" ht="15.6" x14ac:dyDescent="0.3">
      <c r="A20" s="2" t="s">
        <v>27</v>
      </c>
      <c r="B20" s="2" t="s">
        <v>80</v>
      </c>
      <c r="C20" s="2">
        <v>23.7</v>
      </c>
      <c r="D20">
        <f t="shared" si="1"/>
        <v>7.5465690176723443E-2</v>
      </c>
    </row>
    <row r="21" spans="1:4" ht="15.6" x14ac:dyDescent="0.3">
      <c r="A21" s="2" t="s">
        <v>27</v>
      </c>
      <c r="B21" s="2" t="s">
        <v>83</v>
      </c>
      <c r="C21" s="2">
        <v>66</v>
      </c>
      <c r="D21">
        <f t="shared" si="1"/>
        <v>0.21015761821366025</v>
      </c>
    </row>
    <row r="22" spans="1:4" ht="15.6" x14ac:dyDescent="0.3">
      <c r="A22" s="2" t="s">
        <v>27</v>
      </c>
      <c r="B22" s="2" t="s">
        <v>86</v>
      </c>
      <c r="C22" s="2">
        <v>54.5</v>
      </c>
      <c r="D22">
        <f t="shared" si="1"/>
        <v>0.17353924534309823</v>
      </c>
    </row>
    <row r="23" spans="1:4" ht="15.6" x14ac:dyDescent="0.3">
      <c r="A23" s="2" t="s">
        <v>27</v>
      </c>
      <c r="B23" s="2" t="s">
        <v>89</v>
      </c>
      <c r="C23" s="2">
        <v>3822</v>
      </c>
      <c r="D23">
        <f>C23/22886</f>
        <v>0.16700166040374029</v>
      </c>
    </row>
    <row r="24" spans="1:4" ht="15.6" x14ac:dyDescent="0.3">
      <c r="A24" s="2" t="s">
        <v>27</v>
      </c>
      <c r="B24" s="2" t="s">
        <v>92</v>
      </c>
      <c r="C24" s="2">
        <v>3920</v>
      </c>
      <c r="D24">
        <f t="shared" ref="D24:D29" si="2">C24/22886</f>
        <v>0.17128375426024645</v>
      </c>
    </row>
    <row r="25" spans="1:4" ht="15.6" x14ac:dyDescent="0.3">
      <c r="A25" s="2" t="s">
        <v>27</v>
      </c>
      <c r="B25" s="2" t="s">
        <v>95</v>
      </c>
      <c r="C25" s="2">
        <v>602.4</v>
      </c>
      <c r="D25">
        <f t="shared" si="2"/>
        <v>2.6321768766931746E-2</v>
      </c>
    </row>
    <row r="26" spans="1:4" ht="15.6" x14ac:dyDescent="0.3">
      <c r="A26" s="2" t="s">
        <v>27</v>
      </c>
      <c r="B26" s="2" t="s">
        <v>98</v>
      </c>
      <c r="C26" s="2">
        <v>1686</v>
      </c>
      <c r="D26">
        <f t="shared" si="2"/>
        <v>7.3669492266014158E-2</v>
      </c>
    </row>
    <row r="27" spans="1:4" ht="15.6" x14ac:dyDescent="0.3">
      <c r="A27" s="2" t="s">
        <v>27</v>
      </c>
      <c r="B27" s="2" t="s">
        <v>101</v>
      </c>
      <c r="C27" s="2">
        <v>980</v>
      </c>
      <c r="D27">
        <f t="shared" si="2"/>
        <v>4.2820938565061611E-2</v>
      </c>
    </row>
    <row r="28" spans="1:4" ht="15.6" x14ac:dyDescent="0.3">
      <c r="A28" s="2" t="s">
        <v>27</v>
      </c>
      <c r="B28" s="2" t="s">
        <v>104</v>
      </c>
      <c r="C28" s="2">
        <v>2430</v>
      </c>
      <c r="D28">
        <f t="shared" si="2"/>
        <v>0.1061784497072446</v>
      </c>
    </row>
    <row r="29" spans="1:4" ht="15.6" x14ac:dyDescent="0.3">
      <c r="A29" s="2" t="s">
        <v>27</v>
      </c>
      <c r="B29" s="2" t="s">
        <v>106</v>
      </c>
      <c r="C29" s="2">
        <v>9446.2842043173405</v>
      </c>
      <c r="D29">
        <f t="shared" si="2"/>
        <v>0.41275383222569872</v>
      </c>
    </row>
    <row r="30" spans="1:4" ht="15.6" x14ac:dyDescent="0.3">
      <c r="A30" s="2" t="s">
        <v>27</v>
      </c>
      <c r="B30" s="2" t="s">
        <v>109</v>
      </c>
      <c r="C30" s="2">
        <v>43485</v>
      </c>
      <c r="D30">
        <f>C30/530431.2</f>
        <v>8.1980471736956662E-2</v>
      </c>
    </row>
    <row r="31" spans="1:4" ht="15.6" x14ac:dyDescent="0.3">
      <c r="A31" s="2" t="s">
        <v>27</v>
      </c>
      <c r="B31" s="2" t="s">
        <v>112</v>
      </c>
      <c r="C31" s="2">
        <v>44600</v>
      </c>
      <c r="D31">
        <f t="shared" ref="D31:D43" si="3">C31/530431.2</f>
        <v>8.4082535114827342E-2</v>
      </c>
    </row>
    <row r="32" spans="1:4" ht="15.6" x14ac:dyDescent="0.3">
      <c r="A32" s="2" t="s">
        <v>27</v>
      </c>
      <c r="B32" s="2" t="s">
        <v>115</v>
      </c>
      <c r="C32" s="2">
        <v>12174</v>
      </c>
      <c r="D32">
        <f t="shared" si="3"/>
        <v>2.2951138620805112E-2</v>
      </c>
    </row>
    <row r="33" spans="1:4" ht="15.6" x14ac:dyDescent="0.3">
      <c r="A33" s="2" t="s">
        <v>27</v>
      </c>
      <c r="B33" s="2" t="s">
        <v>116</v>
      </c>
      <c r="C33" s="2">
        <v>5866.1279999999997</v>
      </c>
      <c r="D33">
        <f t="shared" si="3"/>
        <v>1.1059168465203405E-2</v>
      </c>
    </row>
    <row r="34" spans="1:4" ht="15.6" x14ac:dyDescent="0.3">
      <c r="A34" s="2" t="s">
        <v>27</v>
      </c>
      <c r="B34" s="2" t="s">
        <v>119</v>
      </c>
      <c r="C34" s="2">
        <v>21060</v>
      </c>
      <c r="D34">
        <f t="shared" si="3"/>
        <v>3.970354685018529E-2</v>
      </c>
    </row>
    <row r="35" spans="1:4" ht="15.6" x14ac:dyDescent="0.3">
      <c r="A35" s="2" t="s">
        <v>27</v>
      </c>
      <c r="B35" s="2" t="s">
        <v>122</v>
      </c>
      <c r="C35" s="2">
        <v>7830</v>
      </c>
      <c r="D35">
        <f t="shared" si="3"/>
        <v>1.4761575110966325E-2</v>
      </c>
    </row>
    <row r="36" spans="1:4" ht="15.6" x14ac:dyDescent="0.3">
      <c r="A36" s="2" t="s">
        <v>27</v>
      </c>
      <c r="B36" s="2" t="s">
        <v>125</v>
      </c>
      <c r="C36" s="2">
        <v>11680</v>
      </c>
      <c r="D36">
        <f t="shared" si="3"/>
        <v>2.2019820855183482E-2</v>
      </c>
    </row>
    <row r="37" spans="1:4" ht="15.6" x14ac:dyDescent="0.3">
      <c r="A37" s="2" t="s">
        <v>27</v>
      </c>
      <c r="B37" s="2" t="s">
        <v>128</v>
      </c>
      <c r="C37" s="2">
        <v>18545</v>
      </c>
      <c r="D37">
        <f t="shared" si="3"/>
        <v>3.4962121383508363E-2</v>
      </c>
    </row>
    <row r="38" spans="1:4" ht="15.6" x14ac:dyDescent="0.3">
      <c r="A38" s="2" t="s">
        <v>27</v>
      </c>
      <c r="B38" s="2" t="s">
        <v>130</v>
      </c>
      <c r="C38" s="2">
        <v>72091.086653936247</v>
      </c>
      <c r="D38">
        <f t="shared" si="3"/>
        <v>0.13591034361088913</v>
      </c>
    </row>
    <row r="39" spans="1:4" ht="15.6" x14ac:dyDescent="0.3">
      <c r="A39" s="2" t="s">
        <v>27</v>
      </c>
      <c r="B39" s="2" t="s">
        <v>133</v>
      </c>
      <c r="C39" s="2">
        <v>126870</v>
      </c>
      <c r="D39">
        <f t="shared" si="3"/>
        <v>0.23918276300489114</v>
      </c>
    </row>
    <row r="40" spans="1:4" ht="15.6" x14ac:dyDescent="0.3">
      <c r="A40" s="2" t="s">
        <v>27</v>
      </c>
      <c r="B40" s="2" t="s">
        <v>136</v>
      </c>
      <c r="C40" s="2">
        <v>8658</v>
      </c>
    </row>
    <row r="41" spans="1:4" ht="15.6" x14ac:dyDescent="0.3">
      <c r="A41" s="2" t="s">
        <v>27</v>
      </c>
      <c r="B41" s="2" t="s">
        <v>137</v>
      </c>
      <c r="C41" s="2">
        <v>8658</v>
      </c>
    </row>
    <row r="42" spans="1:4" ht="15.6" x14ac:dyDescent="0.3">
      <c r="A42" s="2" t="s">
        <v>27</v>
      </c>
      <c r="B42" s="2" t="s">
        <v>138</v>
      </c>
      <c r="C42" s="2">
        <v>436000</v>
      </c>
    </row>
    <row r="43" spans="1:4" ht="15.6" x14ac:dyDescent="0.3">
      <c r="A43" s="2" t="s">
        <v>27</v>
      </c>
      <c r="B43" s="2" t="s">
        <v>144</v>
      </c>
      <c r="C43" s="2">
        <v>166230</v>
      </c>
      <c r="D43">
        <f t="shared" si="3"/>
        <v>0.31338654287304368</v>
      </c>
    </row>
    <row r="44" spans="1:4" ht="15.6" x14ac:dyDescent="0.3">
      <c r="A44" s="2" t="s">
        <v>27</v>
      </c>
      <c r="B44" s="2" t="s">
        <v>147</v>
      </c>
      <c r="C44" s="2">
        <v>66019.089253254991</v>
      </c>
    </row>
    <row r="45" spans="1:4" ht="15.6" x14ac:dyDescent="0.3">
      <c r="A45" s="2" t="s">
        <v>27</v>
      </c>
      <c r="B45" s="2" t="s">
        <v>150</v>
      </c>
      <c r="C45" s="2">
        <v>95356.52878811954</v>
      </c>
    </row>
    <row r="46" spans="1:4" ht="15.6" x14ac:dyDescent="0.3">
      <c r="A46" s="2" t="s">
        <v>27</v>
      </c>
      <c r="B46" s="2" t="s">
        <v>153</v>
      </c>
      <c r="C46" s="2">
        <v>5400</v>
      </c>
      <c r="D46">
        <f>C46/31050</f>
        <v>0.17391304347826086</v>
      </c>
    </row>
    <row r="47" spans="1:4" ht="15.6" x14ac:dyDescent="0.3">
      <c r="A47" s="2" t="s">
        <v>27</v>
      </c>
      <c r="B47" s="2" t="s">
        <v>156</v>
      </c>
      <c r="C47" s="2">
        <v>10980</v>
      </c>
      <c r="D47">
        <f t="shared" ref="D47:D49" si="4">C47/31050</f>
        <v>0.3536231884057971</v>
      </c>
    </row>
    <row r="48" spans="1:4" ht="15.6" x14ac:dyDescent="0.3">
      <c r="A48" s="2" t="s">
        <v>27</v>
      </c>
      <c r="B48" s="2" t="s">
        <v>159</v>
      </c>
      <c r="C48" s="2">
        <v>9180</v>
      </c>
      <c r="D48">
        <f t="shared" si="4"/>
        <v>0.29565217391304349</v>
      </c>
    </row>
    <row r="49" spans="1:4" ht="15.6" x14ac:dyDescent="0.3">
      <c r="A49" s="2" t="s">
        <v>27</v>
      </c>
      <c r="B49" s="2" t="s">
        <v>162</v>
      </c>
      <c r="C49" s="2">
        <v>5490</v>
      </c>
      <c r="D49">
        <f t="shared" si="4"/>
        <v>0.17681159420289855</v>
      </c>
    </row>
    <row r="50" spans="1:4" ht="15.6" x14ac:dyDescent="0.3">
      <c r="A50" s="2" t="s">
        <v>27</v>
      </c>
      <c r="B50" s="2" t="s">
        <v>165</v>
      </c>
      <c r="C50" s="2">
        <v>20880</v>
      </c>
    </row>
    <row r="51" spans="1:4" ht="15.6" x14ac:dyDescent="0.3">
      <c r="A51" s="2" t="s">
        <v>27</v>
      </c>
      <c r="B51" s="2" t="s">
        <v>168</v>
      </c>
      <c r="C51" s="2">
        <v>39624</v>
      </c>
      <c r="D51">
        <f>C51/101002.89</f>
        <v>0.3923056063049285</v>
      </c>
    </row>
    <row r="52" spans="1:4" ht="15.6" x14ac:dyDescent="0.3">
      <c r="A52" s="2" t="s">
        <v>27</v>
      </c>
      <c r="B52" s="2" t="s">
        <v>171</v>
      </c>
      <c r="C52" s="2">
        <v>40640</v>
      </c>
      <c r="D52">
        <f t="shared" ref="D52:D57" si="5">C52/101002.89</f>
        <v>0.40236472441531129</v>
      </c>
    </row>
    <row r="53" spans="1:4" ht="15.6" x14ac:dyDescent="0.3">
      <c r="A53" s="2" t="s">
        <v>27</v>
      </c>
      <c r="B53" s="2" t="s">
        <v>174</v>
      </c>
      <c r="C53" s="2">
        <v>6096</v>
      </c>
      <c r="D53">
        <f t="shared" si="5"/>
        <v>6.035470866229669E-2</v>
      </c>
    </row>
    <row r="54" spans="1:4" ht="15.6" x14ac:dyDescent="0.3">
      <c r="A54" s="2" t="s">
        <v>27</v>
      </c>
      <c r="B54" s="2" t="s">
        <v>177</v>
      </c>
      <c r="C54" s="2">
        <v>3090</v>
      </c>
      <c r="D54">
        <f t="shared" si="5"/>
        <v>3.0593184016813775E-2</v>
      </c>
    </row>
    <row r="55" spans="1:4" ht="15.6" x14ac:dyDescent="0.3">
      <c r="A55" s="2" t="s">
        <v>27</v>
      </c>
      <c r="B55" s="2" t="s">
        <v>180</v>
      </c>
      <c r="C55" s="2">
        <v>10160</v>
      </c>
      <c r="D55">
        <f t="shared" si="5"/>
        <v>0.10059118110382782</v>
      </c>
    </row>
    <row r="56" spans="1:4" ht="15.6" x14ac:dyDescent="0.3">
      <c r="A56" s="2" t="s">
        <v>27</v>
      </c>
      <c r="B56" s="2" t="s">
        <v>183</v>
      </c>
      <c r="C56" s="2">
        <v>285</v>
      </c>
      <c r="D56">
        <f t="shared" si="5"/>
        <v>2.8217014384439893E-3</v>
      </c>
    </row>
    <row r="57" spans="1:4" ht="15.6" x14ac:dyDescent="0.3">
      <c r="A57" s="2" t="s">
        <v>27</v>
      </c>
      <c r="B57" s="2" t="s">
        <v>185</v>
      </c>
      <c r="C57" s="2">
        <v>1107.897530135984</v>
      </c>
      <c r="D57">
        <f t="shared" si="5"/>
        <v>1.0968968612046487E-2</v>
      </c>
    </row>
    <row r="58" spans="1:4" ht="15.6" x14ac:dyDescent="0.3">
      <c r="A58" s="2" t="s">
        <v>27</v>
      </c>
      <c r="B58" s="2" t="s">
        <v>188</v>
      </c>
      <c r="C58" s="2">
        <v>89739</v>
      </c>
      <c r="D58">
        <f>C58/226369.88</f>
        <v>0.39642641503366083</v>
      </c>
    </row>
    <row r="59" spans="1:4" ht="15.6" x14ac:dyDescent="0.3">
      <c r="A59" s="2" t="s">
        <v>27</v>
      </c>
      <c r="B59" s="2" t="s">
        <v>191</v>
      </c>
      <c r="C59" s="2">
        <v>92040</v>
      </c>
      <c r="D59">
        <f t="shared" ref="D59:D66" si="6">C59/226369.88</f>
        <v>0.40659119490631879</v>
      </c>
    </row>
    <row r="60" spans="1:4" ht="15.6" x14ac:dyDescent="0.3">
      <c r="A60" s="2" t="s">
        <v>27</v>
      </c>
      <c r="B60" s="2" t="s">
        <v>194</v>
      </c>
      <c r="C60" s="2">
        <v>1926</v>
      </c>
      <c r="D60">
        <f t="shared" si="6"/>
        <v>8.5081990589914169E-3</v>
      </c>
    </row>
    <row r="61" spans="1:4" ht="15.6" x14ac:dyDescent="0.3">
      <c r="A61" s="2" t="s">
        <v>27</v>
      </c>
      <c r="B61" s="2" t="s">
        <v>195</v>
      </c>
      <c r="C61" s="2">
        <v>29154.48</v>
      </c>
      <c r="D61">
        <f t="shared" si="6"/>
        <v>0.128791339201134</v>
      </c>
    </row>
    <row r="62" spans="1:4" ht="15.6" x14ac:dyDescent="0.3">
      <c r="A62" s="2" t="s">
        <v>27</v>
      </c>
      <c r="B62" s="2" t="s">
        <v>198</v>
      </c>
      <c r="C62" s="2">
        <v>810</v>
      </c>
      <c r="D62">
        <f t="shared" si="6"/>
        <v>3.5782145575197549E-3</v>
      </c>
    </row>
    <row r="63" spans="1:4" ht="15.6" x14ac:dyDescent="0.3">
      <c r="A63" s="2" t="s">
        <v>27</v>
      </c>
      <c r="B63" s="2" t="s">
        <v>201</v>
      </c>
      <c r="C63" s="2">
        <v>1710</v>
      </c>
      <c r="D63">
        <f t="shared" si="6"/>
        <v>7.5540085103194821E-3</v>
      </c>
    </row>
    <row r="64" spans="1:4" ht="15.6" x14ac:dyDescent="0.3">
      <c r="A64" s="2" t="s">
        <v>27</v>
      </c>
      <c r="B64" s="2" t="s">
        <v>204</v>
      </c>
      <c r="C64" s="2">
        <v>3415</v>
      </c>
      <c r="D64">
        <f t="shared" si="6"/>
        <v>1.5085929276456744E-2</v>
      </c>
    </row>
    <row r="65" spans="1:4" ht="15.6" x14ac:dyDescent="0.3">
      <c r="A65" s="2" t="s">
        <v>27</v>
      </c>
      <c r="B65" s="2" t="s">
        <v>207</v>
      </c>
      <c r="C65" s="2">
        <v>1550</v>
      </c>
      <c r="D65">
        <f t="shared" si="6"/>
        <v>6.8472006964884194E-3</v>
      </c>
    </row>
    <row r="66" spans="1:4" ht="15.6" x14ac:dyDescent="0.3">
      <c r="A66" s="2" t="s">
        <v>27</v>
      </c>
      <c r="B66" s="2" t="s">
        <v>209</v>
      </c>
      <c r="C66" s="2">
        <v>6025.4076200378086</v>
      </c>
      <c r="D66">
        <f t="shared" si="6"/>
        <v>2.6617532420999686E-2</v>
      </c>
    </row>
    <row r="67" spans="1:4" ht="15.6" x14ac:dyDescent="0.3">
      <c r="A67" s="2" t="s">
        <v>27</v>
      </c>
      <c r="B67" s="2" t="s">
        <v>212</v>
      </c>
      <c r="C67" s="2">
        <v>624</v>
      </c>
      <c r="D67">
        <f>C67/146927</f>
        <v>4.2470070170901198E-3</v>
      </c>
    </row>
    <row r="68" spans="1:4" ht="15.6" x14ac:dyDescent="0.3">
      <c r="A68" s="2" t="s">
        <v>27</v>
      </c>
      <c r="B68" s="2" t="s">
        <v>215</v>
      </c>
      <c r="C68" s="2">
        <v>29935</v>
      </c>
      <c r="D68">
        <f t="shared" ref="D68:D69" si="7">C68/146927</f>
        <v>0.20374063310351398</v>
      </c>
    </row>
    <row r="69" spans="1:4" ht="15.6" x14ac:dyDescent="0.3">
      <c r="A69" s="2" t="s">
        <v>27</v>
      </c>
      <c r="B69" s="2" t="s">
        <v>217</v>
      </c>
      <c r="C69" s="2">
        <v>116368.114261827</v>
      </c>
      <c r="D69">
        <f t="shared" si="7"/>
        <v>0.79201313755692959</v>
      </c>
    </row>
    <row r="70" spans="1:4" ht="15.6" x14ac:dyDescent="0.3">
      <c r="A70" s="2" t="s">
        <v>27</v>
      </c>
      <c r="B70" s="2" t="s">
        <v>220</v>
      </c>
      <c r="C70" s="2">
        <v>84000</v>
      </c>
    </row>
    <row r="71" spans="1:4" ht="15.6" x14ac:dyDescent="0.3">
      <c r="A71" s="2" t="s">
        <v>27</v>
      </c>
      <c r="B71" s="2" t="s">
        <v>223</v>
      </c>
      <c r="C71" s="2">
        <v>450</v>
      </c>
      <c r="D71">
        <f>C71/4119.3</f>
        <v>0.10924186148131963</v>
      </c>
    </row>
    <row r="72" spans="1:4" ht="15.6" x14ac:dyDescent="0.3">
      <c r="A72" s="2" t="s">
        <v>27</v>
      </c>
      <c r="B72" s="2" t="s">
        <v>225</v>
      </c>
      <c r="C72" s="2">
        <v>1749.3118896883959</v>
      </c>
      <c r="D72">
        <f t="shared" ref="D72:D73" si="8">C72/4119.3</f>
        <v>0.42466241586881165</v>
      </c>
    </row>
    <row r="73" spans="1:4" ht="15.6" x14ac:dyDescent="0.3">
      <c r="A73" s="2" t="s">
        <v>27</v>
      </c>
      <c r="B73" s="2" t="s">
        <v>228</v>
      </c>
      <c r="C73" s="2">
        <v>1920</v>
      </c>
      <c r="D73">
        <f t="shared" si="8"/>
        <v>0.46609860898696376</v>
      </c>
    </row>
    <row r="74" spans="1:4" ht="15.6" x14ac:dyDescent="0.3">
      <c r="A74" s="2" t="s">
        <v>27</v>
      </c>
      <c r="B74" s="2" t="s">
        <v>231</v>
      </c>
      <c r="C74" s="2">
        <v>2400</v>
      </c>
    </row>
    <row r="75" spans="1:4" ht="15.6" x14ac:dyDescent="0.3">
      <c r="A75" s="2" t="s">
        <v>27</v>
      </c>
      <c r="B75" s="2" t="s">
        <v>234</v>
      </c>
      <c r="C75" s="2">
        <v>960</v>
      </c>
      <c r="D75">
        <f>C75/129399.8</f>
        <v>7.4188677262252336E-3</v>
      </c>
    </row>
    <row r="76" spans="1:4" ht="15.6" x14ac:dyDescent="0.3">
      <c r="A76" s="2" t="s">
        <v>27</v>
      </c>
      <c r="B76" s="2" t="s">
        <v>237</v>
      </c>
      <c r="C76" s="2">
        <v>26280</v>
      </c>
      <c r="D76">
        <f t="shared" ref="D76:D77" si="9">C76/129399.8</f>
        <v>0.20309150400541576</v>
      </c>
    </row>
    <row r="77" spans="1:4" ht="15.6" x14ac:dyDescent="0.3">
      <c r="A77" s="2" t="s">
        <v>27</v>
      </c>
      <c r="B77" s="2" t="s">
        <v>239</v>
      </c>
      <c r="C77" s="2">
        <v>102159.8143578023</v>
      </c>
      <c r="D77">
        <f t="shared" si="9"/>
        <v>0.78948973922527155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9DA3-B6B3-4FDA-81BF-24C2763C2281}">
  <dimension ref="C2:P14"/>
  <sheetViews>
    <sheetView tabSelected="1" workbookViewId="0">
      <selection activeCell="I24" sqref="I24"/>
    </sheetView>
  </sheetViews>
  <sheetFormatPr defaultRowHeight="15" x14ac:dyDescent="0.25"/>
  <sheetData>
    <row r="2" spans="3:16" x14ac:dyDescent="0.25"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18</v>
      </c>
      <c r="K2" t="s">
        <v>17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3:16" x14ac:dyDescent="0.25">
      <c r="C3" t="s">
        <v>0</v>
      </c>
      <c r="D3">
        <f>D14*0.03</f>
        <v>25867.079999999998</v>
      </c>
      <c r="E3">
        <v>0</v>
      </c>
      <c r="F3">
        <f>0.462*F14</f>
        <v>10573.64616</v>
      </c>
      <c r="G3">
        <f>G14*0.135</f>
        <v>73945.845000000001</v>
      </c>
      <c r="H3">
        <v>0</v>
      </c>
      <c r="I3">
        <v>0</v>
      </c>
      <c r="J3">
        <f>J14*0.011</f>
        <v>1111.03179</v>
      </c>
      <c r="K3">
        <f>0.0269*K14</f>
        <v>6089.3497720000005</v>
      </c>
      <c r="L3">
        <f>0.79*L14</f>
        <v>116072.33</v>
      </c>
      <c r="M3">
        <v>0</v>
      </c>
      <c r="N3">
        <f>0.422*N14</f>
        <v>1738.3446000000001</v>
      </c>
      <c r="O3">
        <v>0</v>
      </c>
      <c r="P3">
        <f>0.79*P14</f>
        <v>102225.842</v>
      </c>
    </row>
    <row r="4" spans="3:16" x14ac:dyDescent="0.25">
      <c r="C4" t="s">
        <v>1</v>
      </c>
      <c r="D4">
        <f>D14*0.005</f>
        <v>4311.18</v>
      </c>
      <c r="E4">
        <v>0</v>
      </c>
      <c r="F4">
        <f>F14*0.116</f>
        <v>2654.8548800000003</v>
      </c>
      <c r="G4">
        <f>G14*0.035</f>
        <v>19171.145</v>
      </c>
      <c r="H4">
        <v>0</v>
      </c>
      <c r="I4">
        <v>0</v>
      </c>
      <c r="J4">
        <f>J14*0.009</f>
        <v>909.02600999999993</v>
      </c>
      <c r="K4">
        <f>0.0069*K14</f>
        <v>1561.952172</v>
      </c>
      <c r="L4">
        <f>L14*0.2</f>
        <v>29385.4</v>
      </c>
      <c r="M4">
        <v>0</v>
      </c>
      <c r="N4">
        <f>0.112*N14</f>
        <v>461.36160000000001</v>
      </c>
      <c r="O4">
        <v>0</v>
      </c>
      <c r="P4">
        <f>0.203*P14</f>
        <v>26268.159400000004</v>
      </c>
    </row>
    <row r="5" spans="3:16" x14ac:dyDescent="0.25">
      <c r="C5" t="s">
        <v>2</v>
      </c>
      <c r="D5">
        <f>D14*0.56</f>
        <v>482852.16000000003</v>
      </c>
      <c r="E5">
        <v>0</v>
      </c>
      <c r="F5">
        <v>0</v>
      </c>
      <c r="G5">
        <f>G14*0.239</f>
        <v>130911.533</v>
      </c>
      <c r="H5">
        <v>0</v>
      </c>
      <c r="I5">
        <v>0</v>
      </c>
      <c r="J5">
        <v>0</v>
      </c>
      <c r="K5">
        <v>0</v>
      </c>
      <c r="L5">
        <v>0</v>
      </c>
      <c r="M5">
        <v>84000</v>
      </c>
      <c r="N5">
        <f>N14*0.466</f>
        <v>1919.5938000000001</v>
      </c>
      <c r="O5">
        <v>0</v>
      </c>
      <c r="P5">
        <v>0</v>
      </c>
    </row>
    <row r="6" spans="3:16" x14ac:dyDescent="0.25">
      <c r="C6" t="s">
        <v>3</v>
      </c>
      <c r="D6">
        <f>D14*0.008</f>
        <v>6897.8879999999999</v>
      </c>
      <c r="E6">
        <v>0</v>
      </c>
      <c r="F6">
        <v>0</v>
      </c>
      <c r="G6">
        <f>G14*0.0149</f>
        <v>8161.4303</v>
      </c>
      <c r="H6">
        <f>H14*0.29</f>
        <v>900.44999999999993</v>
      </c>
      <c r="I6">
        <v>0</v>
      </c>
      <c r="J6">
        <f>J14*0.03</f>
        <v>3030.0866999999998</v>
      </c>
      <c r="K6">
        <f>0.009*K14</f>
        <v>2037.3289199999999</v>
      </c>
      <c r="L6">
        <v>0</v>
      </c>
      <c r="M6">
        <v>0</v>
      </c>
      <c r="N6">
        <v>0</v>
      </c>
      <c r="O6">
        <v>0</v>
      </c>
      <c r="P6">
        <v>0</v>
      </c>
    </row>
    <row r="7" spans="3:16" x14ac:dyDescent="0.25">
      <c r="C7" t="s">
        <v>4</v>
      </c>
      <c r="D7">
        <f>D14*0.005</f>
        <v>4311.18</v>
      </c>
      <c r="E7">
        <f>E14*0.173</f>
        <v>54.321999999999996</v>
      </c>
      <c r="F7">
        <f>F14*0.049</f>
        <v>1121.44732</v>
      </c>
      <c r="G7">
        <f>G14*0.024</f>
        <v>13145.928</v>
      </c>
      <c r="H7">
        <f>H14*0.186</f>
        <v>577.53</v>
      </c>
      <c r="I7">
        <v>0</v>
      </c>
      <c r="J7">
        <f>0.1*J14</f>
        <v>10100.289000000001</v>
      </c>
      <c r="K7">
        <f>0.0155*K14</f>
        <v>3508.7331399999998</v>
      </c>
      <c r="L7">
        <v>0</v>
      </c>
      <c r="M7">
        <v>0</v>
      </c>
      <c r="N7">
        <v>0</v>
      </c>
      <c r="O7">
        <v>0</v>
      </c>
      <c r="P7">
        <v>0</v>
      </c>
    </row>
    <row r="8" spans="3:16" x14ac:dyDescent="0.25">
      <c r="C8" t="s">
        <v>5</v>
      </c>
      <c r="D8">
        <f>D14*0.01</f>
        <v>8622.36</v>
      </c>
      <c r="E8">
        <f>E14*0.21</f>
        <v>65.94</v>
      </c>
      <c r="F8">
        <v>0</v>
      </c>
      <c r="G8">
        <f>G14*0.04</f>
        <v>21909.88</v>
      </c>
      <c r="H8">
        <f>H14*0.35</f>
        <v>1086.75</v>
      </c>
      <c r="I8">
        <v>0</v>
      </c>
      <c r="J8">
        <f>0.02*J14</f>
        <v>2020.0578</v>
      </c>
      <c r="K8">
        <f>0.005*K14</f>
        <v>1131.8494000000001</v>
      </c>
      <c r="L8">
        <v>0</v>
      </c>
      <c r="M8">
        <v>0</v>
      </c>
      <c r="N8">
        <v>0</v>
      </c>
      <c r="O8">
        <v>0</v>
      </c>
      <c r="P8">
        <v>0</v>
      </c>
    </row>
    <row r="9" spans="3:16" x14ac:dyDescent="0.25">
      <c r="C9" t="s">
        <v>6</v>
      </c>
      <c r="D9">
        <f>D14*0.32</f>
        <v>275915.52000000002</v>
      </c>
      <c r="E9">
        <v>0</v>
      </c>
      <c r="F9">
        <v>0</v>
      </c>
      <c r="G9">
        <f>G14*0.313</f>
        <v>171444.81099999999</v>
      </c>
      <c r="H9">
        <v>0</v>
      </c>
      <c r="I9">
        <v>20880</v>
      </c>
      <c r="J9">
        <f>0</f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3:16" x14ac:dyDescent="0.25">
      <c r="C10" t="s">
        <v>7</v>
      </c>
      <c r="D10">
        <f>D14*0.005</f>
        <v>4311.18</v>
      </c>
      <c r="E10">
        <v>0</v>
      </c>
      <c r="F10">
        <v>0</v>
      </c>
      <c r="G10">
        <f>G14*0.011</f>
        <v>6025.2169999999996</v>
      </c>
      <c r="H10">
        <v>0</v>
      </c>
      <c r="I10">
        <v>0</v>
      </c>
      <c r="J10">
        <v>0</v>
      </c>
      <c r="K10">
        <f>0.128*K14</f>
        <v>28975.344640000003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3:16" x14ac:dyDescent="0.25">
      <c r="C11" t="s">
        <v>8</v>
      </c>
      <c r="D11">
        <f>D14*0.023</f>
        <v>19831.428</v>
      </c>
      <c r="E11">
        <f>E14*0.266</f>
        <v>83.524000000000001</v>
      </c>
      <c r="F11">
        <f>F14*0.176</f>
        <v>4028.0556799999999</v>
      </c>
      <c r="G11">
        <f>G14*0.084</f>
        <v>46010.748</v>
      </c>
      <c r="H11">
        <v>0</v>
      </c>
      <c r="I11">
        <v>0</v>
      </c>
      <c r="J11">
        <f>0.41*J14</f>
        <v>41411.1849</v>
      </c>
      <c r="K11">
        <f>0.4*K14</f>
        <v>90547.952000000005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3:16" x14ac:dyDescent="0.25">
      <c r="C12" t="s">
        <v>9</v>
      </c>
      <c r="D12">
        <f>D14*0.023</f>
        <v>19831.428</v>
      </c>
      <c r="E12">
        <f>E14*0.273</f>
        <v>85.722000000000008</v>
      </c>
      <c r="F12">
        <f>F14*0.171</f>
        <v>3913.6222800000005</v>
      </c>
      <c r="G12">
        <f>G14*0.081</f>
        <v>44367.506999999998</v>
      </c>
      <c r="H12">
        <v>0</v>
      </c>
      <c r="I12">
        <v>0</v>
      </c>
      <c r="J12">
        <f>0.39*J14</f>
        <v>39391.127099999998</v>
      </c>
      <c r="K12">
        <f>0.4*K14</f>
        <v>90547.952000000005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3:16" x14ac:dyDescent="0.25">
      <c r="C13" t="s">
        <v>10</v>
      </c>
      <c r="D13">
        <f>D14*0.007</f>
        <v>6035.652</v>
      </c>
      <c r="E13">
        <f>E14*0.075</f>
        <v>23.55</v>
      </c>
      <c r="F13">
        <f>0.026*F14</f>
        <v>595.05367999999999</v>
      </c>
      <c r="G13">
        <f>G14*0.0231</f>
        <v>12652.955699999999</v>
      </c>
      <c r="H13">
        <f>H14*0.173</f>
        <v>537.16499999999996</v>
      </c>
      <c r="I13">
        <v>0</v>
      </c>
      <c r="J13">
        <f>0.03*J14</f>
        <v>3030.0866999999998</v>
      </c>
      <c r="K13">
        <f>0.0084*K14</f>
        <v>1901.5069919999999</v>
      </c>
      <c r="L13">
        <f>0.01*L14</f>
        <v>1469.27</v>
      </c>
      <c r="M13">
        <v>0</v>
      </c>
      <c r="N13">
        <v>0</v>
      </c>
      <c r="O13">
        <v>2400</v>
      </c>
      <c r="P13">
        <f>P14*0.007</f>
        <v>905.79860000000008</v>
      </c>
    </row>
    <row r="14" spans="3:16" x14ac:dyDescent="0.25">
      <c r="C14" t="s">
        <v>240</v>
      </c>
      <c r="D14">
        <v>862236</v>
      </c>
      <c r="E14">
        <v>314</v>
      </c>
      <c r="F14">
        <v>22886.68</v>
      </c>
      <c r="G14">
        <v>547747</v>
      </c>
      <c r="H14">
        <v>3105</v>
      </c>
      <c r="I14">
        <v>20880</v>
      </c>
      <c r="J14">
        <v>101002.89</v>
      </c>
      <c r="K14">
        <v>226369.88</v>
      </c>
      <c r="L14">
        <v>146927</v>
      </c>
      <c r="M14">
        <v>84000</v>
      </c>
      <c r="N14">
        <v>4119.3</v>
      </c>
      <c r="O14">
        <v>2400</v>
      </c>
      <c r="P14">
        <v>129399.8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Mineral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2026-04-16T16:35:52Z</dcterms:created>
  <dcterms:modified xsi:type="dcterms:W3CDTF">2026-04-22T14:53:08Z</dcterms:modified>
</cp:coreProperties>
</file>