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Critical Mineral/Critical Mineral Package/Input File/"/>
    </mc:Choice>
  </mc:AlternateContent>
  <xr:revisionPtr revIDLastSave="871" documentId="13_ncr:1_{EE80257B-4ADF-4A30-A53F-D10972A52753}" xr6:coauthVersionLast="47" xr6:coauthVersionMax="47" xr10:uidLastSave="{D16CFA66-D637-4264-9C1D-AF63C1756D24}"/>
  <bookViews>
    <workbookView xWindow="-108" yWindow="-108" windowWidth="23256" windowHeight="13896" activeTab="3" xr2:uid="{20243B26-9A9B-4A33-8CBC-ACEBEFDD9E3F}"/>
  </bookViews>
  <sheets>
    <sheet name="Index" sheetId="1" r:id="rId1"/>
    <sheet name="Sets" sheetId="6" r:id="rId2"/>
    <sheet name="Distances" sheetId="15" r:id="rId3"/>
    <sheet name="TechData" sheetId="5" r:id="rId4"/>
    <sheet name="HeatTech" sheetId="24" r:id="rId5"/>
    <sheet name="CostTech" sheetId="7" r:id="rId6"/>
    <sheet name="Regions" sheetId="4" r:id="rId7"/>
    <sheet name="LandAvailability" sheetId="22" r:id="rId8"/>
    <sheet name="InitCap" sheetId="23" r:id="rId9"/>
    <sheet name="General" sheetId="2" r:id="rId10"/>
    <sheet name="Trans_Inter" sheetId="11" r:id="rId11"/>
    <sheet name="ClusteredDataSTOR" sheetId="26" r:id="rId12"/>
    <sheet name="DC" sheetId="27" state="hidden" r:id="rId13"/>
    <sheet name="ClusteredData" sheetId="20" r:id="rId14"/>
    <sheet name="Fuels" sheetId="17" r:id="rId15"/>
    <sheet name="Biomass" sheetId="25" r:id="rId16"/>
    <sheet name="Transportation" sheetId="16" state="hidden" r:id="rId17"/>
    <sheet name="CO2Reservoirs" sheetId="18" r:id="rId18"/>
    <sheet name="Emissions" sheetId="14" r:id="rId19"/>
    <sheet name="Pipelines" sheetId="13" r:id="rId20"/>
    <sheet name="AV" sheetId="3" r:id="rId21"/>
    <sheet name="References" sheetId="8" r:id="rId22"/>
    <sheet name="Calculations" sheetId="21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2" i="14" l="1"/>
  <c r="J4" i="27"/>
  <c r="H4" i="27"/>
  <c r="J44" i="14"/>
  <c r="J43" i="14"/>
  <c r="J42" i="14"/>
  <c r="J41" i="14"/>
  <c r="J40" i="14"/>
  <c r="J39" i="14"/>
  <c r="B9" i="14" l="1"/>
  <c r="B10" i="14"/>
  <c r="B11" i="14"/>
  <c r="B12" i="14"/>
  <c r="B13" i="14"/>
  <c r="B14" i="14"/>
  <c r="B16" i="14"/>
  <c r="B17" i="14"/>
  <c r="B18" i="14"/>
  <c r="J155" i="5" l="1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54" i="5"/>
  <c r="D40" i="14"/>
  <c r="E40" i="14" s="1"/>
  <c r="C40" i="14"/>
  <c r="B40" i="14"/>
  <c r="A40" i="14"/>
  <c r="L41" i="14" l="1"/>
  <c r="M41" i="14"/>
  <c r="N41" i="14"/>
  <c r="O41" i="14"/>
  <c r="P41" i="14" s="1"/>
  <c r="S8" i="17"/>
  <c r="N9" i="17"/>
  <c r="O9" i="17"/>
  <c r="P9" i="17"/>
  <c r="Q9" i="17"/>
  <c r="R9" i="17"/>
  <c r="S9" i="17"/>
  <c r="Q40" i="14"/>
  <c r="P40" i="14"/>
  <c r="O40" i="14"/>
  <c r="N40" i="14"/>
  <c r="M40" i="14"/>
  <c r="L40" i="14"/>
  <c r="B6" i="18"/>
  <c r="B4" i="18"/>
  <c r="B3" i="18"/>
  <c r="B33" i="14"/>
  <c r="B26" i="14"/>
  <c r="B25" i="14"/>
  <c r="B24" i="14"/>
  <c r="B29" i="14" l="1"/>
  <c r="AD18" i="15" l="1"/>
  <c r="F11" i="21"/>
  <c r="E11" i="21"/>
  <c r="D11" i="21"/>
  <c r="C11" i="21"/>
  <c r="C10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X10" i="21"/>
  <c r="Y10" i="21"/>
  <c r="Z10" i="21"/>
  <c r="AA10" i="21"/>
  <c r="AB10" i="21"/>
  <c r="AC10" i="21"/>
  <c r="AD10" i="21"/>
  <c r="AE10" i="21"/>
  <c r="AF10" i="21"/>
  <c r="AG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O8" i="17" l="1"/>
  <c r="P8" i="17"/>
  <c r="Q8" i="17"/>
  <c r="R8" i="17"/>
  <c r="O15" i="17"/>
  <c r="P15" i="17"/>
  <c r="Q15" i="17"/>
  <c r="R15" i="17"/>
  <c r="S15" i="17"/>
  <c r="N15" i="17"/>
  <c r="N8" i="17"/>
</calcChain>
</file>

<file path=xl/sharedStrings.xml><?xml version="1.0" encoding="utf-8"?>
<sst xmlns="http://schemas.openxmlformats.org/spreadsheetml/2006/main" count="24157" uniqueCount="879">
  <si>
    <t>Dim</t>
  </si>
  <si>
    <t>Rdim</t>
  </si>
  <si>
    <t>Cdim</t>
  </si>
  <si>
    <t>Type</t>
  </si>
  <si>
    <t>Name</t>
  </si>
  <si>
    <t>Cells</t>
  </si>
  <si>
    <t xml:space="preserve">iota                     </t>
  </si>
  <si>
    <t>maximum percentage of international hydrogen imports over the total demand (%)</t>
  </si>
  <si>
    <t>initial availability of a regional hydrogen pipeline of diameter size d between regions g and g1 (0-1)</t>
  </si>
  <si>
    <t>availability of renewable technology j in region g, cluster c and hour h (%)</t>
  </si>
  <si>
    <t>unit capacity of technology type j (MW)</t>
  </si>
  <si>
    <t>fixed capital cost of technology type j (£/MW)</t>
  </si>
  <si>
    <t>curtailment cost (£/MW)</t>
  </si>
  <si>
    <t>maximum charge of storage technology j with fuel f (units)</t>
  </si>
  <si>
    <t xml:space="preserve">cshut(j)                 </t>
  </si>
  <si>
    <t>shutting down cost for technology j (£)</t>
  </si>
  <si>
    <t>starting up cost for technology j (£/MW)</t>
  </si>
  <si>
    <t xml:space="preserve">ctr                      </t>
  </si>
  <si>
    <t>electricity transmission cost (£/MW/km)</t>
  </si>
  <si>
    <t>maximum discharge of storage technology j with fuel f (MW)</t>
  </si>
  <si>
    <t xml:space="preserve">delta                    </t>
  </si>
  <si>
    <t>Ratio of pipeline operating costs to capital costs (%)</t>
  </si>
  <si>
    <t>delivery distance of a onshore CO2 pipeline between regions g and g1 (km)</t>
  </si>
  <si>
    <t>Distance from CO2 collection point in region g to reservoir r (km)</t>
  </si>
  <si>
    <t>distance between region g and underground storage type s</t>
  </si>
  <si>
    <t xml:space="preserve">dur                      </t>
  </si>
  <si>
    <t>duration of time periods (y)</t>
  </si>
  <si>
    <t>min down time of technology type j(h)</t>
  </si>
  <si>
    <t xml:space="preserve">dw                       </t>
  </si>
  <si>
    <t>driver wage of road transportation(£ h-1)</t>
  </si>
  <si>
    <t>electricity demand (MW)</t>
  </si>
  <si>
    <t xml:space="preserve">fe                       </t>
  </si>
  <si>
    <t>fuel economy of road transportation (km l-1)</t>
  </si>
  <si>
    <t xml:space="preserve">fp                       </t>
  </si>
  <si>
    <t>fuel price of road transportation (£ l-1)</t>
  </si>
  <si>
    <t xml:space="preserve">fuelc(f,t)               </t>
  </si>
  <si>
    <t>cost of fuel f in time period t (£)</t>
  </si>
  <si>
    <t xml:space="preserve">ge                       </t>
  </si>
  <si>
    <t>general expenses of road transportation (£ d-1)</t>
  </si>
  <si>
    <t xml:space="preserve">ir                       </t>
  </si>
  <si>
    <t>discount rate (%)</t>
  </si>
  <si>
    <t xml:space="preserve">ICap(i,g,t)              </t>
  </si>
  <si>
    <t>limit of electricity interconnection with country i in region g and time period t (MW)</t>
  </si>
  <si>
    <t>electricity transmission distance from region g to g1 (km)</t>
  </si>
  <si>
    <t xml:space="preserve">LTpipe                   </t>
  </si>
  <si>
    <t>useful life of pipelines (y)</t>
  </si>
  <si>
    <t xml:space="preserve">LTroad                   </t>
  </si>
  <si>
    <t>lifetime of road transportation units (y)</t>
  </si>
  <si>
    <t xml:space="preserve">      </t>
  </si>
  <si>
    <t xml:space="preserve">LT(j)                    </t>
  </si>
  <si>
    <t>useful life of technology type j (y)</t>
  </si>
  <si>
    <t xml:space="preserve">lut                      </t>
  </si>
  <si>
    <t>load and unload time of road transportation mode l  (h)</t>
  </si>
  <si>
    <t xml:space="preserve">me                       </t>
  </si>
  <si>
    <t>maintenance expenses of road transportation mode l  (£ km-1)</t>
  </si>
  <si>
    <t>economic life cycle of capital investments (y)</t>
  </si>
  <si>
    <t xml:space="preserve">oc_fix(j,t)              </t>
  </si>
  <si>
    <t>fixed operating cost of technology j in time period t (£/MW/y)</t>
  </si>
  <si>
    <t>variable operating cost of technology j in time period t (£/MWh)</t>
  </si>
  <si>
    <t xml:space="preserve">pc_onshore(d,f)          </t>
  </si>
  <si>
    <t>capital costs of a n pipeline of diameter size d and fuel f(£ km-1)</t>
  </si>
  <si>
    <t xml:space="preserve">pc_offshore(d)           </t>
  </si>
  <si>
    <t>capital costs of an offshore CO2 pipeline of diameter size d (£ km-1)</t>
  </si>
  <si>
    <t xml:space="preserve">Pmax(j)                  </t>
  </si>
  <si>
    <t>maximum production capacity of technology j (%)</t>
  </si>
  <si>
    <t xml:space="preserve">Pmin(j)                  </t>
  </si>
  <si>
    <t>minimum production capacity of technology j (%)</t>
  </si>
  <si>
    <t xml:space="preserve">ri0                      </t>
  </si>
  <si>
    <t xml:space="preserve">rtc                      </t>
  </si>
  <si>
    <t>road transportation unit capital cost (£/unit)</t>
  </si>
  <si>
    <t>Comit Ramp down of technology j</t>
  </si>
  <si>
    <t>Comit Ramp up of technology j</t>
  </si>
  <si>
    <t>Start Ramp down of technology j</t>
  </si>
  <si>
    <t xml:space="preserve">Stmax(j)                 </t>
  </si>
  <si>
    <t>maximum storage capacity of technology j (%)</t>
  </si>
  <si>
    <t xml:space="preserve">Stmin(j)                 </t>
  </si>
  <si>
    <t>minimum storage capacity of technology j (%)</t>
  </si>
  <si>
    <t xml:space="preserve">sp                       </t>
  </si>
  <si>
    <t>average speed of road transportation mode l transporting product type i within a region(km h-1)</t>
  </si>
  <si>
    <t xml:space="preserve">tcap                     </t>
  </si>
  <si>
    <t xml:space="preserve">triup                    </t>
  </si>
  <si>
    <t>maximum transmission capacity expansion (MW)</t>
  </si>
  <si>
    <t>min up time of technology j (h)</t>
  </si>
  <si>
    <t>weight of clusters (d)</t>
  </si>
  <si>
    <t>EA</t>
  </si>
  <si>
    <t>EM</t>
  </si>
  <si>
    <t>NE</t>
  </si>
  <si>
    <t>NO</t>
  </si>
  <si>
    <t>NT</t>
  </si>
  <si>
    <t>NW</t>
  </si>
  <si>
    <t>SC</t>
  </si>
  <si>
    <t>SE</t>
  </si>
  <si>
    <t>SO</t>
  </si>
  <si>
    <t>SW</t>
  </si>
  <si>
    <t>WM</t>
  </si>
  <si>
    <t>WN</t>
  </si>
  <si>
    <t>WS</t>
  </si>
  <si>
    <t>Solar</t>
  </si>
  <si>
    <t>WindOn</t>
  </si>
  <si>
    <t>WindOff</t>
  </si>
  <si>
    <t>Vassilis</t>
  </si>
  <si>
    <t xml:space="preserve">Availability of renewable technologies </t>
  </si>
  <si>
    <t xml:space="preserve">AV(c,h,g,j) </t>
  </si>
  <si>
    <t xml:space="preserve">AV            </t>
  </si>
  <si>
    <t>par</t>
  </si>
  <si>
    <t xml:space="preserve">c                </t>
  </si>
  <si>
    <t>Clusters</t>
  </si>
  <si>
    <t xml:space="preserve">d                </t>
  </si>
  <si>
    <t>Diameter size for pipelines</t>
  </si>
  <si>
    <t xml:space="preserve">f                </t>
  </si>
  <si>
    <t>Fuels</t>
  </si>
  <si>
    <t xml:space="preserve">g                </t>
  </si>
  <si>
    <t>Regions</t>
  </si>
  <si>
    <t xml:space="preserve">h                </t>
  </si>
  <si>
    <t>hours</t>
  </si>
  <si>
    <t xml:space="preserve">i                </t>
  </si>
  <si>
    <t>interconnections</t>
  </si>
  <si>
    <t xml:space="preserve">j                </t>
  </si>
  <si>
    <t>Technologies</t>
  </si>
  <si>
    <t xml:space="preserve">k                </t>
  </si>
  <si>
    <t>Countries</t>
  </si>
  <si>
    <t xml:space="preserve">r                </t>
  </si>
  <si>
    <t>Reservoirs</t>
  </si>
  <si>
    <t xml:space="preserve">t                </t>
  </si>
  <si>
    <t>years</t>
  </si>
  <si>
    <t xml:space="preserve">b                </t>
  </si>
  <si>
    <t>biomass feedstock</t>
  </si>
  <si>
    <t xml:space="preserve">Description </t>
  </si>
  <si>
    <t>Set</t>
  </si>
  <si>
    <t>g</t>
  </si>
  <si>
    <t>SMRCCS</t>
  </si>
  <si>
    <t>ATRCCS</t>
  </si>
  <si>
    <t>BECCS</t>
  </si>
  <si>
    <t>WE</t>
  </si>
  <si>
    <t>r</t>
  </si>
  <si>
    <t>NNS</t>
  </si>
  <si>
    <t>CNS</t>
  </si>
  <si>
    <t>SNS</t>
  </si>
  <si>
    <t>EISB</t>
  </si>
  <si>
    <t>OnTeeside</t>
  </si>
  <si>
    <t>OnChesire</t>
  </si>
  <si>
    <t>OnYorkshire</t>
  </si>
  <si>
    <t>OffIrishSea</t>
  </si>
  <si>
    <t>MPSV</t>
  </si>
  <si>
    <t>HPSV</t>
  </si>
  <si>
    <t>t</t>
  </si>
  <si>
    <t>d</t>
  </si>
  <si>
    <t>c</t>
  </si>
  <si>
    <t>h</t>
  </si>
  <si>
    <t>electricity technologies</t>
  </si>
  <si>
    <t>electricity production technologies</t>
  </si>
  <si>
    <t>electricity production thermal technologies</t>
  </si>
  <si>
    <t>electricity storage technologies</t>
  </si>
  <si>
    <t>renewable electricity technologies</t>
  </si>
  <si>
    <t>hydrogen technologies</t>
  </si>
  <si>
    <t>hydrogen production technologies</t>
  </si>
  <si>
    <t>hydrogen storage technologies</t>
  </si>
  <si>
    <t>biomass technologies</t>
  </si>
  <si>
    <t>technologies wiht CCS</t>
  </si>
  <si>
    <t>heating technologies</t>
  </si>
  <si>
    <t>N(g,g1)</t>
  </si>
  <si>
    <t>GR</t>
  </si>
  <si>
    <t>GS</t>
  </si>
  <si>
    <t>jb</t>
  </si>
  <si>
    <t>jccs</t>
  </si>
  <si>
    <t>je</t>
  </si>
  <si>
    <t>jep</t>
  </si>
  <si>
    <t xml:space="preserve">jes   </t>
  </si>
  <si>
    <t>jh</t>
  </si>
  <si>
    <t xml:space="preserve">jhe  </t>
  </si>
  <si>
    <t xml:space="preserve">jhp  </t>
  </si>
  <si>
    <t>jhs</t>
  </si>
  <si>
    <t xml:space="preserve">jre </t>
  </si>
  <si>
    <t>jth</t>
  </si>
  <si>
    <t>N</t>
  </si>
  <si>
    <t>Npipe</t>
  </si>
  <si>
    <t>f</t>
  </si>
  <si>
    <t>i</t>
  </si>
  <si>
    <t>j</t>
  </si>
  <si>
    <t>k</t>
  </si>
  <si>
    <t>b</t>
  </si>
  <si>
    <t>DEC</t>
  </si>
  <si>
    <t>SRF</t>
  </si>
  <si>
    <t>FR</t>
  </si>
  <si>
    <t>AR</t>
  </si>
  <si>
    <t>IMP</t>
  </si>
  <si>
    <t>Elec</t>
  </si>
  <si>
    <t>CO2</t>
  </si>
  <si>
    <t>Bio</t>
  </si>
  <si>
    <t>Coal</t>
  </si>
  <si>
    <t>Gas</t>
  </si>
  <si>
    <t>IFA</t>
  </si>
  <si>
    <t>BRITNED</t>
  </si>
  <si>
    <t>IFA2</t>
  </si>
  <si>
    <t>EWIC</t>
  </si>
  <si>
    <t>NSN</t>
  </si>
  <si>
    <t>NORTHCONNECT</t>
  </si>
  <si>
    <t>FABLINK</t>
  </si>
  <si>
    <t>VIKINGLINK</t>
  </si>
  <si>
    <t>NEMO</t>
  </si>
  <si>
    <t>ELECLINK</t>
  </si>
  <si>
    <t>MOYLE</t>
  </si>
  <si>
    <t>GREENLINK</t>
  </si>
  <si>
    <t>NL</t>
  </si>
  <si>
    <t>IR</t>
  </si>
  <si>
    <t>DK</t>
  </si>
  <si>
    <t>BG</t>
  </si>
  <si>
    <t>Nuclear</t>
  </si>
  <si>
    <t>OCGT</t>
  </si>
  <si>
    <t>CoalCCS</t>
  </si>
  <si>
    <t>CCGTCCS</t>
  </si>
  <si>
    <t>LeadBat</t>
  </si>
  <si>
    <t>PumpHy</t>
  </si>
  <si>
    <t>BGCCS</t>
  </si>
  <si>
    <t>FC</t>
  </si>
  <si>
    <t>Sets!C2:G12</t>
  </si>
  <si>
    <t>Sets!C3:N3</t>
  </si>
  <si>
    <t>Sets!C4:E4</t>
  </si>
  <si>
    <t>Sets!C6:O6</t>
  </si>
  <si>
    <t>Sets!C7:Z7</t>
  </si>
  <si>
    <t>Sets!C8:N8</t>
  </si>
  <si>
    <t>Sets!C10:H10</t>
  </si>
  <si>
    <t>Sets!C11:F11</t>
  </si>
  <si>
    <t>Sets!C12:H12</t>
  </si>
  <si>
    <t>Sets!C14:H14</t>
  </si>
  <si>
    <t>Sets!C17:D17</t>
  </si>
  <si>
    <t>Sets!C18:L18</t>
  </si>
  <si>
    <t>Sets!C19:Z19</t>
  </si>
  <si>
    <t>Sets!C20:F20</t>
  </si>
  <si>
    <t>Sets!C21:H21</t>
  </si>
  <si>
    <t>g1</t>
  </si>
  <si>
    <t>Scotland</t>
  </si>
  <si>
    <t>Northern</t>
  </si>
  <si>
    <t>North East</t>
  </si>
  <si>
    <t>North West</t>
  </si>
  <si>
    <t>East Midlands</t>
  </si>
  <si>
    <t>West Midlands</t>
  </si>
  <si>
    <t>Wales North</t>
  </si>
  <si>
    <t>Southern</t>
  </si>
  <si>
    <t>South West</t>
  </si>
  <si>
    <t>Wales South</t>
  </si>
  <si>
    <t>Eastern</t>
  </si>
  <si>
    <t>North Thames</t>
  </si>
  <si>
    <t>South East</t>
  </si>
  <si>
    <t>Neighbour Regions</t>
  </si>
  <si>
    <t>Neighbour Regions connected with pipeline</t>
  </si>
  <si>
    <t>Regions!C4:D49</t>
  </si>
  <si>
    <t>Regions!I4:J35</t>
  </si>
  <si>
    <t>GR(g,r)</t>
  </si>
  <si>
    <t>s</t>
  </si>
  <si>
    <t>GS(g,s)</t>
  </si>
  <si>
    <t>NorthConnect</t>
  </si>
  <si>
    <t>Greenlink</t>
  </si>
  <si>
    <t>Fablink</t>
  </si>
  <si>
    <t>ELECLink</t>
  </si>
  <si>
    <t>Britned</t>
  </si>
  <si>
    <t>Hydrogen interconnections: https://www.uktradeinfo.com/trade-data/ots-custom-table/</t>
  </si>
  <si>
    <t>DG</t>
  </si>
  <si>
    <t>Purflet</t>
  </si>
  <si>
    <t>London</t>
  </si>
  <si>
    <t>Harwich</t>
  </si>
  <si>
    <t>Dover</t>
  </si>
  <si>
    <t>Immingham</t>
  </si>
  <si>
    <t>Liverpool</t>
  </si>
  <si>
    <t>Felixstowe</t>
  </si>
  <si>
    <t>GE and IT and NL and SP</t>
  </si>
  <si>
    <t>IR and NL and SW</t>
  </si>
  <si>
    <t>BG and IR and NL</t>
  </si>
  <si>
    <t>Regions!Q4:R7</t>
  </si>
  <si>
    <t>neighbour Regions</t>
  </si>
  <si>
    <t>neighbour Regions connected with pipeline</t>
  </si>
  <si>
    <t>set</t>
  </si>
  <si>
    <t xml:space="preserve">capunit      </t>
  </si>
  <si>
    <t>capunit (j)</t>
  </si>
  <si>
    <t>Capacity of technology unit j (MW)</t>
  </si>
  <si>
    <t>cc_fix</t>
  </si>
  <si>
    <t>cc_fix (j,t)</t>
  </si>
  <si>
    <t xml:space="preserve">fixed capital cost of technology type j (£/MW) </t>
  </si>
  <si>
    <t>I. Walker, B. Madden and T. Foaad, Hydrogen supply chain evidence base, Department for business, energy and industrial strategy technical report, 2018.</t>
  </si>
  <si>
    <t>Samsatli, S., &amp; Samsatli, N. J. (2019). The role of renewable hydrogen and inter-seasonal storage in decarbonising heat – Comprehensive optimisation of future renewable energy value chains. Applied Energy, 233–234, 854–893. https://doi.org/10.1016/j.apenergy.2018.09.159</t>
  </si>
  <si>
    <t>ccurt</t>
  </si>
  <si>
    <t>cstart(j)</t>
  </si>
  <si>
    <t>General!A3</t>
  </si>
  <si>
    <t xml:space="preserve">CHmax(j)               </t>
  </si>
  <si>
    <t>Chmax</t>
  </si>
  <si>
    <t>TechData!F3:G8</t>
  </si>
  <si>
    <t xml:space="preserve">cshut            </t>
  </si>
  <si>
    <t xml:space="preserve">CCGT </t>
  </si>
  <si>
    <t>Biomass</t>
  </si>
  <si>
    <t>cstart</t>
  </si>
  <si>
    <t>ct(t)</t>
  </si>
  <si>
    <t xml:space="preserve">ct               </t>
  </si>
  <si>
    <t>Emissions!A3:F4</t>
  </si>
  <si>
    <t>Trans_Inter!A3</t>
  </si>
  <si>
    <t xml:space="preserve">DCmax            </t>
  </si>
  <si>
    <t>maximum discharge of storage technology j with fuel f (units)</t>
  </si>
  <si>
    <t xml:space="preserve">DHmax(j)               </t>
  </si>
  <si>
    <t>TechData!L3:M8</t>
  </si>
  <si>
    <t>Ratio of hydrogen pipeline operating costs to capital costs (%)</t>
  </si>
  <si>
    <t>Diameter value of a hydrogen pipeline of diameter d (m)</t>
  </si>
  <si>
    <t>Marta</t>
  </si>
  <si>
    <t>diaH(d)</t>
  </si>
  <si>
    <t>Lifecycle of hydrogen pipelines (y)</t>
  </si>
  <si>
    <t>LTpipe</t>
  </si>
  <si>
    <t>Initial availability of a hydrogen pipeline of diameter d between regions g and gg (0-1)</t>
  </si>
  <si>
    <t>ayHR0(d,g,g1)</t>
  </si>
  <si>
    <t>qmax(d,f)</t>
  </si>
  <si>
    <t>(MW)</t>
  </si>
  <si>
    <t xml:space="preserve">Maximum flowrate in pipelines 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</si>
  <si>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</si>
  <si>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</si>
  <si>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</si>
  <si>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</si>
  <si>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</si>
  <si>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</si>
  <si>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</si>
  <si>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</si>
  <si>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</si>
  <si>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</si>
  <si>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</si>
  <si>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</si>
  <si>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</si>
  <si>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</si>
  <si>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</si>
  <si>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</si>
  <si>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</si>
  <si>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</si>
  <si>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</si>
  <si>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</si>
  <si>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</si>
  <si>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</si>
  <si>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</si>
  <si>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</si>
  <si>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</si>
  <si>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</si>
  <si>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</si>
  <si>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</si>
  <si>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</si>
  <si>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</si>
  <si>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</si>
  <si>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</si>
  <si>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</si>
  <si>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</si>
  <si>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</si>
  <si>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</si>
  <si>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</si>
  <si>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</si>
  <si>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</si>
  <si>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t1</t>
  </si>
  <si>
    <t>t2</t>
  </si>
  <si>
    <t>t3</t>
  </si>
  <si>
    <t>t4</t>
  </si>
  <si>
    <t>t5</t>
  </si>
  <si>
    <t>t6</t>
  </si>
  <si>
    <t>d4</t>
  </si>
  <si>
    <t>d5</t>
  </si>
  <si>
    <t>d6</t>
  </si>
  <si>
    <t>qmax</t>
  </si>
  <si>
    <t>pc_onshore</t>
  </si>
  <si>
    <t>pc_offshore</t>
  </si>
  <si>
    <t>ayHR0</t>
  </si>
  <si>
    <t>diaC_onshore(d)</t>
  </si>
  <si>
    <t>diaC_offshore(d)</t>
  </si>
  <si>
    <t>delta</t>
  </si>
  <si>
    <t>Pipelines!B49:D50</t>
  </si>
  <si>
    <t>Pipelines!A5</t>
  </si>
  <si>
    <t>Pipelines!A44</t>
  </si>
  <si>
    <t>Pipelines!F33:G38</t>
  </si>
  <si>
    <t>Dist(g,g1)</t>
  </si>
  <si>
    <t>DistRes(g,r)</t>
  </si>
  <si>
    <t>Distance from collection point in region g to H2 storage (km)</t>
  </si>
  <si>
    <t>ArcGIS</t>
  </si>
  <si>
    <t>DistSt(g,s)</t>
  </si>
  <si>
    <t>sc</t>
  </si>
  <si>
    <r>
      <t xml:space="preserve">Pipe distance LDZ (km) </t>
    </r>
    <r>
      <rPr>
        <i/>
        <sz val="11"/>
        <rFont val="Calibri"/>
        <family val="2"/>
        <scheme val="minor"/>
      </rPr>
      <t>ArcGIS</t>
    </r>
  </si>
  <si>
    <t>According to gas pipe</t>
  </si>
  <si>
    <t>DistPipe(g,g1)</t>
  </si>
  <si>
    <t>Dist</t>
  </si>
  <si>
    <t>Distances!A4:N17</t>
  </si>
  <si>
    <t>DistPipe</t>
  </si>
  <si>
    <t>Distances!Q4:AD17</t>
  </si>
  <si>
    <t>Distances!B24:D26</t>
  </si>
  <si>
    <t>Driver wage of transportation mode l transporting product type i (£2010 h-1)</t>
  </si>
  <si>
    <t>Trailer</t>
  </si>
  <si>
    <t>Fuel price of transportation mode l transporting product i (£ l-1)</t>
  </si>
  <si>
    <t>General expenses of transportation mode l transporting product type i (£2010 h-1)</t>
  </si>
  <si>
    <t>Local and regional fuel economy of transportation mode l transporting product type i within a region (km l-1)</t>
  </si>
  <si>
    <t>Load and unload time of transportation mode l transporting product type i (h)</t>
  </si>
  <si>
    <t>Maintenance expenses of transportation mode l transporting product type i (£2010 km-1)</t>
  </si>
  <si>
    <t>Local and regional average speed of transportation mode l transporting product type i within a region (km h-1)</t>
  </si>
  <si>
    <t>Capacity of transportation mode l transporting product type i (MWh H2 mode-1)</t>
  </si>
  <si>
    <t>Local and regional availability of transportation mode l transporting product i within a region (h d-1)</t>
  </si>
  <si>
    <t>Capital cost of establishing transportation mode l transporting product type i (£2010 mode-1)</t>
  </si>
  <si>
    <t>Lifecycle of a transportation mode l (y)</t>
  </si>
  <si>
    <t>dw</t>
  </si>
  <si>
    <t>fp</t>
  </si>
  <si>
    <t>ge</t>
  </si>
  <si>
    <t>fe</t>
  </si>
  <si>
    <t>lut</t>
  </si>
  <si>
    <t>me</t>
  </si>
  <si>
    <t>sp</t>
  </si>
  <si>
    <t>tcap</t>
  </si>
  <si>
    <t>tma</t>
  </si>
  <si>
    <t>tmc</t>
  </si>
  <si>
    <t>Transportation!B4</t>
  </si>
  <si>
    <t>Transportation!B10</t>
  </si>
  <si>
    <t>Transportation!B16</t>
  </si>
  <si>
    <t>Transportation!B22</t>
  </si>
  <si>
    <t>Transportation!B28</t>
  </si>
  <si>
    <t>Transportation!B34</t>
  </si>
  <si>
    <t>Transportation!B40</t>
  </si>
  <si>
    <t>Transportation!B46</t>
  </si>
  <si>
    <t>Transportation!B58</t>
  </si>
  <si>
    <t>Transportation!B64</t>
  </si>
  <si>
    <t>Ltroad</t>
  </si>
  <si>
    <t>UT(j)</t>
  </si>
  <si>
    <t>DT(j)</t>
  </si>
  <si>
    <t xml:space="preserve">UT                  </t>
  </si>
  <si>
    <t>DT</t>
  </si>
  <si>
    <t>Duration of time steps (y)</t>
  </si>
  <si>
    <t>dur</t>
  </si>
  <si>
    <t>General!A8</t>
  </si>
  <si>
    <r>
      <t xml:space="preserve">Entsog, &amp; Entso-e. (2022). </t>
    </r>
    <r>
      <rPr>
        <i/>
        <sz val="11"/>
        <color theme="1"/>
        <rFont val="Calibri"/>
        <family val="2"/>
        <charset val="161"/>
        <scheme val="minor"/>
      </rPr>
      <t>TYNDP 2022 Scenario Report | Version. April 2022</t>
    </r>
    <r>
      <rPr>
        <sz val="11"/>
        <color theme="1"/>
        <rFont val="Calibri"/>
        <family val="2"/>
        <scheme val="minor"/>
      </rPr>
      <t>.</t>
    </r>
  </si>
  <si>
    <t>Uranium</t>
  </si>
  <si>
    <t>Sets!C5:I5</t>
  </si>
  <si>
    <r>
      <t xml:space="preserve">National Grid ESO. (2022).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scheme val="minor"/>
      </rPr>
      <t>. www.nationalgrideso.com/future-energy/future-energy-scenarios</t>
    </r>
  </si>
  <si>
    <t>EUR/MWh</t>
  </si>
  <si>
    <t>Calculation Gas</t>
  </si>
  <si>
    <t>Calculation Coal</t>
  </si>
  <si>
    <t>GBP to EUR</t>
  </si>
  <si>
    <t>GBP/MWh</t>
  </si>
  <si>
    <t>Fuels!A3:G8</t>
  </si>
  <si>
    <t xml:space="preserve">fuelc </t>
  </si>
  <si>
    <t>VikingLink</t>
  </si>
  <si>
    <t>ICap</t>
  </si>
  <si>
    <t>Trans_Inter!A6:H18</t>
  </si>
  <si>
    <t>Maximum percentage of international imports (%)</t>
  </si>
  <si>
    <t>iota</t>
  </si>
  <si>
    <t>General!A13</t>
  </si>
  <si>
    <t>Interest rate</t>
  </si>
  <si>
    <t>ir</t>
  </si>
  <si>
    <t>g'</t>
  </si>
  <si>
    <t xml:space="preserve">ldd(g,g')  </t>
  </si>
  <si>
    <t>Trans_Inter!O4:Q172</t>
  </si>
  <si>
    <t>ldd</t>
  </si>
  <si>
    <t>*Assumption</t>
  </si>
  <si>
    <t>LT</t>
  </si>
  <si>
    <t xml:space="preserve">nel </t>
  </si>
  <si>
    <t>nel</t>
  </si>
  <si>
    <t>General!A23</t>
  </si>
  <si>
    <t>Import price (£/MWh)</t>
  </si>
  <si>
    <t>GH2</t>
  </si>
  <si>
    <r>
      <t xml:space="preserve">Palys, M. J., Kuznetsov, A., Tallaksen, J., Reese, M., &amp; Daoutidis, P. (2019). A novel system for ammonia-based sustainable energy and agriculture: Concept and design optimization. </t>
    </r>
    <r>
      <rPr>
        <i/>
        <sz val="11"/>
        <color theme="1"/>
        <rFont val="Calibri"/>
        <family val="2"/>
        <scheme val="minor"/>
      </rPr>
      <t>Chemical Engineering and Processing - Process Intensification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140</t>
    </r>
    <r>
      <rPr>
        <sz val="11"/>
        <color theme="1"/>
        <rFont val="Calibri"/>
        <family val="2"/>
        <scheme val="minor"/>
      </rPr>
      <t>, 11–21. https://doi.org/10.1016/J.CEP.2019.04.005</t>
    </r>
  </si>
  <si>
    <t xml:space="preserve">oc_var(j)     </t>
  </si>
  <si>
    <t>oc_fix</t>
  </si>
  <si>
    <t>oc_var</t>
  </si>
  <si>
    <t>Statista https://www.statista.com/statistics/1260117/projected-selling-prices-of-large-scale-hydrogen-green-projects/</t>
  </si>
  <si>
    <t xml:space="preserve">iph      </t>
  </si>
  <si>
    <t xml:space="preserve">iph         </t>
  </si>
  <si>
    <t>Hydrogen import price (£/MWh)</t>
  </si>
  <si>
    <t>General!A28</t>
  </si>
  <si>
    <t xml:space="preserve">Electricity import price from </t>
  </si>
  <si>
    <t>ipe</t>
  </si>
  <si>
    <t xml:space="preserve">rcap(r) </t>
  </si>
  <si>
    <t>ri0(r)</t>
  </si>
  <si>
    <t>CO2Reservoirs!A3:B6</t>
  </si>
  <si>
    <t>rcap</t>
  </si>
  <si>
    <t>CO2Reservoirs!A11:B14</t>
  </si>
  <si>
    <t>Pmax</t>
  </si>
  <si>
    <t>Pmin</t>
  </si>
  <si>
    <t>eta(j)</t>
  </si>
  <si>
    <t>CRCSS(j)</t>
  </si>
  <si>
    <t>RD(j)</t>
  </si>
  <si>
    <t>RU(j)</t>
  </si>
  <si>
    <t>SD(j)</t>
  </si>
  <si>
    <t>SU(j)</t>
  </si>
  <si>
    <t>RD</t>
  </si>
  <si>
    <t>RU</t>
  </si>
  <si>
    <t>SD</t>
  </si>
  <si>
    <t>SU</t>
  </si>
  <si>
    <t>Stmax</t>
  </si>
  <si>
    <t>Stmin</t>
  </si>
  <si>
    <t>Trans_Inter!A23</t>
  </si>
  <si>
    <t>triup</t>
  </si>
  <si>
    <t>(tCO2e/MWh)</t>
  </si>
  <si>
    <t>Oil</t>
  </si>
  <si>
    <t>CoalF</t>
  </si>
  <si>
    <t>y_c</t>
  </si>
  <si>
    <t>y_e</t>
  </si>
  <si>
    <t>Northconnet</t>
  </si>
  <si>
    <t>TEMPERATURE</t>
  </si>
  <si>
    <t>GAS DEMAND</t>
  </si>
  <si>
    <t>INTERCONNECTIONS</t>
  </si>
  <si>
    <t>ElecDem</t>
  </si>
  <si>
    <t>ClusteredData!I3:K146</t>
  </si>
  <si>
    <t>ClusteredData!A2:H146</t>
  </si>
  <si>
    <t>WEIGHT OF CLUSTERS</t>
  </si>
  <si>
    <t>WF</t>
  </si>
  <si>
    <t>Buildings</t>
  </si>
  <si>
    <t>Electricity supply</t>
  </si>
  <si>
    <t>MtCO2e/year</t>
  </si>
  <si>
    <t>BECCS power</t>
  </si>
  <si>
    <t>BECCS hydrogen</t>
  </si>
  <si>
    <t>EMISSION TARGET</t>
  </si>
  <si>
    <t xml:space="preserve">HEAT </t>
  </si>
  <si>
    <t>ELECTRICITY</t>
  </si>
  <si>
    <t>6th Carbon Bugdet</t>
  </si>
  <si>
    <t>Regions!M4:N6</t>
  </si>
  <si>
    <t>DistRes</t>
  </si>
  <si>
    <t>DistSt</t>
  </si>
  <si>
    <t>ClusteredData!AA1:BO146</t>
  </si>
  <si>
    <t>ClusteredData!L2:Z146</t>
  </si>
  <si>
    <t>Distances!B32:D35</t>
  </si>
  <si>
    <t>GimpE(f,i,g)</t>
  </si>
  <si>
    <t>GimpH(f,g)</t>
  </si>
  <si>
    <t xml:space="preserve">regions g that electricity can be imported from interconnectors I </t>
  </si>
  <si>
    <t>regions g that hydrogen can be imported</t>
  </si>
  <si>
    <t>GimpE</t>
  </si>
  <si>
    <t>GimpH</t>
  </si>
  <si>
    <t>Regions!U4:W15</t>
  </si>
  <si>
    <t>Regions!U20:V27</t>
  </si>
  <si>
    <t>General!A18</t>
  </si>
  <si>
    <t>Pipelines!A32:C38</t>
  </si>
  <si>
    <t>Efficiency of technology j (%)</t>
  </si>
  <si>
    <t>eta</t>
  </si>
  <si>
    <t>efficiencty of technology type j (%)</t>
  </si>
  <si>
    <t>Energy https://www.energy.gov/eere/fuelcells/fuel-cells#:~:text=Fuel%20cells%20can%20operate%20at,efficiencies%20capable%20of%20exceeding%2060%25.</t>
  </si>
  <si>
    <t>Sunny, N., mac Dowell, N., &amp; Shah, N. (2020). What is needed to deliver carbon-neutral heat using hydrogen and CCS? Energy and Environmental Science 13(11), 4204–4224. https://doi.org/10.1039/d0ee02016h</t>
  </si>
  <si>
    <t>Sdur</t>
  </si>
  <si>
    <t>Sdur(j)</t>
  </si>
  <si>
    <t>ayC0</t>
  </si>
  <si>
    <t>aeC0</t>
  </si>
  <si>
    <t>Pipelines!D50</t>
  </si>
  <si>
    <t xml:space="preserve"> check heating demand xls</t>
  </si>
  <si>
    <t>2025</t>
  </si>
  <si>
    <t>2030</t>
  </si>
  <si>
    <t>2035</t>
  </si>
  <si>
    <t>2040</t>
  </si>
  <si>
    <t>2045</t>
  </si>
  <si>
    <t>2050</t>
  </si>
  <si>
    <t>TWh</t>
  </si>
  <si>
    <t>HEAT</t>
  </si>
  <si>
    <t>elec_year</t>
  </si>
  <si>
    <t xml:space="preserve">percentage of future electricity demand comparing to a past year </t>
  </si>
  <si>
    <t xml:space="preserve">Population percentage </t>
  </si>
  <si>
    <t>pp</t>
  </si>
  <si>
    <t>General!A32:M33</t>
  </si>
  <si>
    <t xml:space="preserve">population percentage of each region g </t>
  </si>
  <si>
    <t>BR</t>
  </si>
  <si>
    <t>Land Availability (MW)</t>
  </si>
  <si>
    <t>landAV</t>
  </si>
  <si>
    <t>land availability (MW)</t>
  </si>
  <si>
    <t>landAV(jre,g)</t>
  </si>
  <si>
    <t>LandAvailability!A2:N5</t>
  </si>
  <si>
    <t>Ofgem https://www.ofgem.gov.uk/energy-policy-and-regulation/policy-and-regulatory-programmes/interconnectors</t>
  </si>
  <si>
    <t>emissions target in time period t (tCO2)</t>
  </si>
  <si>
    <t xml:space="preserve">y_c(jccs)              </t>
  </si>
  <si>
    <t>bio</t>
  </si>
  <si>
    <t xml:space="preserve">y_e(j)              </t>
  </si>
  <si>
    <t>et</t>
  </si>
  <si>
    <t>Pipelines!A21:C27</t>
  </si>
  <si>
    <t>drf(j)</t>
  </si>
  <si>
    <t>De-rating factor</t>
  </si>
  <si>
    <t>NG ESO https://www.emrdeliverybody.com/Capacity%20Markets%20Document%20Library/Electricity%20Capacity%20Report%202022.pdf</t>
  </si>
  <si>
    <t xml:space="preserve">NG ESO </t>
  </si>
  <si>
    <t>drf</t>
  </si>
  <si>
    <t>derating factor for each technology j (%)</t>
  </si>
  <si>
    <t>Initial Capacity (units)</t>
  </si>
  <si>
    <t>NUinit(j,g)</t>
  </si>
  <si>
    <t>CapInit</t>
  </si>
  <si>
    <t>CapInit(jre,g)</t>
  </si>
  <si>
    <t>NUInit</t>
  </si>
  <si>
    <t>initial capacity of renewable electricity plants (units)</t>
  </si>
  <si>
    <t>em(j)</t>
  </si>
  <si>
    <t>GHG conversion factors https://www.gov.uk/government/publications/greenhouse-gas-reporting-conversion-factors-2022</t>
  </si>
  <si>
    <t>GHG conversion factors</t>
  </si>
  <si>
    <t>et(t)</t>
  </si>
  <si>
    <t>BiomassCO2</t>
  </si>
  <si>
    <t>Biomass other GHG</t>
  </si>
  <si>
    <t>BiomassT</t>
  </si>
  <si>
    <t>BEIS 2021, Hydrogen Production Costs 2021 Annex</t>
  </si>
  <si>
    <t>CCGT</t>
  </si>
  <si>
    <t>Hydro</t>
  </si>
  <si>
    <t>Sets!C22:F22</t>
  </si>
  <si>
    <t>IRENA 2012, RENEWABLE ENERGY TECHNOLOGIES: COST ANALYSIS SERIES, Hydropower</t>
  </si>
  <si>
    <t>eta(j,t)</t>
  </si>
  <si>
    <t>BR(j,t)</t>
  </si>
  <si>
    <t>Emissions!A9:B21</t>
  </si>
  <si>
    <t>Emissions!A26:G38</t>
  </si>
  <si>
    <t>Emissions!A42:F43</t>
  </si>
  <si>
    <t>Wang, H., Daoutidis, P., &amp; Zhang, Q. (2021). Harnessing the Wind Power of the Ocean with Green Offshore Ammonia. ACS Sustainable Chemistry and Engineering, 9(43), 14605–14617. https://doi.org/10.1021/ACSSUSCHEMENG.1C06030/ASSET/IMAGES/LARGE/SC1C06030_0014.JPEG</t>
  </si>
  <si>
    <t xml:space="preserve">EM </t>
  </si>
  <si>
    <t>temp</t>
  </si>
  <si>
    <t>ClusteredData!BP2:CD146</t>
  </si>
  <si>
    <t>temperature in cluster c, hour h and region g©</t>
  </si>
  <si>
    <t>GasBoiler</t>
  </si>
  <si>
    <t>HyBoiler</t>
  </si>
  <si>
    <t>ASHP</t>
  </si>
  <si>
    <t>Sets!C9:AE9</t>
  </si>
  <si>
    <t>cc_heat (jhe,t)</t>
  </si>
  <si>
    <t>Hybrid</t>
  </si>
  <si>
    <t>eta_heat (jhe,t)</t>
  </si>
  <si>
    <t xml:space="preserve">Efficiency of technology type j (%) </t>
  </si>
  <si>
    <t>LT_heat (jhe)</t>
  </si>
  <si>
    <t>Aunedi M., Yliruka M., Dehghan S., Pantaleo A.M., Shah N., Strbac G. ,Multi-model assessment of heat decarbonisation options in the UK using electricity and hydrogen,Renewable Energy, 194,2022,p 1261-1276,ISSN 0960-1481, https://doi.org/10.1016/j.renene.2022.05.145.</t>
  </si>
  <si>
    <t>https://heatable.co.uk/boiler-advice/hydrogen-boilers</t>
  </si>
  <si>
    <t>https://invictus-mech.co.uk/heat-pump-engineers/what-is-the-life-expectancy-of-a-heat-pump/#:~:text=The%20good%20news%20is%20that,the%20longer%20it%20will%20last.</t>
  </si>
  <si>
    <t>cc_heat</t>
  </si>
  <si>
    <t>eta_heat</t>
  </si>
  <si>
    <t>LT_heat</t>
  </si>
  <si>
    <t xml:space="preserve">Lifetime of heat technology jhe (y) </t>
  </si>
  <si>
    <t>InitCap!A11:N18</t>
  </si>
  <si>
    <t>goc</t>
  </si>
  <si>
    <t>*including transmission, enviromental and social costs (Diret costs/volume</t>
  </si>
  <si>
    <t>Gas operating cost (£/MWh gas)</t>
  </si>
  <si>
    <t>gas operating cost (£/MWh)</t>
  </si>
  <si>
    <t>General!A38</t>
  </si>
  <si>
    <t>(tnCO2/h)</t>
  </si>
  <si>
    <t>Capital cost of pipeline (£/km)</t>
  </si>
  <si>
    <t>coefficient of CO2 capture for technology type j in time period t(tn CO2 / MWh)</t>
  </si>
  <si>
    <t>coefficient of CO2 emission for technology type j in time period t(tn CO2 / MWh)</t>
  </si>
  <si>
    <t>total emission targer for power sector (tn)</t>
  </si>
  <si>
    <t>Carbon price (£/tnCO2)</t>
  </si>
  <si>
    <t>carbon tax in time period t (£ tn-1 CO2)</t>
  </si>
  <si>
    <t>maximum flowrate in a hydrogen pipeline of diameter size d (tn H2 d-1)</t>
  </si>
  <si>
    <t>total capacity of reservoir r (tn CO2-eq)</t>
  </si>
  <si>
    <t>initial CO2 inventory in reservoir r (tn CO2)</t>
  </si>
  <si>
    <t>coefficient of CO2 capture for plant type p in time period t(tn CO2 / MWh)</t>
  </si>
  <si>
    <t>coefficient of CO2 emission for plant type p and size j in time period t(tn CO2 / MWh)</t>
  </si>
  <si>
    <t xml:space="preserve">Total capacity of reservoir r (tn CO2)  </t>
  </si>
  <si>
    <t>Initial CO2 inventory in reservoir r (tn CO2)</t>
  </si>
  <si>
    <t>1990 based emissions</t>
  </si>
  <si>
    <r>
      <t xml:space="preserve">National Grid ESO. (2023).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scheme val="minor"/>
      </rPr>
      <t>. www.nationalgrideso.com/future-energy/future-energy-scenarios</t>
    </r>
  </si>
  <si>
    <t xml:space="preserve">regional biomass availability </t>
  </si>
  <si>
    <t xml:space="preserve">Vbio_max(t) </t>
  </si>
  <si>
    <t xml:space="preserve">maximum biomass availability in time period t </t>
  </si>
  <si>
    <t xml:space="preserve">CCC, 2018 Biomass in a low-carbon economy </t>
  </si>
  <si>
    <t>Calderon et al. (2016), An optimisation framework for the strategic design of synthetic natural
gas (BioSNG) supply chains</t>
  </si>
  <si>
    <t>breg</t>
  </si>
  <si>
    <t>Biomass!B4:C16</t>
  </si>
  <si>
    <t>breg(g)</t>
  </si>
  <si>
    <t>Vbio_max</t>
  </si>
  <si>
    <t>Biomass!B21:G22</t>
  </si>
  <si>
    <t>biomass availability in time period t (TWh)</t>
  </si>
  <si>
    <t>biomass percentage in each region g (%)</t>
  </si>
  <si>
    <t>unit commitment technologies</t>
  </si>
  <si>
    <t>DEMAND (values)</t>
  </si>
  <si>
    <t xml:space="preserve">DEMAND (change rate) </t>
  </si>
  <si>
    <t>Calculations!C40:H41</t>
  </si>
  <si>
    <t>*coal phased out IN 2024 according to ESO</t>
  </si>
  <si>
    <t>Sets!C13:E13</t>
  </si>
  <si>
    <t>https://www.gov.uk/government/news/end-to-coal-power-brought-forward-to-october-2024</t>
  </si>
  <si>
    <t>H2CCGT</t>
  </si>
  <si>
    <t>Sets!C15:R15</t>
  </si>
  <si>
    <t>Sets!C16:P16</t>
  </si>
  <si>
    <t>Sets!C23:L23</t>
  </si>
  <si>
    <t>TechData!A3:B22</t>
  </si>
  <si>
    <t>CostTech!A2:G28</t>
  </si>
  <si>
    <t>CostTech!E33:F45</t>
  </si>
  <si>
    <t>CostTech!A33:B45</t>
  </si>
  <si>
    <t>TechData!F27:G36</t>
  </si>
  <si>
    <t>TechData!A41:B66</t>
  </si>
  <si>
    <t>TechData!A109:H135</t>
  </si>
  <si>
    <t>TechData!A145:B160</t>
  </si>
  <si>
    <t>CostTech!L2:R28</t>
  </si>
  <si>
    <t>CostTech!W3:X28</t>
  </si>
  <si>
    <t>TechData!F71:G84</t>
  </si>
  <si>
    <t>TechData!A71:B84</t>
  </si>
  <si>
    <t>TechData!K71:L76</t>
  </si>
  <si>
    <t>TechData!P71:Q76</t>
  </si>
  <si>
    <t>TechData!A91:B104</t>
  </si>
  <si>
    <t>TechData!F91:G104</t>
  </si>
  <si>
    <t>TechData!K91:L100</t>
  </si>
  <si>
    <t>TechData!P91:Q100</t>
  </si>
  <si>
    <t>TechData!A139:B140</t>
  </si>
  <si>
    <t>TechData!A27:B36</t>
  </si>
  <si>
    <t>Same as CCGT</t>
  </si>
  <si>
    <t>average load factor of technology j (%)</t>
  </si>
  <si>
    <t>building rate for technology j and time period t (MW)</t>
  </si>
  <si>
    <t>regional delivery distance of hydrogen transportation in region g (km)</t>
  </si>
  <si>
    <t>capacity of road transportation  (MWh unit-1)</t>
  </si>
  <si>
    <t xml:space="preserve">high </t>
  </si>
  <si>
    <t>low</t>
  </si>
  <si>
    <t>winter</t>
  </si>
  <si>
    <t>spring</t>
  </si>
  <si>
    <t>summer</t>
  </si>
  <si>
    <t>autumn</t>
  </si>
  <si>
    <t>ClusteredDataSTOR!L2:Z146</t>
  </si>
  <si>
    <t>ClusteredDataSTOR!A2:H146</t>
  </si>
  <si>
    <t>ClusteredDataSTOR!CF4:CG9</t>
  </si>
  <si>
    <t>ClusteredDataSTOR!I3:K146</t>
  </si>
  <si>
    <t xml:space="preserve">RESIDENTIAL GAS DEMAND </t>
  </si>
  <si>
    <t xml:space="preserve">COMMERCIAL GAS DEMAND </t>
  </si>
  <si>
    <t xml:space="preserve">INDUSTRIAL GAS DEMAND </t>
  </si>
  <si>
    <t>ClusteredDataSTOR!DJ4:DK9</t>
  </si>
  <si>
    <t>Dom</t>
  </si>
  <si>
    <t>Domestic Gas demand (MW)</t>
  </si>
  <si>
    <t>ClusteredDataSTOR!BE1:CS146</t>
  </si>
  <si>
    <t>ClusteredDataSTOR!CT2:DH146</t>
  </si>
  <si>
    <t>Com</t>
  </si>
  <si>
    <t>Commercial Gas demand (MW)</t>
  </si>
  <si>
    <t>ClusteredDataSTOR!AA2:AO146</t>
  </si>
  <si>
    <t>Ind</t>
  </si>
  <si>
    <t>ClusteredDataSTOR!AP2:BD146</t>
  </si>
  <si>
    <t>Industrial Gas demand (MW)</t>
  </si>
  <si>
    <t>domestic</t>
  </si>
  <si>
    <t>commercial</t>
  </si>
  <si>
    <t>industrial</t>
  </si>
  <si>
    <t>dom_year</t>
  </si>
  <si>
    <t xml:space="preserve">percentage of future domestic heat demand comparing to a past year </t>
  </si>
  <si>
    <t>com_year</t>
  </si>
  <si>
    <t xml:space="preserve">percentage of future commercial heat demand comparing to a past year </t>
  </si>
  <si>
    <t>ind_year</t>
  </si>
  <si>
    <t xml:space="preserve">percentage of future industrial heat demand comparing to a past year </t>
  </si>
  <si>
    <t>Calculations!J52:O53</t>
  </si>
  <si>
    <t>Calculations!C52:H53</t>
  </si>
  <si>
    <t>Calculations!Q52:V53</t>
  </si>
  <si>
    <t>lfmin(j)</t>
  </si>
  <si>
    <t>Min load factor</t>
  </si>
  <si>
    <t>Max load factor</t>
  </si>
  <si>
    <t>lfmax(j)</t>
  </si>
  <si>
    <t>lfmin</t>
  </si>
  <si>
    <t>lfmax</t>
  </si>
  <si>
    <t>Self discharge</t>
  </si>
  <si>
    <t>TechData!E200:F225</t>
  </si>
  <si>
    <t>TechData!A200:B225</t>
  </si>
  <si>
    <t>eta_self</t>
  </si>
  <si>
    <t>eta_sef(j)</t>
  </si>
  <si>
    <t>TechData!A230:B237</t>
  </si>
  <si>
    <t>self discharge of technology type j (%)</t>
  </si>
  <si>
    <t xml:space="preserve">oc_var_ch(j)     </t>
  </si>
  <si>
    <t>oc_var_ch</t>
  </si>
  <si>
    <t>CostTech!AE3:AF10</t>
  </si>
  <si>
    <t>variable operating cost for charging of technology j in time period t (£/MWh)</t>
  </si>
  <si>
    <t xml:space="preserve">drfI(i)              </t>
  </si>
  <si>
    <t>drfI</t>
  </si>
  <si>
    <t>de-rating factor for each interconnector I (%)</t>
  </si>
  <si>
    <t>Trans_Inter!A27:B38</t>
  </si>
  <si>
    <t>DESN 2024 https://www.gov.uk/government/publications/capacity-market-auction-parameters-letter-from-desnz-to-eso-july-2024/full-details-of-auction-parameters-and-interconnector-de-rating-factors</t>
  </si>
  <si>
    <t>CM</t>
  </si>
  <si>
    <t>Capacity margin (%)</t>
  </si>
  <si>
    <t>Value of Lost Load (£/MWh)</t>
  </si>
  <si>
    <t>cVoLL</t>
  </si>
  <si>
    <t>Semcommittee, 2023 https://www.semcommittee.com/files/semcommittee/media-files/Calculation%20of%20a%20single%20Value%20of%20Lost%20Load%20within%20the%20SEM%20Information%20Paper%20SEM-23-072.pdf</t>
  </si>
  <si>
    <t>https://publications.parliament.uk/pa/ld201415/ldselect/ldsctech/121/12106.htm</t>
  </si>
  <si>
    <t>National Grid, 2024, 2024/2025 Half Year Statement https://www.nationalgrid.com/document/153151/download</t>
  </si>
  <si>
    <t>General!A44</t>
  </si>
  <si>
    <t>General!A49</t>
  </si>
  <si>
    <t>capacity margin (%)</t>
  </si>
  <si>
    <t>EtP</t>
  </si>
  <si>
    <t>Energy to power (h)</t>
  </si>
  <si>
    <t>EtP(j)</t>
  </si>
  <si>
    <t>TechData!A242:B249</t>
  </si>
  <si>
    <t>Energy to power for storage (h)</t>
  </si>
  <si>
    <t>prev</t>
  </si>
  <si>
    <r>
      <t xml:space="preserve">National Energy System Operator. (2024). </t>
    </r>
    <r>
      <rPr>
        <i/>
        <sz val="11"/>
        <color theme="1"/>
        <rFont val="Calibri"/>
        <family val="2"/>
        <scheme val="minor"/>
      </rPr>
      <t>Winter Outlook Report</t>
    </r>
    <r>
      <rPr>
        <sz val="11"/>
        <color theme="1"/>
        <rFont val="Calibri"/>
        <family val="2"/>
        <scheme val="minor"/>
      </rPr>
      <t>. https://www.neso.energy/document/330221/download</t>
    </r>
  </si>
  <si>
    <t>National Grid 2024 &amp; NESO</t>
  </si>
  <si>
    <t>Building rate of technology j (MW) for 10y</t>
  </si>
  <si>
    <t>load factor technologies</t>
  </si>
  <si>
    <t>jlf</t>
  </si>
  <si>
    <t>Sets!C24:H24</t>
  </si>
  <si>
    <t>Future Capacity (units)</t>
  </si>
  <si>
    <t>Initial Capacity (MW)</t>
  </si>
  <si>
    <t>Future Capacity (MW)</t>
  </si>
  <si>
    <t xml:space="preserve">Nuclear </t>
  </si>
  <si>
    <t>NUf(j,g)</t>
  </si>
  <si>
    <t>Capf(jre,g)</t>
  </si>
  <si>
    <t>InitCap!A2:N8</t>
  </si>
  <si>
    <t>initial capacity of thermal electricity plants (units)</t>
  </si>
  <si>
    <t>InitCap!A22:O24</t>
  </si>
  <si>
    <t>Nuf</t>
  </si>
  <si>
    <t>future capacity of thermal electricity plants (units)</t>
  </si>
  <si>
    <t>Capf</t>
  </si>
  <si>
    <t>InitCap!A28:O30</t>
  </si>
  <si>
    <t>future capacity of renewable electricity plants (units)</t>
  </si>
  <si>
    <t>HyASHP</t>
  </si>
  <si>
    <t>HyGasBoiler</t>
  </si>
  <si>
    <t>TechData!A165:H196</t>
  </si>
  <si>
    <t>HeatTech!A11:G16</t>
  </si>
  <si>
    <t>HeatTech!A2:G7</t>
  </si>
  <si>
    <t>HeatTech!A21:B25</t>
  </si>
  <si>
    <t xml:space="preserve">lossesI(i)              </t>
  </si>
  <si>
    <t>lossesI</t>
  </si>
  <si>
    <t>Trans_Inter!A42:B53</t>
  </si>
  <si>
    <t>Losses in interconnection I (%)</t>
  </si>
  <si>
    <t>pim_y(k,t)</t>
  </si>
  <si>
    <t>pim_y</t>
  </si>
  <si>
    <t>Trans_Inter!A57:G63</t>
  </si>
  <si>
    <t xml:space="preserve">adjustion for interconncetion prices </t>
  </si>
  <si>
    <t>cost of fuel f in time period t (£/MWh)</t>
  </si>
  <si>
    <t>TRCin</t>
  </si>
  <si>
    <t>DC_load</t>
  </si>
  <si>
    <t>[12]</t>
  </si>
  <si>
    <t>[25]</t>
  </si>
  <si>
    <t>[15]</t>
  </si>
  <si>
    <t>[32]</t>
  </si>
  <si>
    <t>[33]</t>
  </si>
  <si>
    <t>[16]</t>
  </si>
  <si>
    <t>[7]</t>
  </si>
  <si>
    <t>[6]</t>
  </si>
  <si>
    <t>[36]</t>
  </si>
  <si>
    <t>[30]</t>
  </si>
  <si>
    <t>[5]</t>
  </si>
  <si>
    <t>[4]</t>
  </si>
  <si>
    <t>[29]</t>
  </si>
  <si>
    <t>[26]</t>
  </si>
  <si>
    <t>[38]</t>
  </si>
  <si>
    <t>[13]</t>
  </si>
  <si>
    <t>[27]</t>
  </si>
  <si>
    <t>[10]</t>
  </si>
  <si>
    <t>[2]</t>
  </si>
  <si>
    <r>
      <t>Charitopoulos, V. M., Fajardy, M., Chyong, C. K., &amp; Reiner, D. M. (2023). The impact of 100% electrification of domestic heat in Great Britain. </t>
    </r>
    <r>
      <rPr>
        <i/>
        <sz val="8"/>
        <color rgb="FF222222"/>
        <rFont val="Arial"/>
        <family val="2"/>
      </rPr>
      <t>Iscience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26</t>
    </r>
    <r>
      <rPr>
        <sz val="8"/>
        <color rgb="FF222222"/>
        <rFont val="Arial"/>
        <family val="2"/>
      </rPr>
      <t>(11).</t>
    </r>
  </si>
  <si>
    <t>[1]</t>
  </si>
  <si>
    <t>[3]</t>
  </si>
  <si>
    <t>[8]</t>
  </si>
  <si>
    <t>[9]</t>
  </si>
  <si>
    <t>[11]</t>
  </si>
  <si>
    <t>[14]</t>
  </si>
  <si>
    <t>[17]</t>
  </si>
  <si>
    <t>[18]</t>
  </si>
  <si>
    <t>[20]</t>
  </si>
  <si>
    <t>[21]</t>
  </si>
  <si>
    <t>[28]</t>
  </si>
  <si>
    <t>[31]</t>
  </si>
  <si>
    <t>[34]</t>
  </si>
  <si>
    <t>[37]</t>
  </si>
  <si>
    <t>Ref</t>
  </si>
  <si>
    <t>National Grid. Gas demand forecasting methodology National Grid Gas. 2016</t>
  </si>
  <si>
    <t>National Grid. Electricity Ten Year Statement National Grid ESO. 2020</t>
  </si>
  <si>
    <t>https://atb.nrel.gov/electricity/2024/hydropower</t>
  </si>
  <si>
    <t>NREL, 2024 Annual Technology Baseline (ATB)</t>
  </si>
  <si>
    <r>
      <t xml:space="preserve">Bounitsis, G. L., &amp; Charitopoulos, V. M. (2024). The value of ammonia towards integrated power and heat system decarbonisation. </t>
    </r>
    <r>
      <rPr>
        <i/>
        <sz val="8"/>
        <color theme="1"/>
        <rFont val="Calibri"/>
        <family val="2"/>
        <scheme val="minor"/>
      </rPr>
      <t>Sustainable Energy &amp; Fuels</t>
    </r>
    <r>
      <rPr>
        <sz val="8"/>
        <color theme="1"/>
        <rFont val="Calibri"/>
        <family val="2"/>
        <scheme val="minor"/>
      </rPr>
      <t xml:space="preserve">, </t>
    </r>
    <r>
      <rPr>
        <i/>
        <sz val="8"/>
        <color theme="1"/>
        <rFont val="Calibri"/>
        <family val="2"/>
        <scheme val="minor"/>
      </rPr>
      <t>8</t>
    </r>
    <r>
      <rPr>
        <sz val="8"/>
        <color theme="1"/>
        <rFont val="Calibri"/>
        <family val="2"/>
        <scheme val="minor"/>
      </rPr>
      <t>(13), 2914–2940. https://doi.org/10.1039/D4SE00449C</t>
    </r>
  </si>
  <si>
    <r>
      <t xml:space="preserve">Climate Change Committee. (2020). </t>
    </r>
    <r>
      <rPr>
        <i/>
        <sz val="9"/>
        <color theme="1"/>
        <rFont val="Calibri"/>
        <family val="2"/>
        <scheme val="minor"/>
      </rPr>
      <t>The Sixth Carbon Budget Electricity generation</t>
    </r>
    <r>
      <rPr>
        <sz val="9"/>
        <color theme="1"/>
        <rFont val="Calibri"/>
        <family val="2"/>
        <scheme val="minor"/>
      </rPr>
      <t>. www.theccc.org.uk</t>
    </r>
  </si>
  <si>
    <t>ArcGIS, (x,y) coordination where x is longitude (east/west) and Y represents latitude</t>
  </si>
  <si>
    <t>Danish Energy Agency, inputs/technology_data_for_el_and_dh.xlsx</t>
  </si>
  <si>
    <t>S. Ong, C. Campbell, P. Denholm, R. Margolis, and G. Heath (2013). Land-Use Requirements for Solar Power Plants in the United States, NREL. Available at www.nrel.gov/publications.</t>
  </si>
  <si>
    <t>IEA. The future of hydrogen. Technical report, 2019. URLhttps://www.iea.org/reports/the-future-of-hydrogen</t>
  </si>
  <si>
    <r>
      <rPr>
        <b/>
        <sz val="11"/>
        <color theme="1"/>
        <rFont val="Calibri"/>
        <family val="2"/>
        <scheme val="minor"/>
      </rPr>
      <t>Distance LDZ (km)</t>
    </r>
    <r>
      <rPr>
        <sz val="11"/>
        <color theme="1"/>
        <rFont val="Calibri"/>
        <family val="2"/>
        <scheme val="minor"/>
      </rPr>
      <t xml:space="preserve"> </t>
    </r>
  </si>
  <si>
    <t>[1-2]</t>
  </si>
  <si>
    <t>[4, 11]</t>
  </si>
  <si>
    <t>[39]</t>
  </si>
  <si>
    <t>https://www.irena.org/-/media/files/irena/agency/publication/2019/oct/irena_future_of_wind_2019.pdf</t>
  </si>
  <si>
    <t>[40]</t>
  </si>
  <si>
    <t>[41]</t>
  </si>
  <si>
    <t>[4, 41]</t>
  </si>
  <si>
    <t>?</t>
  </si>
  <si>
    <r>
      <t>Efthymiadou, M. E., Charitopoulos, V. M., &amp; Papageorgiou, L. G. (2024). Optimal hydrogen infrastructure planning for heat decarbonisation. </t>
    </r>
    <r>
      <rPr>
        <i/>
        <sz val="8"/>
        <color rgb="FF222222"/>
        <rFont val="Arial"/>
        <family val="2"/>
      </rPr>
      <t>Chemical Engineering Research and Design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204</t>
    </r>
    <r>
      <rPr>
        <sz val="8"/>
        <color rgb="FF222222"/>
        <rFont val="Arial"/>
        <family val="2"/>
      </rPr>
      <t>, 121-136.</t>
    </r>
  </si>
  <si>
    <t>[2, 11]</t>
  </si>
  <si>
    <t>[6</t>
  </si>
  <si>
    <t>[2,11]</t>
  </si>
  <si>
    <t>N/A</t>
  </si>
  <si>
    <t>https://homerenergy.com/products/pro/docs/3.15/battery_roundtrip_efficiency.html   (*(round-trip efficiency)^(1/2)</t>
  </si>
  <si>
    <t>[42]</t>
  </si>
  <si>
    <t>[43]</t>
  </si>
  <si>
    <t>[6, 36]</t>
  </si>
  <si>
    <t>[15, 33]</t>
  </si>
  <si>
    <t>[44]</t>
  </si>
  <si>
    <t>MacDonald, A. E. et al. Future cost-competitive electricity systems and their impact on US CO2 emissions. Nature Climate Change 6, 526–531 (2016).</t>
  </si>
  <si>
    <t>[45]</t>
  </si>
  <si>
    <t xml:space="preserve">Assumption </t>
  </si>
  <si>
    <t>[11,45]</t>
  </si>
  <si>
    <t>[45, 11]</t>
  </si>
  <si>
    <t>Assumption</t>
  </si>
  <si>
    <t>[46]</t>
  </si>
  <si>
    <t>[2, 14]</t>
  </si>
  <si>
    <t>Redpoint. Impacts of further electricity interconnection on Great Britain: A Report by Redpoint Energy Limited, a business of Baringa Partners,for the Department of Energy and Climate Change (DECC). Department of Energy and Climate Change. 2013</t>
  </si>
  <si>
    <t>[47]</t>
  </si>
  <si>
    <t>[2, 46, 47]</t>
  </si>
  <si>
    <t>https://www.energydashboard.co.uk/live</t>
  </si>
  <si>
    <t>[48]</t>
  </si>
  <si>
    <t>[49]</t>
  </si>
  <si>
    <t>Zeyringer, M., Price, J., Fais, B., Li, P.-H. &amp; Sharp, E. Designing low-carbon power systems for Great Britain in 2050 that are robust to the spatiotemporal and inter-annual variability of weather. Nature Energy 3, 395–403 (2018)</t>
  </si>
  <si>
    <t>[50]</t>
  </si>
  <si>
    <t>[2, 48]</t>
  </si>
  <si>
    <t>[2, 36]</t>
  </si>
  <si>
    <t>[2, 6]</t>
  </si>
  <si>
    <t>https://www.theccc.org.uk/publication/the-seventh-carbon-budget/</t>
  </si>
  <si>
    <t>[34, 36]</t>
  </si>
  <si>
    <t>[11,34]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</si>
</sst>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#,##0.000"/>
    <numFmt numFmtId="167" formatCode="yyyy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charset val="161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202124"/>
      <name val="Arial"/>
      <family val="2"/>
    </font>
    <font>
      <i/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</font>
    <font>
      <b/>
      <sz val="10"/>
      <color indexed="8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indexed="8"/>
      <name val="Helvetica"/>
      <family val="2"/>
    </font>
    <font>
      <sz val="11"/>
      <color rgb="FF000000"/>
      <name val="Helvetica"/>
      <family val="2"/>
    </font>
    <font>
      <sz val="11"/>
      <color theme="1"/>
      <name val="Helvetica"/>
      <family val="2"/>
    </font>
    <font>
      <sz val="11"/>
      <color rgb="FF000000"/>
      <name val="Calibri"/>
      <family val="2"/>
      <charset val="161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sz val="9"/>
      <color rgb="FF222222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18C7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DAF6"/>
        <bgColor indexed="64"/>
      </patternFill>
    </fill>
    <fill>
      <patternFill patternType="solid">
        <fgColor rgb="FFCDE7B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9CE8D0"/>
        <bgColor indexed="64"/>
      </patternFill>
    </fill>
    <fill>
      <patternFill patternType="solid">
        <fgColor rgb="FFD4F4E4"/>
        <bgColor indexed="64"/>
      </patternFill>
    </fill>
    <fill>
      <patternFill patternType="solid">
        <fgColor rgb="FFC5D7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0" fontId="8" fillId="0" borderId="0"/>
    <xf numFmtId="9" fontId="4" fillId="0" borderId="0" applyFont="0" applyFill="0" applyBorder="0" applyAlignment="0" applyProtection="0"/>
    <xf numFmtId="0" fontId="15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top"/>
    </xf>
    <xf numFmtId="0" fontId="0" fillId="3" borderId="0" xfId="0" applyFill="1"/>
    <xf numFmtId="0" fontId="3" fillId="0" borderId="0" xfId="0" applyFont="1"/>
    <xf numFmtId="0" fontId="2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/>
    <xf numFmtId="0" fontId="0" fillId="4" borderId="5" xfId="0" applyFill="1" applyBorder="1"/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right"/>
    </xf>
    <xf numFmtId="0" fontId="2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4" borderId="0" xfId="0" applyFont="1" applyFill="1"/>
    <xf numFmtId="0" fontId="9" fillId="0" borderId="0" xfId="0" applyFont="1"/>
    <xf numFmtId="0" fontId="2" fillId="6" borderId="0" xfId="0" applyFont="1" applyFill="1"/>
    <xf numFmtId="0" fontId="2" fillId="3" borderId="0" xfId="0" applyFont="1" applyFill="1"/>
    <xf numFmtId="0" fontId="11" fillId="0" borderId="0" xfId="0" applyFont="1"/>
    <xf numFmtId="0" fontId="13" fillId="0" borderId="0" xfId="0" applyFont="1"/>
    <xf numFmtId="0" fontId="2" fillId="7" borderId="0" xfId="0" applyFont="1" applyFill="1"/>
    <xf numFmtId="0" fontId="0" fillId="7" borderId="0" xfId="0" applyFill="1"/>
    <xf numFmtId="164" fontId="9" fillId="3" borderId="0" xfId="0" applyNumberFormat="1" applyFont="1" applyFill="1"/>
    <xf numFmtId="0" fontId="9" fillId="3" borderId="0" xfId="0" applyFont="1" applyFill="1"/>
    <xf numFmtId="1" fontId="0" fillId="0" borderId="0" xfId="0" applyNumberFormat="1"/>
    <xf numFmtId="0" fontId="16" fillId="0" borderId="6" xfId="3" applyFont="1" applyBorder="1" applyAlignment="1">
      <alignment horizontal="center"/>
    </xf>
    <xf numFmtId="0" fontId="16" fillId="0" borderId="6" xfId="3" applyFont="1" applyBorder="1" applyAlignment="1">
      <alignment horizontal="left"/>
    </xf>
    <xf numFmtId="164" fontId="0" fillId="0" borderId="0" xfId="0" applyNumberFormat="1"/>
    <xf numFmtId="166" fontId="0" fillId="0" borderId="0" xfId="0" applyNumberFormat="1"/>
    <xf numFmtId="3" fontId="0" fillId="3" borderId="0" xfId="0" applyNumberFormat="1" applyFill="1"/>
    <xf numFmtId="0" fontId="2" fillId="8" borderId="0" xfId="0" applyFont="1" applyFill="1"/>
    <xf numFmtId="0" fontId="0" fillId="8" borderId="0" xfId="0" applyFill="1"/>
    <xf numFmtId="0" fontId="7" fillId="3" borderId="0" xfId="0" applyFont="1" applyFill="1"/>
    <xf numFmtId="164" fontId="0" fillId="0" borderId="0" xfId="5" applyFont="1" applyFill="1"/>
    <xf numFmtId="0" fontId="11" fillId="9" borderId="0" xfId="0" applyFont="1" applyFill="1"/>
    <xf numFmtId="0" fontId="2" fillId="9" borderId="0" xfId="0" applyFont="1" applyFill="1"/>
    <xf numFmtId="0" fontId="17" fillId="10" borderId="0" xfId="0" applyFont="1" applyFill="1" applyAlignment="1">
      <alignment vertical="top"/>
    </xf>
    <xf numFmtId="0" fontId="17" fillId="10" borderId="0" xfId="0" applyFont="1" applyFill="1" applyAlignment="1">
      <alignment horizontal="center" vertical="top"/>
    </xf>
    <xf numFmtId="0" fontId="2" fillId="10" borderId="0" xfId="0" applyFont="1" applyFill="1" applyAlignment="1">
      <alignment horizontal="center"/>
    </xf>
    <xf numFmtId="0" fontId="0" fillId="10" borderId="0" xfId="0" applyFill="1"/>
    <xf numFmtId="0" fontId="2" fillId="10" borderId="0" xfId="0" applyFont="1" applyFill="1" applyAlignment="1">
      <alignment horizontal="left"/>
    </xf>
    <xf numFmtId="0" fontId="2" fillId="10" borderId="0" xfId="0" applyFont="1" applyFill="1"/>
    <xf numFmtId="1" fontId="18" fillId="11" borderId="0" xfId="0" applyNumberFormat="1" applyFont="1" applyFill="1"/>
    <xf numFmtId="1" fontId="18" fillId="0" borderId="0" xfId="0" applyNumberFormat="1" applyFont="1"/>
    <xf numFmtId="1" fontId="19" fillId="0" borderId="0" xfId="0" applyNumberFormat="1" applyFont="1"/>
    <xf numFmtId="0" fontId="20" fillId="0" borderId="0" xfId="0" applyFont="1"/>
    <xf numFmtId="1" fontId="21" fillId="0" borderId="0" xfId="0" applyNumberFormat="1" applyFont="1"/>
    <xf numFmtId="0" fontId="21" fillId="0" borderId="0" xfId="0" applyFont="1"/>
    <xf numFmtId="4" fontId="21" fillId="0" borderId="0" xfId="0" applyNumberFormat="1" applyFont="1"/>
    <xf numFmtId="4" fontId="0" fillId="0" borderId="0" xfId="0" applyNumberFormat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4" fillId="0" borderId="0" xfId="0" applyFont="1"/>
    <xf numFmtId="0" fontId="0" fillId="13" borderId="0" xfId="0" applyFill="1"/>
    <xf numFmtId="0" fontId="24" fillId="3" borderId="0" xfId="0" applyFont="1" applyFill="1"/>
    <xf numFmtId="3" fontId="17" fillId="14" borderId="0" xfId="0" applyNumberFormat="1" applyFont="1" applyFill="1"/>
    <xf numFmtId="3" fontId="11" fillId="3" borderId="0" xfId="0" applyNumberFormat="1" applyFont="1" applyFill="1"/>
    <xf numFmtId="167" fontId="23" fillId="15" borderId="0" xfId="0" applyNumberFormat="1" applyFont="1" applyFill="1"/>
    <xf numFmtId="2" fontId="17" fillId="14" borderId="0" xfId="0" applyNumberFormat="1" applyFont="1" applyFill="1"/>
    <xf numFmtId="0" fontId="2" fillId="13" borderId="0" xfId="0" applyFont="1" applyFill="1"/>
    <xf numFmtId="0" fontId="2" fillId="12" borderId="0" xfId="0" applyFont="1" applyFill="1"/>
    <xf numFmtId="0" fontId="25" fillId="0" borderId="0" xfId="0" applyFont="1"/>
    <xf numFmtId="0" fontId="0" fillId="16" borderId="0" xfId="0" applyFill="1"/>
    <xf numFmtId="0" fontId="0" fillId="9" borderId="0" xfId="0" applyFill="1"/>
    <xf numFmtId="0" fontId="0" fillId="3" borderId="0" xfId="0" applyFill="1" applyAlignment="1">
      <alignment horizontal="center"/>
    </xf>
    <xf numFmtId="0" fontId="2" fillId="16" borderId="0" xfId="0" applyFont="1" applyFill="1"/>
    <xf numFmtId="0" fontId="22" fillId="16" borderId="0" xfId="0" applyFont="1" applyFill="1"/>
    <xf numFmtId="0" fontId="3" fillId="3" borderId="0" xfId="0" applyFont="1" applyFill="1"/>
    <xf numFmtId="0" fontId="0" fillId="17" borderId="0" xfId="0" applyFill="1"/>
    <xf numFmtId="0" fontId="2" fillId="17" borderId="0" xfId="0" applyFont="1" applyFill="1"/>
    <xf numFmtId="0" fontId="0" fillId="12" borderId="0" xfId="0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0" fontId="12" fillId="3" borderId="0" xfId="0" applyFont="1" applyFill="1"/>
    <xf numFmtId="165" fontId="0" fillId="3" borderId="0" xfId="0" applyNumberFormat="1" applyFill="1"/>
    <xf numFmtId="1" fontId="0" fillId="3" borderId="0" xfId="0" applyNumberFormat="1" applyFill="1"/>
    <xf numFmtId="0" fontId="0" fillId="3" borderId="0" xfId="0" applyFill="1" applyAlignment="1">
      <alignment horizontal="left"/>
    </xf>
    <xf numFmtId="0" fontId="2" fillId="18" borderId="0" xfId="0" applyFont="1" applyFill="1"/>
    <xf numFmtId="0" fontId="0" fillId="18" borderId="0" xfId="0" applyFill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11" fontId="0" fillId="3" borderId="0" xfId="0" applyNumberFormat="1" applyFill="1"/>
    <xf numFmtId="0" fontId="28" fillId="19" borderId="0" xfId="0" applyFont="1" applyFill="1"/>
    <xf numFmtId="2" fontId="29" fillId="20" borderId="0" xfId="0" applyNumberFormat="1" applyFont="1" applyFill="1"/>
    <xf numFmtId="2" fontId="29" fillId="3" borderId="0" xfId="0" applyNumberFormat="1" applyFont="1" applyFill="1"/>
    <xf numFmtId="0" fontId="6" fillId="3" borderId="0" xfId="0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4" fontId="7" fillId="3" borderId="0" xfId="0" applyNumberFormat="1" applyFont="1" applyFill="1" applyAlignment="1">
      <alignment horizontal="center"/>
    </xf>
    <xf numFmtId="4" fontId="0" fillId="3" borderId="0" xfId="0" applyNumberFormat="1" applyFill="1" applyAlignment="1">
      <alignment horizontal="center"/>
    </xf>
    <xf numFmtId="2" fontId="32" fillId="0" borderId="7" xfId="0" applyNumberFormat="1" applyFont="1" applyBorder="1"/>
    <xf numFmtId="165" fontId="33" fillId="0" borderId="6" xfId="0" applyNumberFormat="1" applyFont="1" applyBorder="1"/>
    <xf numFmtId="164" fontId="31" fillId="0" borderId="6" xfId="4" applyFont="1" applyBorder="1"/>
    <xf numFmtId="11" fontId="0" fillId="0" borderId="0" xfId="0" applyNumberFormat="1"/>
    <xf numFmtId="0" fontId="30" fillId="0" borderId="0" xfId="0" applyFont="1" applyAlignment="1">
      <alignment horizontal="left" vertical="center"/>
    </xf>
    <xf numFmtId="4" fontId="0" fillId="3" borderId="0" xfId="0" applyNumberFormat="1" applyFill="1"/>
    <xf numFmtId="3" fontId="0" fillId="0" borderId="0" xfId="0" applyNumberFormat="1"/>
    <xf numFmtId="0" fontId="11" fillId="16" borderId="0" xfId="0" applyFont="1" applyFill="1"/>
    <xf numFmtId="0" fontId="9" fillId="16" borderId="0" xfId="0" applyFont="1" applyFill="1"/>
    <xf numFmtId="0" fontId="11" fillId="3" borderId="0" xfId="0" applyFont="1" applyFill="1"/>
    <xf numFmtId="0" fontId="9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2" fontId="0" fillId="3" borderId="0" xfId="0" applyNumberFormat="1" applyFill="1"/>
    <xf numFmtId="0" fontId="29" fillId="20" borderId="0" xfId="0" applyFont="1" applyFill="1"/>
    <xf numFmtId="0" fontId="29" fillId="3" borderId="0" xfId="0" applyFont="1" applyFill="1"/>
    <xf numFmtId="0" fontId="34" fillId="21" borderId="8" xfId="0" applyFont="1" applyFill="1" applyBorder="1" applyAlignment="1">
      <alignment horizontal="center"/>
    </xf>
    <xf numFmtId="0" fontId="34" fillId="21" borderId="0" xfId="0" applyFont="1" applyFill="1" applyAlignment="1">
      <alignment horizontal="center"/>
    </xf>
    <xf numFmtId="0" fontId="35" fillId="20" borderId="0" xfId="0" applyFont="1" applyFill="1"/>
    <xf numFmtId="0" fontId="36" fillId="20" borderId="0" xfId="0" applyFont="1" applyFill="1"/>
    <xf numFmtId="0" fontId="37" fillId="0" borderId="0" xfId="8"/>
    <xf numFmtId="0" fontId="17" fillId="10" borderId="0" xfId="9" applyFont="1" applyFill="1" applyAlignment="1">
      <alignment vertical="top"/>
    </xf>
    <xf numFmtId="0" fontId="17" fillId="10" borderId="0" xfId="9" applyFont="1" applyFill="1" applyAlignment="1">
      <alignment horizontal="center" vertical="top"/>
    </xf>
    <xf numFmtId="0" fontId="38" fillId="0" borderId="0" xfId="8" applyFont="1" applyAlignment="1">
      <alignment horizontal="center"/>
    </xf>
    <xf numFmtId="0" fontId="39" fillId="0" borderId="0" xfId="0" applyFont="1" applyAlignment="1">
      <alignment horizontal="center"/>
    </xf>
    <xf numFmtId="0" fontId="0" fillId="22" borderId="6" xfId="0" applyFill="1" applyBorder="1" applyAlignment="1">
      <alignment horizontal="center"/>
    </xf>
    <xf numFmtId="0" fontId="38" fillId="0" borderId="6" xfId="8" applyFont="1" applyBorder="1" applyAlignment="1">
      <alignment horizontal="center"/>
    </xf>
    <xf numFmtId="0" fontId="37" fillId="0" borderId="0" xfId="8" applyAlignment="1">
      <alignment horizontal="center"/>
    </xf>
    <xf numFmtId="0" fontId="40" fillId="0" borderId="0" xfId="0" applyFont="1"/>
    <xf numFmtId="0" fontId="42" fillId="0" borderId="0" xfId="0" applyFont="1"/>
    <xf numFmtId="0" fontId="0" fillId="23" borderId="0" xfId="0" applyFill="1"/>
    <xf numFmtId="0" fontId="4" fillId="0" borderId="0" xfId="0" applyFont="1"/>
    <xf numFmtId="0" fontId="0" fillId="23" borderId="0" xfId="0" applyFill="1" applyAlignment="1">
      <alignment horizontal="center"/>
    </xf>
    <xf numFmtId="0" fontId="0" fillId="23" borderId="0" xfId="0" applyFont="1" applyFill="1" applyAlignment="1">
      <alignment horizontal="center"/>
    </xf>
    <xf numFmtId="0" fontId="2" fillId="23" borderId="0" xfId="0" applyFont="1" applyFill="1" applyAlignment="1">
      <alignment horizontal="center"/>
    </xf>
    <xf numFmtId="0" fontId="39" fillId="23" borderId="0" xfId="0" applyFont="1" applyFill="1" applyAlignment="1">
      <alignment horizontal="center"/>
    </xf>
    <xf numFmtId="0" fontId="44" fillId="23" borderId="0" xfId="0" applyFont="1" applyFill="1" applyAlignment="1">
      <alignment horizontal="center"/>
    </xf>
    <xf numFmtId="0" fontId="44" fillId="0" borderId="0" xfId="0" applyFont="1" applyAlignment="1">
      <alignment horizontal="center"/>
    </xf>
    <xf numFmtId="0" fontId="27" fillId="0" borderId="0" xfId="7"/>
    <xf numFmtId="0" fontId="18" fillId="23" borderId="0" xfId="0" applyFont="1" applyFill="1" applyAlignment="1">
      <alignment horizontal="center"/>
    </xf>
    <xf numFmtId="0" fontId="3" fillId="23" borderId="0" xfId="0" applyFont="1" applyFill="1" applyAlignment="1">
      <alignment horizontal="center" vertical="center"/>
    </xf>
    <xf numFmtId="0" fontId="27" fillId="23" borderId="0" xfId="7" applyFill="1" applyAlignment="1">
      <alignment horizontal="center"/>
    </xf>
    <xf numFmtId="0" fontId="27" fillId="23" borderId="0" xfId="7" applyFill="1" applyAlignment="1">
      <alignment horizontal="center" vertical="center"/>
    </xf>
    <xf numFmtId="0" fontId="47" fillId="23" borderId="0" xfId="7" applyFont="1" applyFill="1" applyAlignment="1">
      <alignment horizontal="center"/>
    </xf>
    <xf numFmtId="0" fontId="48" fillId="23" borderId="0" xfId="0" applyFont="1" applyFill="1" applyAlignment="1">
      <alignment horizontal="center"/>
    </xf>
  </cellXfs>
  <cellStyles count="13">
    <cellStyle name="Comma" xfId="5" builtinId="3"/>
    <cellStyle name="Comma 132" xfId="4" xr:uid="{B4FD30EB-4AF1-446B-BDB9-ECE245CDBCDE}"/>
    <cellStyle name="Comma 132 2" xfId="10" xr:uid="{0E9B88E5-2973-4A92-BEE8-CB895FD0E6F1}"/>
    <cellStyle name="Comma 2" xfId="11" xr:uid="{69168E17-33BB-4F5C-820F-0D66081347B3}"/>
    <cellStyle name="Comma 3 2" xfId="6" xr:uid="{CBDC8973-CB0B-471F-BE11-E46D6D4A5DAC}"/>
    <cellStyle name="Comma 3 2 2" xfId="12" xr:uid="{51DA1097-6A75-460B-BF23-ABE12AFB0C38}"/>
    <cellStyle name="Hyperlink" xfId="7" builtinId="8"/>
    <cellStyle name="Normal" xfId="0" builtinId="0"/>
    <cellStyle name="Normal 2" xfId="9" xr:uid="{4B72D503-E03B-4F0F-B292-0583FC130D2F}"/>
    <cellStyle name="Normal 3" xfId="8" xr:uid="{6A80656E-1844-4949-A8EC-3FC94B77ECB9}"/>
    <cellStyle name="Normal 3 2 2 2" xfId="1" xr:uid="{3EEA8951-B394-402D-AE30-2322AE031FE8}"/>
    <cellStyle name="Normal_Economy charts (from Steve)" xfId="3" xr:uid="{40613877-A561-4D1D-9266-A26ECF9E305F}"/>
    <cellStyle name="Percent 2 21" xfId="2" xr:uid="{BBB1407F-D191-46F6-84C4-0E11A55E2C0B}"/>
  </cellStyles>
  <dxfs count="0"/>
  <tableStyles count="0" defaultTableStyle="TableStyleMedium2" defaultPivotStyle="PivotStyleLight16"/>
  <colors>
    <mruColors>
      <color rgb="FF9CE8D0"/>
      <color rgb="FFC5D7FF"/>
      <color rgb="FF62E5EC"/>
      <color rgb="FFD4F4E4"/>
      <color rgb="FFF5DAF6"/>
      <color rgb="FFECB5ED"/>
      <color rgb="FFA18C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0</xdr:row>
      <xdr:rowOff>57150</xdr:rowOff>
    </xdr:from>
    <xdr:to>
      <xdr:col>17</xdr:col>
      <xdr:colOff>57150</xdr:colOff>
      <xdr:row>2</xdr:row>
      <xdr:rowOff>142875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5">
              <a:extLst>
                <a:ext uri="{FF2B5EF4-FFF2-40B4-BE49-F238E27FC236}">
                  <a16:creationId xmlns:a16="http://schemas.microsoft.com/office/drawing/2014/main" id="{AEDCF8E0-9885-BF70-7DD0-79B1A18FF31B}"/>
                </a:ext>
              </a:extLst>
            </xdr:cNvPr>
            <xdr:cNvSpPr txBox="1"/>
          </xdr:nvSpPr>
          <xdr:spPr>
            <a:xfrm>
              <a:off x="8096250" y="57150"/>
              <a:ext cx="2514600" cy="466725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n-GB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𝐸𝑚𝑖𝑠𝑠𝑖𝑜𝑛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𝑓𝑎𝑐𝑡𝑜𝑟</m:t>
                        </m:r>
                      </m:num>
                      <m:den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𝐸𝑓𝑓𝑖𝑐𝑖𝑒𝑛𝑐𝑦</m:t>
                        </m:r>
                      </m:den>
                    </m:f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 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𝐶𝑎𝑝𝑡𝑢𝑟𝑒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% </m:t>
                    </m:r>
                  </m:oMath>
                </m:oMathPara>
              </a14:m>
              <a:endParaRPr lang="en-GB" sz="1400" b="0"/>
            </a:p>
            <a:p>
              <a:endParaRPr lang="en-GB" sz="1400"/>
            </a:p>
          </xdr:txBody>
        </xdr:sp>
      </mc:Choice>
      <mc:Fallback xmlns="">
        <xdr:sp macro="" textlink="">
          <xdr:nvSpPr>
            <xdr:cNvPr id="2" name="TextBox 5">
              <a:extLst>
                <a:ext uri="{FF2B5EF4-FFF2-40B4-BE49-F238E27FC236}">
                  <a16:creationId xmlns:a16="http://schemas.microsoft.com/office/drawing/2014/main" id="{AEDCF8E0-9885-BF70-7DD0-79B1A18FF31B}"/>
                </a:ext>
              </a:extLst>
            </xdr:cNvPr>
            <xdr:cNvSpPr txBox="1"/>
          </xdr:nvSpPr>
          <xdr:spPr>
            <a:xfrm>
              <a:off x="8096250" y="57150"/>
              <a:ext cx="2514600" cy="466725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050" b="0" i="0">
                  <a:latin typeface="Cambria Math" panose="02040503050406030204" pitchFamily="18" charset="0"/>
                </a:rPr>
                <a:t>𝑦_𝑐=(𝐸𝑚𝑖𝑠𝑠𝑖𝑜𝑛 𝑓𝑎𝑐𝑡𝑜𝑟)/𝐸𝑓𝑓𝑖𝑐𝑖𝑒𝑛𝑐𝑦</a:t>
              </a:r>
              <a:r>
                <a:rPr lang="en-GB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 𝐶𝑎𝑝𝑡𝑢𝑟𝑒 % </a:t>
              </a:r>
              <a:endParaRPr lang="en-GB" sz="1400" b="0"/>
            </a:p>
            <a:p>
              <a:endParaRPr lang="en-GB" sz="1400"/>
            </a:p>
          </xdr:txBody>
        </xdr:sp>
      </mc:Fallback>
    </mc:AlternateContent>
    <xdr:clientData/>
  </xdr:twoCellAnchor>
  <xdr:twoCellAnchor>
    <xdr:from>
      <xdr:col>17</xdr:col>
      <xdr:colOff>266699</xdr:colOff>
      <xdr:row>0</xdr:row>
      <xdr:rowOff>38100</xdr:rowOff>
    </xdr:from>
    <xdr:to>
      <xdr:col>21</xdr:col>
      <xdr:colOff>603148</xdr:colOff>
      <xdr:row>2</xdr:row>
      <xdr:rowOff>114299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34B860F2-859B-286A-8BF7-51D11634ACAB}"/>
                </a:ext>
              </a:extLst>
            </xdr:cNvPr>
            <xdr:cNvSpPr txBox="1"/>
          </xdr:nvSpPr>
          <xdr:spPr>
            <a:xfrm>
              <a:off x="10820399" y="38100"/>
              <a:ext cx="2774849" cy="457199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GB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𝐸𝑚𝑖𝑠𝑠𝑖𝑜𝑛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𝑓𝑎𝑐𝑡𝑜𝑟</m:t>
                        </m:r>
                      </m:num>
                      <m:den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𝐸𝑓𝑓𝑖𝑐𝑖𝑒𝑛𝑐𝑦</m:t>
                        </m:r>
                      </m:den>
                    </m:f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 (1−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𝐶𝑎𝑝𝑡𝑢𝑟𝑒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%) </m:t>
                    </m:r>
                  </m:oMath>
                </m:oMathPara>
              </a14:m>
              <a:endParaRPr lang="en-GB" sz="1050" b="0"/>
            </a:p>
            <a:p>
              <a:endParaRPr lang="en-GB" sz="1050"/>
            </a:p>
          </xdr:txBody>
        </xdr:sp>
      </mc:Choice>
      <mc:Fallback xmlns="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34B860F2-859B-286A-8BF7-51D11634ACAB}"/>
                </a:ext>
              </a:extLst>
            </xdr:cNvPr>
            <xdr:cNvSpPr txBox="1"/>
          </xdr:nvSpPr>
          <xdr:spPr>
            <a:xfrm>
              <a:off x="10820399" y="38100"/>
              <a:ext cx="2774849" cy="457199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050" b="0" i="0">
                  <a:latin typeface="Cambria Math" panose="02040503050406030204" pitchFamily="18" charset="0"/>
                </a:rPr>
                <a:t>𝑦_𝑒=(𝐸𝑚𝑖𝑠𝑠𝑖𝑜𝑛 𝑓𝑎𝑐𝑡𝑜𝑟)/𝐸𝑓𝑓𝑖𝑐𝑖𝑒𝑛𝑐𝑦</a:t>
              </a:r>
              <a:r>
                <a:rPr lang="en-GB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 (1−𝐶𝑎𝑝𝑡𝑢𝑟𝑒 %) </a:t>
              </a:r>
              <a:endParaRPr lang="en-GB" sz="1050" b="0"/>
            </a:p>
            <a:p>
              <a:endParaRPr lang="en-GB" sz="1050"/>
            </a:p>
          </xdr:txBody>
        </xdr:sp>
      </mc:Fallback>
    </mc:AlternateContent>
    <xdr:clientData/>
  </xdr:twoCellAnchor>
  <xdr:twoCellAnchor>
    <xdr:from>
      <xdr:col>12</xdr:col>
      <xdr:colOff>488949</xdr:colOff>
      <xdr:row>4</xdr:row>
      <xdr:rowOff>44450</xdr:rowOff>
    </xdr:from>
    <xdr:to>
      <xdr:col>17</xdr:col>
      <xdr:colOff>466725</xdr:colOff>
      <xdr:row>6</xdr:row>
      <xdr:rowOff>76200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6">
              <a:extLst>
                <a:ext uri="{FF2B5EF4-FFF2-40B4-BE49-F238E27FC236}">
                  <a16:creationId xmlns:a16="http://schemas.microsoft.com/office/drawing/2014/main" id="{DA69650F-60F0-1D53-9687-CAA39FB20285}"/>
                </a:ext>
              </a:extLst>
            </xdr:cNvPr>
            <xdr:cNvSpPr txBox="1"/>
          </xdr:nvSpPr>
          <xdr:spPr>
            <a:xfrm>
              <a:off x="8032749" y="768350"/>
              <a:ext cx="3025776" cy="393700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GB" sz="105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GB" sz="105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𝐸𝑚𝑖𝑠𝑠𝑖𝑜𝑛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𝑓𝑎𝑐𝑡𝑜𝑟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𝑓𝑜𝑟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GB" sz="10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050" b="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e>
                          <m:sub>
                            <m:r>
                              <a:rPr lang="en-GB" sz="105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𝐸𝑓𝑓𝑖𝑐𝑖𝑒𝑛𝑐𝑦</m:t>
                        </m:r>
                      </m:den>
                    </m:f>
                    <m:r>
                      <a:rPr lang="en-GB" sz="1050" b="0" i="1">
                        <a:latin typeface="Cambria Math" panose="02040503050406030204" pitchFamily="18" charset="0"/>
                      </a:rPr>
                      <m:t>∙ </m:t>
                    </m:r>
                    <m:r>
                      <a:rPr lang="en-GB" sz="1050" b="0" i="1">
                        <a:latin typeface="Cambria Math" panose="02040503050406030204" pitchFamily="18" charset="0"/>
                      </a:rPr>
                      <m:t>𝐶𝑎𝑝𝑡𝑢𝑟𝑒</m:t>
                    </m:r>
                    <m:r>
                      <a:rPr lang="en-GB" sz="1050" b="0" i="1">
                        <a:latin typeface="Cambria Math" panose="02040503050406030204" pitchFamily="18" charset="0"/>
                      </a:rPr>
                      <m:t> % </m:t>
                    </m:r>
                  </m:oMath>
                </m:oMathPara>
              </a14:m>
              <a:endParaRPr lang="en-GB" sz="1050"/>
            </a:p>
          </xdr:txBody>
        </xdr:sp>
      </mc:Choice>
      <mc:Fallback xmlns="">
        <xdr:sp macro="" textlink="">
          <xdr:nvSpPr>
            <xdr:cNvPr id="4" name="TextBox 6">
              <a:extLst>
                <a:ext uri="{FF2B5EF4-FFF2-40B4-BE49-F238E27FC236}">
                  <a16:creationId xmlns:a16="http://schemas.microsoft.com/office/drawing/2014/main" id="{DA69650F-60F0-1D53-9687-CAA39FB20285}"/>
                </a:ext>
              </a:extLst>
            </xdr:cNvPr>
            <xdr:cNvSpPr txBox="1"/>
          </xdr:nvSpPr>
          <xdr:spPr>
            <a:xfrm>
              <a:off x="8032749" y="768350"/>
              <a:ext cx="3025776" cy="393700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050" b="0" i="0">
                  <a:latin typeface="Cambria Math" panose="02040503050406030204" pitchFamily="18" charset="0"/>
                </a:rPr>
                <a:t>𝑦_𝑒=−</a:t>
              </a:r>
              <a:r>
                <a:rPr lang="en-GB" sz="1050" i="0">
                  <a:latin typeface="Cambria Math" panose="02040503050406030204" pitchFamily="18" charset="0"/>
                </a:rPr>
                <a:t>(</a:t>
              </a:r>
              <a:r>
                <a:rPr lang="en-GB" sz="1050" b="0" i="0">
                  <a:latin typeface="Cambria Math" panose="02040503050406030204" pitchFamily="18" charset="0"/>
                </a:rPr>
                <a:t>𝐸𝑚𝑖𝑠𝑠𝑖𝑜𝑛 𝑓𝑎𝑐𝑡𝑜𝑟 𝑓𝑜𝑟 𝐶𝑂_2)/𝐸𝑓𝑓𝑖𝑐𝑖𝑒𝑛𝑐𝑦∙ 𝐶𝑎𝑝𝑡𝑢𝑟𝑒 % </a:t>
              </a:r>
              <a:endParaRPr lang="en-GB" sz="105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lusteredData!BP2@CD146" TargetMode="External"/><Relationship Id="rId1" Type="http://schemas.openxmlformats.org/officeDocument/2006/relationships/hyperlink" Target="mailto:ClusteredData!BP2@CD14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homerenergy.com/products/pro/docs/3.15/battery_roundtrip_efficiency.html%20%20%20(*(round-trip%20efficiency)%5e(1/2)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B88C-E193-4402-A3C4-CC98FEFCFE7C}">
  <sheetPr>
    <tabColor rgb="FFFF0000"/>
  </sheetPr>
  <dimension ref="A1:Q127"/>
  <sheetViews>
    <sheetView zoomScale="118" zoomScaleNormal="118" workbookViewId="0">
      <pane ySplit="1" topLeftCell="A81" activePane="bottomLeft" state="frozen"/>
      <selection pane="bottomLeft" activeCell="G82" sqref="G82"/>
    </sheetView>
  </sheetViews>
  <sheetFormatPr defaultRowHeight="14.4" x14ac:dyDescent="0.3"/>
  <cols>
    <col min="2" max="2" width="20.33203125" bestFit="1" customWidth="1"/>
    <col min="3" max="3" width="24.44140625" bestFit="1" customWidth="1"/>
  </cols>
  <sheetData>
    <row r="1" spans="1:7" x14ac:dyDescent="0.3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7" x14ac:dyDescent="0.3">
      <c r="A2" s="16" t="s">
        <v>271</v>
      </c>
      <c r="B2" t="s">
        <v>125</v>
      </c>
      <c r="C2" t="s">
        <v>215</v>
      </c>
      <c r="E2" s="15"/>
      <c r="F2" s="15">
        <v>1</v>
      </c>
      <c r="G2" t="s">
        <v>126</v>
      </c>
    </row>
    <row r="3" spans="1:7" x14ac:dyDescent="0.3">
      <c r="A3" s="16" t="s">
        <v>271</v>
      </c>
      <c r="B3" t="s">
        <v>105</v>
      </c>
      <c r="C3" t="s">
        <v>216</v>
      </c>
      <c r="E3" s="15"/>
      <c r="F3" s="62">
        <v>1</v>
      </c>
      <c r="G3" t="s">
        <v>106</v>
      </c>
    </row>
    <row r="4" spans="1:7" x14ac:dyDescent="0.3">
      <c r="A4" s="16" t="s">
        <v>271</v>
      </c>
      <c r="B4" t="s">
        <v>107</v>
      </c>
      <c r="C4" t="s">
        <v>217</v>
      </c>
      <c r="E4" s="15"/>
      <c r="F4" s="15">
        <v>1</v>
      </c>
      <c r="G4" t="s">
        <v>108</v>
      </c>
    </row>
    <row r="5" spans="1:7" x14ac:dyDescent="0.3">
      <c r="A5" s="16" t="s">
        <v>271</v>
      </c>
      <c r="B5" t="s">
        <v>109</v>
      </c>
      <c r="C5" t="s">
        <v>424</v>
      </c>
      <c r="E5" s="15"/>
      <c r="F5" s="15">
        <v>1</v>
      </c>
      <c r="G5" t="s">
        <v>110</v>
      </c>
    </row>
    <row r="6" spans="1:7" x14ac:dyDescent="0.3">
      <c r="A6" s="16" t="s">
        <v>271</v>
      </c>
      <c r="B6" t="s">
        <v>111</v>
      </c>
      <c r="C6" t="s">
        <v>218</v>
      </c>
      <c r="E6" s="15"/>
      <c r="F6" s="15">
        <v>1</v>
      </c>
      <c r="G6" t="s">
        <v>112</v>
      </c>
    </row>
    <row r="7" spans="1:7" x14ac:dyDescent="0.3">
      <c r="A7" s="16" t="s">
        <v>271</v>
      </c>
      <c r="B7" t="s">
        <v>113</v>
      </c>
      <c r="C7" t="s">
        <v>219</v>
      </c>
      <c r="E7" s="15"/>
      <c r="F7" s="15">
        <v>1</v>
      </c>
      <c r="G7" t="s">
        <v>114</v>
      </c>
    </row>
    <row r="8" spans="1:7" x14ac:dyDescent="0.3">
      <c r="A8" s="16" t="s">
        <v>271</v>
      </c>
      <c r="B8" t="s">
        <v>115</v>
      </c>
      <c r="C8" t="s">
        <v>220</v>
      </c>
      <c r="E8" s="15"/>
      <c r="F8" s="15">
        <v>1</v>
      </c>
      <c r="G8" t="s">
        <v>116</v>
      </c>
    </row>
    <row r="9" spans="1:7" x14ac:dyDescent="0.3">
      <c r="A9" s="16" t="s">
        <v>271</v>
      </c>
      <c r="B9" t="s">
        <v>117</v>
      </c>
      <c r="C9" t="s">
        <v>598</v>
      </c>
      <c r="E9" s="15"/>
      <c r="F9" s="15">
        <v>1</v>
      </c>
      <c r="G9" t="s">
        <v>118</v>
      </c>
    </row>
    <row r="10" spans="1:7" x14ac:dyDescent="0.3">
      <c r="A10" s="16" t="s">
        <v>271</v>
      </c>
      <c r="B10" t="s">
        <v>119</v>
      </c>
      <c r="C10" t="s">
        <v>221</v>
      </c>
      <c r="E10" s="15"/>
      <c r="F10" s="15">
        <v>1</v>
      </c>
      <c r="G10" t="s">
        <v>120</v>
      </c>
    </row>
    <row r="11" spans="1:7" x14ac:dyDescent="0.3">
      <c r="A11" s="16" t="s">
        <v>271</v>
      </c>
      <c r="B11" t="s">
        <v>121</v>
      </c>
      <c r="C11" t="s">
        <v>222</v>
      </c>
      <c r="E11" s="15"/>
      <c r="F11" s="15">
        <v>1</v>
      </c>
      <c r="G11" t="s">
        <v>122</v>
      </c>
    </row>
    <row r="12" spans="1:7" x14ac:dyDescent="0.3">
      <c r="A12" s="16" t="s">
        <v>271</v>
      </c>
      <c r="B12" t="s">
        <v>123</v>
      </c>
      <c r="C12" t="s">
        <v>223</v>
      </c>
      <c r="E12" s="15"/>
      <c r="F12" s="15">
        <v>1</v>
      </c>
      <c r="G12" t="s">
        <v>124</v>
      </c>
    </row>
    <row r="13" spans="1:7" x14ac:dyDescent="0.3">
      <c r="A13" s="16" t="s">
        <v>271</v>
      </c>
      <c r="B13" t="s">
        <v>517</v>
      </c>
      <c r="C13" t="s">
        <v>519</v>
      </c>
      <c r="E13" s="15">
        <v>3</v>
      </c>
      <c r="F13" s="15"/>
      <c r="G13" t="s">
        <v>515</v>
      </c>
    </row>
    <row r="14" spans="1:7" x14ac:dyDescent="0.3">
      <c r="A14" s="16" t="s">
        <v>271</v>
      </c>
      <c r="B14" t="s">
        <v>518</v>
      </c>
      <c r="C14" t="s">
        <v>520</v>
      </c>
      <c r="E14" s="15">
        <v>2</v>
      </c>
      <c r="F14" s="15"/>
      <c r="G14" t="s">
        <v>516</v>
      </c>
    </row>
    <row r="15" spans="1:7" x14ac:dyDescent="0.3">
      <c r="A15" s="16" t="s">
        <v>271</v>
      </c>
      <c r="B15" t="s">
        <v>161</v>
      </c>
      <c r="C15" t="s">
        <v>507</v>
      </c>
      <c r="E15" s="15">
        <v>2</v>
      </c>
      <c r="F15" s="15"/>
    </row>
    <row r="16" spans="1:7" x14ac:dyDescent="0.3">
      <c r="A16" s="16" t="s">
        <v>271</v>
      </c>
      <c r="B16" t="s">
        <v>162</v>
      </c>
      <c r="C16" t="s">
        <v>268</v>
      </c>
      <c r="E16" s="15">
        <v>2</v>
      </c>
      <c r="F16" s="15"/>
    </row>
    <row r="17" spans="1:17" x14ac:dyDescent="0.3">
      <c r="A17" s="16" t="s">
        <v>271</v>
      </c>
      <c r="B17" t="s">
        <v>163</v>
      </c>
      <c r="C17" t="s">
        <v>650</v>
      </c>
      <c r="E17" s="15"/>
      <c r="F17" s="62">
        <v>1</v>
      </c>
      <c r="G17" t="s">
        <v>157</v>
      </c>
    </row>
    <row r="18" spans="1:17" x14ac:dyDescent="0.3">
      <c r="A18" s="16" t="s">
        <v>271</v>
      </c>
      <c r="B18" t="s">
        <v>164</v>
      </c>
      <c r="C18" t="s">
        <v>224</v>
      </c>
      <c r="E18" s="15"/>
      <c r="F18" s="15">
        <v>1</v>
      </c>
      <c r="G18" t="s">
        <v>158</v>
      </c>
    </row>
    <row r="19" spans="1:17" x14ac:dyDescent="0.3">
      <c r="A19" s="16" t="s">
        <v>271</v>
      </c>
      <c r="B19" t="s">
        <v>165</v>
      </c>
      <c r="C19" t="s">
        <v>653</v>
      </c>
      <c r="E19" s="15"/>
      <c r="F19" s="15">
        <v>1</v>
      </c>
      <c r="G19" t="s">
        <v>149</v>
      </c>
    </row>
    <row r="20" spans="1:17" x14ac:dyDescent="0.3">
      <c r="A20" s="16" t="s">
        <v>271</v>
      </c>
      <c r="B20" t="s">
        <v>166</v>
      </c>
      <c r="C20" t="s">
        <v>654</v>
      </c>
      <c r="E20" s="15"/>
      <c r="F20" s="15">
        <v>1</v>
      </c>
      <c r="G20" t="s">
        <v>150</v>
      </c>
    </row>
    <row r="21" spans="1:17" x14ac:dyDescent="0.3">
      <c r="A21" s="16" t="s">
        <v>271</v>
      </c>
      <c r="B21" t="s">
        <v>167</v>
      </c>
      <c r="C21" t="s">
        <v>225</v>
      </c>
      <c r="E21" s="15"/>
      <c r="F21" s="15">
        <v>1</v>
      </c>
      <c r="G21" t="s">
        <v>152</v>
      </c>
    </row>
    <row r="22" spans="1:17" x14ac:dyDescent="0.3">
      <c r="A22" s="16" t="s">
        <v>271</v>
      </c>
      <c r="B22" t="s">
        <v>168</v>
      </c>
      <c r="C22" t="s">
        <v>226</v>
      </c>
      <c r="E22" s="15"/>
      <c r="F22" s="15">
        <v>1</v>
      </c>
      <c r="G22" t="s">
        <v>154</v>
      </c>
    </row>
    <row r="23" spans="1:17" x14ac:dyDescent="0.3">
      <c r="A23" s="16" t="s">
        <v>271</v>
      </c>
      <c r="B23" t="s">
        <v>169</v>
      </c>
      <c r="C23" t="s">
        <v>227</v>
      </c>
      <c r="E23" s="15"/>
      <c r="F23" s="15">
        <v>1</v>
      </c>
      <c r="G23" t="s">
        <v>159</v>
      </c>
    </row>
    <row r="24" spans="1:17" x14ac:dyDescent="0.3">
      <c r="A24" s="16" t="s">
        <v>271</v>
      </c>
      <c r="B24" t="s">
        <v>170</v>
      </c>
      <c r="C24" t="s">
        <v>228</v>
      </c>
      <c r="E24" s="15"/>
      <c r="F24" s="15">
        <v>1</v>
      </c>
      <c r="G24" t="s">
        <v>155</v>
      </c>
    </row>
    <row r="25" spans="1:17" x14ac:dyDescent="0.3">
      <c r="A25" s="16" t="s">
        <v>271</v>
      </c>
      <c r="B25" t="s">
        <v>171</v>
      </c>
      <c r="C25" t="s">
        <v>229</v>
      </c>
      <c r="E25" s="15"/>
      <c r="F25" s="15">
        <v>1</v>
      </c>
      <c r="G25" t="s">
        <v>156</v>
      </c>
    </row>
    <row r="26" spans="1:17" x14ac:dyDescent="0.3">
      <c r="A26" s="16" t="s">
        <v>271</v>
      </c>
      <c r="B26" t="s">
        <v>759</v>
      </c>
      <c r="C26" t="s">
        <v>760</v>
      </c>
      <c r="E26" s="15"/>
      <c r="F26" s="15">
        <v>1</v>
      </c>
      <c r="G26" t="s">
        <v>758</v>
      </c>
    </row>
    <row r="27" spans="1:17" x14ac:dyDescent="0.3">
      <c r="A27" s="16" t="s">
        <v>271</v>
      </c>
      <c r="B27" t="s">
        <v>172</v>
      </c>
      <c r="C27" t="s">
        <v>583</v>
      </c>
      <c r="E27" s="15"/>
      <c r="F27" s="15">
        <v>1</v>
      </c>
      <c r="G27" t="s">
        <v>153</v>
      </c>
    </row>
    <row r="28" spans="1:17" x14ac:dyDescent="0.3">
      <c r="A28" s="16" t="s">
        <v>271</v>
      </c>
      <c r="B28" t="s">
        <v>173</v>
      </c>
      <c r="C28" t="s">
        <v>655</v>
      </c>
      <c r="E28" s="15"/>
      <c r="F28" s="15">
        <v>1</v>
      </c>
      <c r="G28" t="s">
        <v>151</v>
      </c>
    </row>
    <row r="29" spans="1:17" x14ac:dyDescent="0.3">
      <c r="A29" s="16" t="s">
        <v>271</v>
      </c>
      <c r="B29" t="s">
        <v>174</v>
      </c>
      <c r="C29" t="s">
        <v>246</v>
      </c>
      <c r="E29" s="15">
        <v>2</v>
      </c>
      <c r="F29" s="15"/>
      <c r="G29" t="s">
        <v>269</v>
      </c>
    </row>
    <row r="30" spans="1:17" x14ac:dyDescent="0.3">
      <c r="A30" s="16" t="s">
        <v>271</v>
      </c>
      <c r="B30" t="s">
        <v>175</v>
      </c>
      <c r="C30" t="s">
        <v>247</v>
      </c>
      <c r="E30" s="15">
        <v>2</v>
      </c>
      <c r="F30" s="15"/>
      <c r="G30" s="16" t="s">
        <v>270</v>
      </c>
    </row>
    <row r="31" spans="1:17" x14ac:dyDescent="0.3">
      <c r="A31" s="16" t="s">
        <v>104</v>
      </c>
      <c r="B31" t="s">
        <v>531</v>
      </c>
      <c r="C31" t="s">
        <v>467</v>
      </c>
      <c r="E31" s="15">
        <v>1</v>
      </c>
      <c r="F31" s="15"/>
      <c r="G31" s="16"/>
    </row>
    <row r="32" spans="1:17" x14ac:dyDescent="0.3">
      <c r="A32" t="s">
        <v>104</v>
      </c>
      <c r="B32" t="s">
        <v>103</v>
      </c>
      <c r="C32" t="s">
        <v>697</v>
      </c>
      <c r="E32" s="15">
        <v>2</v>
      </c>
      <c r="F32" s="15">
        <v>2</v>
      </c>
      <c r="G32" t="s">
        <v>9</v>
      </c>
      <c r="Q32" s="4" t="s">
        <v>510</v>
      </c>
    </row>
    <row r="33" spans="1:17" x14ac:dyDescent="0.3">
      <c r="A33" s="16" t="s">
        <v>104</v>
      </c>
      <c r="B33" t="s">
        <v>530</v>
      </c>
      <c r="C33" t="s">
        <v>532</v>
      </c>
      <c r="E33" s="15">
        <v>2</v>
      </c>
      <c r="F33" s="15">
        <v>1</v>
      </c>
    </row>
    <row r="34" spans="1:17" x14ac:dyDescent="0.3">
      <c r="A34" s="27" t="s">
        <v>104</v>
      </c>
      <c r="B34" s="27" t="s">
        <v>360</v>
      </c>
      <c r="C34" s="27" t="s">
        <v>364</v>
      </c>
      <c r="D34" s="27"/>
      <c r="E34" s="63">
        <v>2</v>
      </c>
      <c r="F34" s="63">
        <v>1</v>
      </c>
      <c r="G34" s="27" t="s">
        <v>8</v>
      </c>
      <c r="H34" s="27"/>
      <c r="I34" s="27"/>
      <c r="J34" s="17"/>
      <c r="K34" s="17"/>
      <c r="L34" s="17"/>
      <c r="M34" s="17"/>
      <c r="N34" s="17"/>
      <c r="O34" s="17"/>
      <c r="P34" s="17"/>
      <c r="Q34" s="17"/>
    </row>
    <row r="35" spans="1:17" x14ac:dyDescent="0.3">
      <c r="A35" s="27" t="s">
        <v>104</v>
      </c>
      <c r="B35" s="27" t="s">
        <v>548</v>
      </c>
      <c r="C35" s="27" t="s">
        <v>777</v>
      </c>
      <c r="D35" s="27"/>
      <c r="E35" s="63">
        <v>1</v>
      </c>
      <c r="F35" s="63">
        <v>1</v>
      </c>
      <c r="G35" s="107" t="s">
        <v>678</v>
      </c>
      <c r="H35" s="27"/>
      <c r="I35" s="27"/>
      <c r="J35" s="17"/>
      <c r="K35" s="17"/>
      <c r="L35" s="17"/>
      <c r="M35" s="17"/>
      <c r="N35" s="17"/>
      <c r="O35" s="17"/>
      <c r="P35" s="17"/>
      <c r="Q35" s="17"/>
    </row>
    <row r="36" spans="1:17" x14ac:dyDescent="0.3">
      <c r="A36" s="27" t="s">
        <v>104</v>
      </c>
      <c r="B36" s="27" t="s">
        <v>638</v>
      </c>
      <c r="C36" s="27" t="s">
        <v>639</v>
      </c>
      <c r="D36" s="27"/>
      <c r="E36" s="63">
        <v>1</v>
      </c>
      <c r="F36" s="63"/>
      <c r="G36" s="27" t="s">
        <v>644</v>
      </c>
      <c r="H36" s="27"/>
      <c r="I36" s="27"/>
      <c r="J36" s="17"/>
      <c r="K36" s="17"/>
      <c r="L36" s="17"/>
      <c r="M36" s="17"/>
      <c r="N36" s="17"/>
      <c r="O36" s="17"/>
      <c r="P36" s="17"/>
      <c r="Q36" s="17"/>
    </row>
    <row r="37" spans="1:17" x14ac:dyDescent="0.3">
      <c r="A37" s="27" t="s">
        <v>104</v>
      </c>
      <c r="B37" s="27" t="s">
        <v>772</v>
      </c>
      <c r="C37" s="27" t="s">
        <v>773</v>
      </c>
      <c r="D37" s="27"/>
      <c r="E37" s="63">
        <v>2</v>
      </c>
      <c r="F37" s="63">
        <v>1</v>
      </c>
      <c r="G37" s="27" t="s">
        <v>774</v>
      </c>
      <c r="H37" s="27"/>
      <c r="I37" s="27"/>
      <c r="J37" s="17"/>
      <c r="K37" s="17"/>
      <c r="L37" s="17"/>
      <c r="M37" s="17"/>
      <c r="N37" s="17"/>
      <c r="O37" s="17"/>
      <c r="P37" s="17"/>
      <c r="Q37" s="17"/>
    </row>
    <row r="38" spans="1:17" x14ac:dyDescent="0.3">
      <c r="A38" s="27" t="s">
        <v>104</v>
      </c>
      <c r="B38" s="27" t="s">
        <v>569</v>
      </c>
      <c r="C38" s="27" t="s">
        <v>611</v>
      </c>
      <c r="D38" s="27"/>
      <c r="E38" s="63">
        <v>1</v>
      </c>
      <c r="F38" s="63">
        <v>1</v>
      </c>
      <c r="G38" s="27" t="s">
        <v>572</v>
      </c>
      <c r="H38" s="27"/>
      <c r="I38" s="27"/>
      <c r="J38" s="17"/>
      <c r="K38" s="17"/>
      <c r="L38" s="17"/>
      <c r="M38" s="17"/>
      <c r="N38" s="17"/>
      <c r="O38" s="17"/>
      <c r="P38" s="17"/>
      <c r="Q38" s="17"/>
    </row>
    <row r="39" spans="1:17" x14ac:dyDescent="0.3">
      <c r="A39" t="s">
        <v>104</v>
      </c>
      <c r="B39" t="s">
        <v>272</v>
      </c>
      <c r="C39" t="s">
        <v>656</v>
      </c>
      <c r="E39" s="15">
        <v>1</v>
      </c>
      <c r="F39" s="15"/>
      <c r="G39" t="s">
        <v>10</v>
      </c>
    </row>
    <row r="40" spans="1:17" x14ac:dyDescent="0.3">
      <c r="A40" t="s">
        <v>104</v>
      </c>
      <c r="B40" t="s">
        <v>275</v>
      </c>
      <c r="C40" t="s">
        <v>657</v>
      </c>
      <c r="E40" s="15">
        <v>1</v>
      </c>
      <c r="F40" s="15">
        <v>1</v>
      </c>
      <c r="G40" t="s">
        <v>11</v>
      </c>
    </row>
    <row r="41" spans="1:17" x14ac:dyDescent="0.3">
      <c r="A41" t="s">
        <v>104</v>
      </c>
      <c r="B41" s="27" t="s">
        <v>607</v>
      </c>
      <c r="C41" t="s">
        <v>779</v>
      </c>
      <c r="E41" s="15">
        <v>1</v>
      </c>
      <c r="F41" s="15">
        <v>1</v>
      </c>
      <c r="G41" t="s">
        <v>277</v>
      </c>
    </row>
    <row r="42" spans="1:17" x14ac:dyDescent="0.3">
      <c r="A42" t="s">
        <v>104</v>
      </c>
      <c r="B42" t="s">
        <v>280</v>
      </c>
      <c r="C42" t="s">
        <v>282</v>
      </c>
      <c r="E42" s="15">
        <v>0</v>
      </c>
      <c r="F42" s="15">
        <v>0</v>
      </c>
      <c r="G42" t="s">
        <v>12</v>
      </c>
    </row>
    <row r="43" spans="1:17" x14ac:dyDescent="0.3">
      <c r="A43" t="s">
        <v>104</v>
      </c>
      <c r="B43" t="s">
        <v>284</v>
      </c>
      <c r="C43" t="s">
        <v>285</v>
      </c>
      <c r="E43" s="15">
        <v>1</v>
      </c>
      <c r="F43" s="15"/>
      <c r="G43" t="s">
        <v>13</v>
      </c>
    </row>
    <row r="44" spans="1:17" x14ac:dyDescent="0.3">
      <c r="A44" t="s">
        <v>104</v>
      </c>
      <c r="B44" t="s">
        <v>739</v>
      </c>
      <c r="C44" t="s">
        <v>746</v>
      </c>
      <c r="E44" s="15">
        <v>0</v>
      </c>
      <c r="F44" s="15">
        <v>0</v>
      </c>
      <c r="G44" t="s">
        <v>748</v>
      </c>
    </row>
    <row r="45" spans="1:17" x14ac:dyDescent="0.3">
      <c r="A45" t="s">
        <v>104</v>
      </c>
      <c r="B45" s="1" t="s">
        <v>699</v>
      </c>
      <c r="C45" t="s">
        <v>701</v>
      </c>
      <c r="E45" s="15">
        <v>2</v>
      </c>
      <c r="F45" s="15">
        <v>1</v>
      </c>
      <c r="G45" t="s">
        <v>700</v>
      </c>
    </row>
    <row r="46" spans="1:17" x14ac:dyDescent="0.3">
      <c r="A46" t="s">
        <v>104</v>
      </c>
      <c r="B46" s="73" t="s">
        <v>710</v>
      </c>
      <c r="C46" s="73" t="s">
        <v>714</v>
      </c>
      <c r="E46" s="15"/>
      <c r="F46" s="15">
        <v>1</v>
      </c>
      <c r="G46" t="s">
        <v>711</v>
      </c>
    </row>
    <row r="47" spans="1:17" x14ac:dyDescent="0.3">
      <c r="A47" t="s">
        <v>104</v>
      </c>
      <c r="B47" t="s">
        <v>286</v>
      </c>
      <c r="C47" t="s">
        <v>658</v>
      </c>
      <c r="E47" s="15">
        <v>1</v>
      </c>
      <c r="F47" s="15"/>
      <c r="G47" t="s">
        <v>15</v>
      </c>
    </row>
    <row r="48" spans="1:17" x14ac:dyDescent="0.3">
      <c r="A48" t="s">
        <v>104</v>
      </c>
      <c r="B48" t="s">
        <v>289</v>
      </c>
      <c r="C48" t="s">
        <v>659</v>
      </c>
      <c r="E48" s="15">
        <v>1</v>
      </c>
      <c r="F48" s="15"/>
      <c r="G48" t="s">
        <v>16</v>
      </c>
    </row>
    <row r="49" spans="1:17" x14ac:dyDescent="0.3">
      <c r="A49" t="s">
        <v>104</v>
      </c>
      <c r="B49" t="s">
        <v>291</v>
      </c>
      <c r="C49" t="s">
        <v>292</v>
      </c>
      <c r="E49" s="15"/>
      <c r="F49" s="15">
        <v>1</v>
      </c>
      <c r="G49" t="s">
        <v>623</v>
      </c>
    </row>
    <row r="50" spans="1:17" x14ac:dyDescent="0.3">
      <c r="A50" t="s">
        <v>104</v>
      </c>
      <c r="B50" t="s">
        <v>17</v>
      </c>
      <c r="C50" t="s">
        <v>293</v>
      </c>
      <c r="E50" s="15">
        <v>0</v>
      </c>
      <c r="F50" s="15">
        <v>0</v>
      </c>
      <c r="G50" t="s">
        <v>18</v>
      </c>
    </row>
    <row r="51" spans="1:17" x14ac:dyDescent="0.3">
      <c r="A51" t="s">
        <v>104</v>
      </c>
      <c r="B51" t="s">
        <v>742</v>
      </c>
      <c r="C51" t="s">
        <v>747</v>
      </c>
      <c r="E51" s="15">
        <v>0</v>
      </c>
      <c r="F51" s="15">
        <v>0</v>
      </c>
      <c r="G51" t="s">
        <v>741</v>
      </c>
    </row>
    <row r="52" spans="1:17" x14ac:dyDescent="0.3">
      <c r="A52" t="s">
        <v>104</v>
      </c>
      <c r="B52" t="s">
        <v>294</v>
      </c>
      <c r="C52" t="s">
        <v>297</v>
      </c>
      <c r="E52" s="15">
        <v>1</v>
      </c>
      <c r="F52" s="15"/>
      <c r="G52" t="s">
        <v>19</v>
      </c>
    </row>
    <row r="53" spans="1:17" x14ac:dyDescent="0.3">
      <c r="A53" t="s">
        <v>104</v>
      </c>
      <c r="B53" t="s">
        <v>20</v>
      </c>
      <c r="C53" t="s">
        <v>365</v>
      </c>
      <c r="E53" s="15">
        <v>0</v>
      </c>
      <c r="F53" s="15">
        <v>0</v>
      </c>
      <c r="G53" t="s">
        <v>21</v>
      </c>
    </row>
    <row r="54" spans="1:17" x14ac:dyDescent="0.3">
      <c r="A54" t="s">
        <v>104</v>
      </c>
      <c r="B54" t="s">
        <v>377</v>
      </c>
      <c r="C54" t="s">
        <v>378</v>
      </c>
      <c r="E54" s="15">
        <v>1</v>
      </c>
      <c r="F54" s="15">
        <v>1</v>
      </c>
      <c r="G54" t="s">
        <v>679</v>
      </c>
    </row>
    <row r="55" spans="1:17" x14ac:dyDescent="0.3">
      <c r="A55" t="s">
        <v>104</v>
      </c>
      <c r="B55" t="s">
        <v>379</v>
      </c>
      <c r="C55" t="s">
        <v>380</v>
      </c>
      <c r="E55" s="15">
        <v>1</v>
      </c>
      <c r="F55" s="15">
        <v>1</v>
      </c>
      <c r="G55" t="s">
        <v>22</v>
      </c>
    </row>
    <row r="56" spans="1:17" x14ac:dyDescent="0.3">
      <c r="A56" t="s">
        <v>104</v>
      </c>
      <c r="B56" t="s">
        <v>508</v>
      </c>
      <c r="C56" t="s">
        <v>381</v>
      </c>
      <c r="E56" s="15">
        <v>2</v>
      </c>
      <c r="F56" s="15"/>
      <c r="G56" t="s">
        <v>23</v>
      </c>
    </row>
    <row r="57" spans="1:17" x14ac:dyDescent="0.3">
      <c r="A57" t="s">
        <v>104</v>
      </c>
      <c r="B57" t="s">
        <v>509</v>
      </c>
      <c r="C57" t="s">
        <v>512</v>
      </c>
      <c r="E57" s="15">
        <v>2</v>
      </c>
      <c r="F57" s="15"/>
      <c r="G57" t="s">
        <v>24</v>
      </c>
    </row>
    <row r="58" spans="1:17" x14ac:dyDescent="0.3">
      <c r="A58" t="s">
        <v>104</v>
      </c>
      <c r="B58" s="1" t="s">
        <v>695</v>
      </c>
      <c r="C58" t="s">
        <v>687</v>
      </c>
      <c r="E58" s="15">
        <v>2</v>
      </c>
      <c r="F58" s="15">
        <v>1</v>
      </c>
      <c r="G58" t="s">
        <v>696</v>
      </c>
      <c r="Q58" s="4" t="s">
        <v>511</v>
      </c>
    </row>
    <row r="59" spans="1:17" x14ac:dyDescent="0.3">
      <c r="A59" t="s">
        <v>104</v>
      </c>
      <c r="B59" s="73" t="s">
        <v>708</v>
      </c>
      <c r="C59" s="73" t="s">
        <v>715</v>
      </c>
      <c r="E59" s="15"/>
      <c r="F59" s="15">
        <v>1</v>
      </c>
      <c r="G59" t="s">
        <v>709</v>
      </c>
    </row>
    <row r="60" spans="1:17" x14ac:dyDescent="0.3">
      <c r="A60" t="s">
        <v>104</v>
      </c>
      <c r="B60" t="s">
        <v>565</v>
      </c>
      <c r="C60" t="s">
        <v>663</v>
      </c>
      <c r="E60" s="15">
        <v>1</v>
      </c>
      <c r="F60" s="15"/>
      <c r="G60" t="s">
        <v>566</v>
      </c>
    </row>
    <row r="61" spans="1:17" x14ac:dyDescent="0.3">
      <c r="A61" t="s">
        <v>104</v>
      </c>
      <c r="B61" t="s">
        <v>735</v>
      </c>
      <c r="C61" t="s">
        <v>737</v>
      </c>
      <c r="E61" s="15">
        <v>1</v>
      </c>
      <c r="F61" s="15"/>
      <c r="G61" t="s">
        <v>736</v>
      </c>
    </row>
    <row r="62" spans="1:17" x14ac:dyDescent="0.3">
      <c r="A62" t="s">
        <v>104</v>
      </c>
      <c r="B62" t="s">
        <v>418</v>
      </c>
      <c r="C62" t="s">
        <v>660</v>
      </c>
      <c r="E62" s="15">
        <v>1</v>
      </c>
      <c r="F62" s="15"/>
      <c r="G62" t="s">
        <v>27</v>
      </c>
    </row>
    <row r="63" spans="1:17" x14ac:dyDescent="0.3">
      <c r="A63" t="s">
        <v>104</v>
      </c>
      <c r="B63" t="s">
        <v>25</v>
      </c>
      <c r="C63" t="s">
        <v>421</v>
      </c>
      <c r="E63" s="15">
        <v>0</v>
      </c>
      <c r="F63" s="15">
        <v>0</v>
      </c>
      <c r="G63" t="s">
        <v>26</v>
      </c>
    </row>
    <row r="64" spans="1:17" x14ac:dyDescent="0.3">
      <c r="A64" t="s">
        <v>104</v>
      </c>
      <c r="B64" t="s">
        <v>28</v>
      </c>
      <c r="C64" t="s">
        <v>404</v>
      </c>
      <c r="E64" s="15">
        <v>0</v>
      </c>
      <c r="F64" s="15">
        <v>0</v>
      </c>
      <c r="G64" t="s">
        <v>29</v>
      </c>
    </row>
    <row r="65" spans="1:17" x14ac:dyDescent="0.3">
      <c r="A65" t="s">
        <v>104</v>
      </c>
      <c r="B65" s="73" t="s">
        <v>542</v>
      </c>
      <c r="C65" s="73" t="s">
        <v>648</v>
      </c>
      <c r="E65" s="15"/>
      <c r="F65" s="15">
        <v>1</v>
      </c>
      <c r="G65" t="s">
        <v>543</v>
      </c>
    </row>
    <row r="66" spans="1:17" x14ac:dyDescent="0.3">
      <c r="A66" t="s">
        <v>104</v>
      </c>
      <c r="B66" s="1" t="s">
        <v>493</v>
      </c>
      <c r="C66" t="s">
        <v>690</v>
      </c>
      <c r="E66" s="15">
        <v>2</v>
      </c>
      <c r="F66" s="15"/>
      <c r="G66" t="s">
        <v>30</v>
      </c>
      <c r="Q66" s="4" t="s">
        <v>494</v>
      </c>
    </row>
    <row r="67" spans="1:17" x14ac:dyDescent="0.3">
      <c r="A67" t="s">
        <v>104</v>
      </c>
      <c r="B67" s="1" t="s">
        <v>559</v>
      </c>
      <c r="C67" t="s">
        <v>589</v>
      </c>
      <c r="E67" s="15"/>
      <c r="F67" s="15">
        <v>1</v>
      </c>
      <c r="G67" t="s">
        <v>555</v>
      </c>
    </row>
    <row r="68" spans="1:17" x14ac:dyDescent="0.3">
      <c r="A68" t="s">
        <v>104</v>
      </c>
      <c r="B68" s="1" t="s">
        <v>524</v>
      </c>
      <c r="C68" t="s">
        <v>662</v>
      </c>
      <c r="E68" s="15">
        <v>1</v>
      </c>
      <c r="F68" s="15">
        <v>1</v>
      </c>
      <c r="G68" t="s">
        <v>525</v>
      </c>
    </row>
    <row r="69" spans="1:17" x14ac:dyDescent="0.3">
      <c r="A69" t="s">
        <v>104</v>
      </c>
      <c r="B69" s="1" t="s">
        <v>726</v>
      </c>
      <c r="C69" t="s">
        <v>728</v>
      </c>
      <c r="E69" s="15">
        <v>1</v>
      </c>
      <c r="F69" s="15"/>
      <c r="G69" t="s">
        <v>729</v>
      </c>
    </row>
    <row r="70" spans="1:17" x14ac:dyDescent="0.3">
      <c r="A70" t="s">
        <v>104</v>
      </c>
      <c r="B70" s="1" t="s">
        <v>608</v>
      </c>
      <c r="C70" t="s">
        <v>778</v>
      </c>
      <c r="E70" s="15">
        <v>1</v>
      </c>
      <c r="F70" s="15">
        <v>1</v>
      </c>
      <c r="G70" t="s">
        <v>602</v>
      </c>
    </row>
    <row r="71" spans="1:17" x14ac:dyDescent="0.3">
      <c r="A71" t="s">
        <v>104</v>
      </c>
      <c r="B71" t="s">
        <v>749</v>
      </c>
      <c r="C71" t="s">
        <v>752</v>
      </c>
      <c r="E71" s="15">
        <v>1</v>
      </c>
      <c r="F71" s="15"/>
      <c r="G71" t="s">
        <v>753</v>
      </c>
    </row>
    <row r="72" spans="1:17" x14ac:dyDescent="0.3">
      <c r="A72" t="s">
        <v>104</v>
      </c>
      <c r="B72" t="s">
        <v>31</v>
      </c>
      <c r="C72" t="s">
        <v>407</v>
      </c>
      <c r="E72" s="15">
        <v>0</v>
      </c>
      <c r="F72" s="15">
        <v>0</v>
      </c>
      <c r="G72" t="s">
        <v>32</v>
      </c>
    </row>
    <row r="73" spans="1:17" x14ac:dyDescent="0.3">
      <c r="A73" t="s">
        <v>104</v>
      </c>
      <c r="B73" t="s">
        <v>33</v>
      </c>
      <c r="C73" t="s">
        <v>405</v>
      </c>
      <c r="E73" s="15">
        <v>0</v>
      </c>
      <c r="F73" s="15">
        <v>0</v>
      </c>
      <c r="G73" t="s">
        <v>34</v>
      </c>
    </row>
    <row r="74" spans="1:17" x14ac:dyDescent="0.3">
      <c r="A74" t="s">
        <v>104</v>
      </c>
      <c r="B74" t="s">
        <v>432</v>
      </c>
      <c r="C74" t="s">
        <v>431</v>
      </c>
      <c r="E74" s="15">
        <v>1</v>
      </c>
      <c r="F74" s="15">
        <v>1</v>
      </c>
      <c r="G74" t="s">
        <v>36</v>
      </c>
    </row>
    <row r="75" spans="1:17" x14ac:dyDescent="0.3">
      <c r="A75" t="s">
        <v>104</v>
      </c>
      <c r="B75" t="s">
        <v>37</v>
      </c>
      <c r="C75" t="s">
        <v>406</v>
      </c>
      <c r="E75" s="15">
        <v>0</v>
      </c>
      <c r="F75" s="15">
        <v>0</v>
      </c>
      <c r="G75" t="s">
        <v>38</v>
      </c>
    </row>
    <row r="76" spans="1:17" x14ac:dyDescent="0.3">
      <c r="A76" t="s">
        <v>104</v>
      </c>
      <c r="B76" t="s">
        <v>612</v>
      </c>
      <c r="C76" t="s">
        <v>616</v>
      </c>
      <c r="D76" s="94"/>
      <c r="E76" s="15">
        <v>0</v>
      </c>
      <c r="F76" s="15">
        <v>0</v>
      </c>
      <c r="G76" t="s">
        <v>615</v>
      </c>
    </row>
    <row r="77" spans="1:17" x14ac:dyDescent="0.3">
      <c r="A77" t="s">
        <v>104</v>
      </c>
      <c r="B77" t="s">
        <v>434</v>
      </c>
      <c r="C77" t="s">
        <v>435</v>
      </c>
      <c r="E77" s="15">
        <v>2</v>
      </c>
      <c r="F77" s="15">
        <v>1</v>
      </c>
      <c r="G77" t="s">
        <v>42</v>
      </c>
    </row>
    <row r="78" spans="1:17" x14ac:dyDescent="0.3">
      <c r="A78" t="s">
        <v>104</v>
      </c>
      <c r="B78" s="1" t="s">
        <v>702</v>
      </c>
      <c r="C78" t="s">
        <v>703</v>
      </c>
      <c r="E78" s="15">
        <v>2</v>
      </c>
      <c r="F78" s="15">
        <v>1</v>
      </c>
      <c r="G78" t="s">
        <v>704</v>
      </c>
      <c r="Q78" s="4" t="s">
        <v>511</v>
      </c>
    </row>
    <row r="79" spans="1:17" x14ac:dyDescent="0.3">
      <c r="A79" t="s">
        <v>104</v>
      </c>
      <c r="B79" s="73" t="s">
        <v>712</v>
      </c>
      <c r="C79" s="73" t="s">
        <v>716</v>
      </c>
      <c r="E79" s="15"/>
      <c r="F79" s="15">
        <v>1</v>
      </c>
      <c r="G79" t="s">
        <v>713</v>
      </c>
    </row>
    <row r="80" spans="1:17" x14ac:dyDescent="0.3">
      <c r="A80" t="s">
        <v>104</v>
      </c>
      <c r="B80" t="s">
        <v>6</v>
      </c>
      <c r="C80" t="s">
        <v>438</v>
      </c>
      <c r="E80" s="15">
        <v>0</v>
      </c>
      <c r="F80" s="15">
        <v>0</v>
      </c>
      <c r="G80" t="s">
        <v>7</v>
      </c>
    </row>
    <row r="81" spans="1:17" x14ac:dyDescent="0.3">
      <c r="A81" t="s">
        <v>104</v>
      </c>
      <c r="B81" s="1" t="s">
        <v>462</v>
      </c>
      <c r="C81" t="s">
        <v>688</v>
      </c>
      <c r="E81" s="15">
        <v>2</v>
      </c>
      <c r="F81" s="15">
        <v>1</v>
      </c>
      <c r="G81" t="s">
        <v>461</v>
      </c>
      <c r="Q81" s="4" t="s">
        <v>495</v>
      </c>
    </row>
    <row r="82" spans="1:17" x14ac:dyDescent="0.3">
      <c r="A82" t="s">
        <v>104</v>
      </c>
      <c r="B82" t="s">
        <v>457</v>
      </c>
      <c r="C82" t="s">
        <v>460</v>
      </c>
      <c r="E82" s="15">
        <v>0</v>
      </c>
      <c r="F82" s="15">
        <v>0</v>
      </c>
      <c r="G82" t="s">
        <v>459</v>
      </c>
    </row>
    <row r="83" spans="1:17" x14ac:dyDescent="0.3">
      <c r="A83" t="s">
        <v>104</v>
      </c>
      <c r="B83" t="s">
        <v>39</v>
      </c>
      <c r="C83" t="s">
        <v>521</v>
      </c>
      <c r="E83" s="15">
        <v>0</v>
      </c>
      <c r="F83" s="15">
        <v>0</v>
      </c>
      <c r="G83" t="s">
        <v>40</v>
      </c>
    </row>
    <row r="84" spans="1:17" x14ac:dyDescent="0.3">
      <c r="A84" t="s">
        <v>104</v>
      </c>
      <c r="B84" t="s">
        <v>550</v>
      </c>
      <c r="C84" t="s">
        <v>553</v>
      </c>
      <c r="E84" s="15">
        <v>1</v>
      </c>
      <c r="F84" s="15">
        <v>1</v>
      </c>
      <c r="G84" t="s">
        <v>551</v>
      </c>
    </row>
    <row r="85" spans="1:17" x14ac:dyDescent="0.3">
      <c r="A85" t="s">
        <v>104</v>
      </c>
      <c r="B85" t="s">
        <v>444</v>
      </c>
      <c r="C85" t="s">
        <v>443</v>
      </c>
      <c r="E85" s="15">
        <v>2</v>
      </c>
      <c r="F85" s="15"/>
      <c r="G85" t="s">
        <v>43</v>
      </c>
    </row>
    <row r="86" spans="1:17" x14ac:dyDescent="0.3">
      <c r="A86" t="s">
        <v>104</v>
      </c>
      <c r="B86" t="s">
        <v>722</v>
      </c>
      <c r="C86" t="s">
        <v>724</v>
      </c>
      <c r="E86" s="15">
        <v>1</v>
      </c>
      <c r="F86" s="15"/>
      <c r="G86" t="s">
        <v>677</v>
      </c>
    </row>
    <row r="87" spans="1:17" x14ac:dyDescent="0.3">
      <c r="A87" t="s">
        <v>104</v>
      </c>
      <c r="B87" t="s">
        <v>721</v>
      </c>
      <c r="C87" t="s">
        <v>725</v>
      </c>
      <c r="E87" s="15">
        <v>1</v>
      </c>
      <c r="F87" s="15"/>
      <c r="G87" t="s">
        <v>677</v>
      </c>
    </row>
    <row r="88" spans="1:17" x14ac:dyDescent="0.3">
      <c r="A88" t="s">
        <v>104</v>
      </c>
      <c r="B88" t="s">
        <v>446</v>
      </c>
      <c r="C88" t="s">
        <v>661</v>
      </c>
      <c r="E88" s="15">
        <v>1</v>
      </c>
      <c r="F88" s="15"/>
      <c r="G88" t="s">
        <v>50</v>
      </c>
    </row>
    <row r="89" spans="1:17" x14ac:dyDescent="0.3">
      <c r="A89" t="s">
        <v>104</v>
      </c>
      <c r="B89" t="s">
        <v>44</v>
      </c>
      <c r="C89" t="s">
        <v>366</v>
      </c>
      <c r="E89" s="15">
        <v>0</v>
      </c>
      <c r="F89" s="15">
        <v>0</v>
      </c>
      <c r="G89" t="s">
        <v>45</v>
      </c>
    </row>
    <row r="90" spans="1:17" x14ac:dyDescent="0.3">
      <c r="A90" t="s">
        <v>104</v>
      </c>
      <c r="B90" t="s">
        <v>46</v>
      </c>
      <c r="C90" t="s">
        <v>413</v>
      </c>
      <c r="D90" t="s">
        <v>48</v>
      </c>
      <c r="E90" s="15">
        <v>0</v>
      </c>
      <c r="F90" s="15">
        <v>0</v>
      </c>
      <c r="G90" t="s">
        <v>47</v>
      </c>
    </row>
    <row r="91" spans="1:17" x14ac:dyDescent="0.3">
      <c r="A91" t="s">
        <v>104</v>
      </c>
      <c r="B91" t="s">
        <v>609</v>
      </c>
      <c r="C91" t="s">
        <v>780</v>
      </c>
      <c r="E91" s="15">
        <v>1</v>
      </c>
      <c r="F91" s="15"/>
      <c r="G91" t="s">
        <v>610</v>
      </c>
    </row>
    <row r="92" spans="1:17" x14ac:dyDescent="0.3">
      <c r="A92" t="s">
        <v>104</v>
      </c>
      <c r="B92" t="s">
        <v>782</v>
      </c>
      <c r="C92" t="s">
        <v>783</v>
      </c>
      <c r="E92" s="15">
        <v>1</v>
      </c>
      <c r="F92" s="15"/>
      <c r="G92" t="s">
        <v>784</v>
      </c>
    </row>
    <row r="93" spans="1:17" x14ac:dyDescent="0.3">
      <c r="A93" t="s">
        <v>104</v>
      </c>
      <c r="B93" t="s">
        <v>51</v>
      </c>
      <c r="C93" t="s">
        <v>408</v>
      </c>
      <c r="E93" s="15">
        <v>0</v>
      </c>
      <c r="F93" s="15">
        <v>0</v>
      </c>
      <c r="G93" t="s">
        <v>52</v>
      </c>
    </row>
    <row r="94" spans="1:17" x14ac:dyDescent="0.3">
      <c r="A94" t="s">
        <v>104</v>
      </c>
      <c r="B94" t="s">
        <v>53</v>
      </c>
      <c r="C94" t="s">
        <v>409</v>
      </c>
      <c r="E94" s="15">
        <v>0</v>
      </c>
      <c r="F94" s="15">
        <v>0</v>
      </c>
      <c r="G94" t="s">
        <v>54</v>
      </c>
    </row>
    <row r="95" spans="1:17" x14ac:dyDescent="0.3">
      <c r="A95" t="s">
        <v>104</v>
      </c>
      <c r="B95" t="s">
        <v>448</v>
      </c>
      <c r="C95" t="s">
        <v>449</v>
      </c>
      <c r="E95" s="15">
        <v>0</v>
      </c>
      <c r="F95" s="15">
        <v>0</v>
      </c>
      <c r="G95" t="s">
        <v>55</v>
      </c>
    </row>
    <row r="96" spans="1:17" x14ac:dyDescent="0.3">
      <c r="A96" t="s">
        <v>104</v>
      </c>
      <c r="B96" t="s">
        <v>770</v>
      </c>
      <c r="C96" t="s">
        <v>769</v>
      </c>
      <c r="E96" s="15">
        <v>2</v>
      </c>
      <c r="F96" s="15">
        <v>1</v>
      </c>
      <c r="G96" s="27" t="s">
        <v>771</v>
      </c>
    </row>
    <row r="97" spans="1:7" x14ac:dyDescent="0.3">
      <c r="A97" t="s">
        <v>104</v>
      </c>
      <c r="B97" t="s">
        <v>571</v>
      </c>
      <c r="C97" t="s">
        <v>767</v>
      </c>
      <c r="E97" s="15">
        <v>1</v>
      </c>
      <c r="F97" s="15">
        <v>1</v>
      </c>
      <c r="G97" s="27" t="s">
        <v>768</v>
      </c>
    </row>
    <row r="98" spans="1:7" x14ac:dyDescent="0.3">
      <c r="A98" t="s">
        <v>104</v>
      </c>
      <c r="B98" t="s">
        <v>454</v>
      </c>
      <c r="C98" t="s">
        <v>664</v>
      </c>
      <c r="E98" s="15">
        <v>1</v>
      </c>
      <c r="F98" s="15">
        <v>1</v>
      </c>
      <c r="G98" t="s">
        <v>57</v>
      </c>
    </row>
    <row r="99" spans="1:7" x14ac:dyDescent="0.3">
      <c r="A99" t="s">
        <v>104</v>
      </c>
      <c r="B99" t="s">
        <v>455</v>
      </c>
      <c r="C99" t="s">
        <v>665</v>
      </c>
      <c r="E99" s="15">
        <v>1</v>
      </c>
      <c r="F99" s="15"/>
      <c r="G99" t="s">
        <v>58</v>
      </c>
    </row>
    <row r="100" spans="1:7" x14ac:dyDescent="0.3">
      <c r="A100" t="s">
        <v>104</v>
      </c>
      <c r="B100" t="s">
        <v>731</v>
      </c>
      <c r="C100" t="s">
        <v>732</v>
      </c>
      <c r="E100" s="15">
        <v>1</v>
      </c>
      <c r="F100" s="15"/>
      <c r="G100" t="s">
        <v>733</v>
      </c>
    </row>
    <row r="101" spans="1:7" x14ac:dyDescent="0.3">
      <c r="A101" t="s">
        <v>104</v>
      </c>
      <c r="B101" t="s">
        <v>359</v>
      </c>
      <c r="C101" t="s">
        <v>367</v>
      </c>
      <c r="E101" s="15">
        <v>1</v>
      </c>
      <c r="F101" s="15"/>
      <c r="G101" t="s">
        <v>62</v>
      </c>
    </row>
    <row r="102" spans="1:7" x14ac:dyDescent="0.3">
      <c r="A102" t="s">
        <v>104</v>
      </c>
      <c r="B102" t="s">
        <v>358</v>
      </c>
      <c r="C102" t="s">
        <v>522</v>
      </c>
      <c r="E102" s="15">
        <v>1</v>
      </c>
      <c r="F102" s="15">
        <v>1</v>
      </c>
      <c r="G102" t="s">
        <v>60</v>
      </c>
    </row>
    <row r="103" spans="1:7" x14ac:dyDescent="0.3">
      <c r="A103" t="s">
        <v>104</v>
      </c>
      <c r="B103" t="s">
        <v>786</v>
      </c>
      <c r="C103" t="s">
        <v>787</v>
      </c>
      <c r="E103" s="15">
        <v>1</v>
      </c>
      <c r="F103" s="15">
        <v>1</v>
      </c>
      <c r="G103" t="s">
        <v>788</v>
      </c>
    </row>
    <row r="104" spans="1:7" x14ac:dyDescent="0.3">
      <c r="A104" t="s">
        <v>104</v>
      </c>
      <c r="B104" t="s">
        <v>468</v>
      </c>
      <c r="C104" t="s">
        <v>666</v>
      </c>
      <c r="E104" s="15">
        <v>1</v>
      </c>
      <c r="F104" s="15"/>
      <c r="G104" t="s">
        <v>64</v>
      </c>
    </row>
    <row r="105" spans="1:7" x14ac:dyDescent="0.3">
      <c r="A105" t="s">
        <v>104</v>
      </c>
      <c r="B105" t="s">
        <v>469</v>
      </c>
      <c r="C105" t="s">
        <v>667</v>
      </c>
      <c r="E105" s="15">
        <v>1</v>
      </c>
      <c r="F105" s="15"/>
      <c r="G105" t="s">
        <v>66</v>
      </c>
    </row>
    <row r="106" spans="1:7" x14ac:dyDescent="0.3">
      <c r="A106" t="s">
        <v>104</v>
      </c>
      <c r="B106" t="s">
        <v>357</v>
      </c>
      <c r="C106" t="s">
        <v>560</v>
      </c>
      <c r="E106" s="15">
        <v>1</v>
      </c>
      <c r="F106" s="15">
        <v>1</v>
      </c>
      <c r="G106" t="s">
        <v>624</v>
      </c>
    </row>
    <row r="107" spans="1:7" x14ac:dyDescent="0.3">
      <c r="A107" t="s">
        <v>104</v>
      </c>
      <c r="B107" t="s">
        <v>545</v>
      </c>
      <c r="C107" t="s">
        <v>546</v>
      </c>
      <c r="E107" s="15"/>
      <c r="F107" s="15">
        <v>1</v>
      </c>
      <c r="G107" t="s">
        <v>547</v>
      </c>
    </row>
    <row r="108" spans="1:7" x14ac:dyDescent="0.3">
      <c r="A108" t="s">
        <v>104</v>
      </c>
      <c r="B108" t="s">
        <v>466</v>
      </c>
      <c r="C108" t="s">
        <v>465</v>
      </c>
      <c r="E108" s="15">
        <v>1</v>
      </c>
      <c r="F108" s="15"/>
      <c r="G108" t="s">
        <v>625</v>
      </c>
    </row>
    <row r="109" spans="1:7" x14ac:dyDescent="0.3">
      <c r="A109" t="s">
        <v>104</v>
      </c>
      <c r="B109" t="s">
        <v>476</v>
      </c>
      <c r="C109" t="s">
        <v>670</v>
      </c>
      <c r="E109" s="15">
        <v>1</v>
      </c>
      <c r="F109" s="15"/>
      <c r="G109" t="s">
        <v>70</v>
      </c>
    </row>
    <row r="110" spans="1:7" x14ac:dyDescent="0.3">
      <c r="A110" t="s">
        <v>104</v>
      </c>
      <c r="B110" t="s">
        <v>67</v>
      </c>
      <c r="C110" t="s">
        <v>467</v>
      </c>
      <c r="E110" s="15">
        <v>1</v>
      </c>
      <c r="F110" s="15"/>
      <c r="G110" t="s">
        <v>626</v>
      </c>
    </row>
    <row r="111" spans="1:7" x14ac:dyDescent="0.3">
      <c r="A111" t="s">
        <v>104</v>
      </c>
      <c r="B111" t="s">
        <v>68</v>
      </c>
      <c r="C111" t="s">
        <v>412</v>
      </c>
      <c r="E111" s="15">
        <v>0</v>
      </c>
      <c r="F111" s="15">
        <v>0</v>
      </c>
      <c r="G111" t="s">
        <v>69</v>
      </c>
    </row>
    <row r="112" spans="1:7" x14ac:dyDescent="0.3">
      <c r="A112" t="s">
        <v>104</v>
      </c>
      <c r="B112" t="s">
        <v>477</v>
      </c>
      <c r="C112" t="s">
        <v>671</v>
      </c>
      <c r="E112" s="15">
        <v>1</v>
      </c>
      <c r="F112" s="15"/>
      <c r="G112" t="s">
        <v>71</v>
      </c>
    </row>
    <row r="113" spans="1:17" x14ac:dyDescent="0.3">
      <c r="A113" t="s">
        <v>104</v>
      </c>
      <c r="B113" t="s">
        <v>478</v>
      </c>
      <c r="C113" t="s">
        <v>672</v>
      </c>
      <c r="E113" s="15">
        <v>1</v>
      </c>
      <c r="F113" s="15"/>
      <c r="G113" t="s">
        <v>72</v>
      </c>
    </row>
    <row r="114" spans="1:17" x14ac:dyDescent="0.3">
      <c r="A114" t="s">
        <v>104</v>
      </c>
      <c r="B114" t="s">
        <v>528</v>
      </c>
      <c r="C114" t="s">
        <v>674</v>
      </c>
      <c r="E114" s="15">
        <v>1</v>
      </c>
      <c r="F114" s="15"/>
    </row>
    <row r="115" spans="1:17" x14ac:dyDescent="0.3">
      <c r="A115" t="s">
        <v>104</v>
      </c>
      <c r="B115" t="s">
        <v>77</v>
      </c>
      <c r="C115" t="s">
        <v>410</v>
      </c>
      <c r="E115" s="15">
        <v>0</v>
      </c>
      <c r="F115" s="15">
        <v>0</v>
      </c>
      <c r="G115" t="s">
        <v>78</v>
      </c>
    </row>
    <row r="116" spans="1:17" x14ac:dyDescent="0.3">
      <c r="A116" t="s">
        <v>104</v>
      </c>
      <c r="B116" t="s">
        <v>480</v>
      </c>
      <c r="C116" t="s">
        <v>669</v>
      </c>
      <c r="E116" s="15">
        <v>1</v>
      </c>
      <c r="F116" s="15"/>
      <c r="G116" t="s">
        <v>74</v>
      </c>
    </row>
    <row r="117" spans="1:17" x14ac:dyDescent="0.3">
      <c r="A117" t="s">
        <v>104</v>
      </c>
      <c r="B117" t="s">
        <v>481</v>
      </c>
      <c r="C117" t="s">
        <v>668</v>
      </c>
      <c r="E117" s="15">
        <v>1</v>
      </c>
      <c r="F117" s="15"/>
      <c r="G117" t="s">
        <v>76</v>
      </c>
    </row>
    <row r="118" spans="1:17" x14ac:dyDescent="0.3">
      <c r="A118" t="s">
        <v>104</v>
      </c>
      <c r="B118" t="s">
        <v>479</v>
      </c>
      <c r="C118" t="s">
        <v>673</v>
      </c>
      <c r="E118" s="15">
        <v>1</v>
      </c>
      <c r="F118" s="15"/>
      <c r="G118" t="s">
        <v>72</v>
      </c>
    </row>
    <row r="119" spans="1:17" x14ac:dyDescent="0.3">
      <c r="A119" t="s">
        <v>104</v>
      </c>
      <c r="B119" t="s">
        <v>79</v>
      </c>
      <c r="C119" t="s">
        <v>411</v>
      </c>
      <c r="E119" s="15">
        <v>0</v>
      </c>
      <c r="F119" s="15">
        <v>0</v>
      </c>
      <c r="G119" t="s">
        <v>680</v>
      </c>
    </row>
    <row r="120" spans="1:17" x14ac:dyDescent="0.3">
      <c r="A120" t="s">
        <v>104</v>
      </c>
      <c r="B120" t="s">
        <v>592</v>
      </c>
      <c r="C120" t="s">
        <v>698</v>
      </c>
      <c r="E120" s="15">
        <v>2</v>
      </c>
      <c r="F120" s="15">
        <v>1</v>
      </c>
      <c r="G120" t="s">
        <v>594</v>
      </c>
      <c r="Q120" s="4" t="s">
        <v>593</v>
      </c>
    </row>
    <row r="121" spans="1:17" x14ac:dyDescent="0.3">
      <c r="A121" t="s">
        <v>104</v>
      </c>
      <c r="B121" t="s">
        <v>403</v>
      </c>
      <c r="C121" t="s">
        <v>412</v>
      </c>
      <c r="E121" s="15">
        <v>0</v>
      </c>
      <c r="F121" s="15">
        <v>0</v>
      </c>
    </row>
    <row r="122" spans="1:17" x14ac:dyDescent="0.3">
      <c r="A122" t="s">
        <v>104</v>
      </c>
      <c r="B122" t="s">
        <v>483</v>
      </c>
      <c r="C122" t="s">
        <v>482</v>
      </c>
      <c r="E122" s="15">
        <v>0</v>
      </c>
      <c r="F122" s="15">
        <v>0</v>
      </c>
      <c r="G122" t="s">
        <v>81</v>
      </c>
    </row>
    <row r="123" spans="1:17" x14ac:dyDescent="0.3">
      <c r="A123" t="s">
        <v>104</v>
      </c>
      <c r="B123" t="s">
        <v>417</v>
      </c>
      <c r="C123" t="s">
        <v>675</v>
      </c>
      <c r="E123" s="15">
        <v>1</v>
      </c>
      <c r="F123" s="15"/>
      <c r="G123" t="s">
        <v>82</v>
      </c>
    </row>
    <row r="124" spans="1:17" x14ac:dyDescent="0.3">
      <c r="A124" t="s">
        <v>104</v>
      </c>
      <c r="B124" t="s">
        <v>641</v>
      </c>
      <c r="C124" t="s">
        <v>642</v>
      </c>
      <c r="E124" s="15"/>
      <c r="F124" s="15">
        <v>1</v>
      </c>
      <c r="G124" t="s">
        <v>643</v>
      </c>
    </row>
    <row r="125" spans="1:17" x14ac:dyDescent="0.3">
      <c r="A125" t="s">
        <v>104</v>
      </c>
      <c r="B125" s="1" t="s">
        <v>497</v>
      </c>
      <c r="C125" t="s">
        <v>694</v>
      </c>
      <c r="E125" s="15">
        <v>1</v>
      </c>
      <c r="F125" s="15"/>
      <c r="G125" t="s">
        <v>83</v>
      </c>
      <c r="Q125" s="4" t="s">
        <v>689</v>
      </c>
    </row>
    <row r="126" spans="1:17" x14ac:dyDescent="0.3">
      <c r="A126" t="s">
        <v>104</v>
      </c>
      <c r="B126" t="s">
        <v>487</v>
      </c>
      <c r="C126" t="s">
        <v>587</v>
      </c>
      <c r="E126" s="15">
        <v>1</v>
      </c>
      <c r="F126" s="15"/>
      <c r="G126" t="s">
        <v>627</v>
      </c>
    </row>
    <row r="127" spans="1:17" x14ac:dyDescent="0.3">
      <c r="A127" t="s">
        <v>104</v>
      </c>
      <c r="B127" t="s">
        <v>488</v>
      </c>
      <c r="C127" t="s">
        <v>588</v>
      </c>
      <c r="E127" s="15">
        <v>1</v>
      </c>
      <c r="F127" s="15"/>
      <c r="G127" t="s">
        <v>628</v>
      </c>
    </row>
  </sheetData>
  <sortState xmlns:xlrd2="http://schemas.microsoft.com/office/spreadsheetml/2017/richdata2" ref="B14:J30">
    <sortCondition ref="B14:B30"/>
  </sortState>
  <phoneticPr fontId="5" type="noConversion"/>
  <hyperlinks>
    <hyperlink ref="C120" r:id="rId1" display="ClusteredData!BP2@CD146" xr:uid="{18A98199-EFC8-4148-B6EC-652B67FE481C}"/>
    <hyperlink ref="Q120" r:id="rId2" display="ClusteredData!BP2@CD146" xr:uid="{11BCEBC0-BDE2-45E6-A929-A5DA9E8336F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741C-DABA-4B15-A3B3-AB11F4B50F51}">
  <sheetPr>
    <tabColor rgb="FFFFC000"/>
  </sheetPr>
  <dimension ref="A1:AR24"/>
  <sheetViews>
    <sheetView zoomScale="91" zoomScaleNormal="91" workbookViewId="0">
      <selection activeCell="C5" sqref="C5:H5"/>
    </sheetView>
  </sheetViews>
  <sheetFormatPr defaultRowHeight="14.4" x14ac:dyDescent="0.3"/>
  <cols>
    <col min="1" max="1" width="40.33203125" bestFit="1" customWidth="1"/>
    <col min="10" max="10" width="11.33203125" bestFit="1" customWidth="1"/>
    <col min="14" max="14" width="10.88671875" bestFit="1" customWidth="1"/>
    <col min="31" max="31" width="11.6640625" bestFit="1" customWidth="1"/>
  </cols>
  <sheetData>
    <row r="1" spans="1:44" x14ac:dyDescent="0.3">
      <c r="A1" s="6" t="s">
        <v>127</v>
      </c>
      <c r="B1" s="6" t="s">
        <v>128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6"/>
      <c r="AA1" s="76"/>
      <c r="AB1" s="7"/>
      <c r="AC1" s="7"/>
      <c r="AD1" s="76"/>
      <c r="AE1" s="8"/>
    </row>
    <row r="2" spans="1:44" x14ac:dyDescent="0.3">
      <c r="A2" s="14" t="s">
        <v>126</v>
      </c>
      <c r="B2" s="9" t="s">
        <v>180</v>
      </c>
      <c r="C2" s="10" t="s">
        <v>181</v>
      </c>
      <c r="D2" s="10" t="s">
        <v>182</v>
      </c>
      <c r="E2" s="10" t="s">
        <v>183</v>
      </c>
      <c r="F2" s="12" t="s">
        <v>184</v>
      </c>
      <c r="G2" s="10" t="s">
        <v>185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</row>
    <row r="3" spans="1:44" x14ac:dyDescent="0.3">
      <c r="A3" s="14" t="s">
        <v>106</v>
      </c>
      <c r="B3" s="9" t="s">
        <v>147</v>
      </c>
      <c r="C3" s="10" t="s">
        <v>309</v>
      </c>
      <c r="D3" s="10" t="s">
        <v>310</v>
      </c>
      <c r="E3" s="10" t="s">
        <v>311</v>
      </c>
      <c r="F3" s="10" t="s">
        <v>312</v>
      </c>
      <c r="G3" s="10" t="s">
        <v>313</v>
      </c>
      <c r="H3" s="10" t="s">
        <v>314</v>
      </c>
      <c r="I3" s="10" t="s">
        <v>315</v>
      </c>
      <c r="J3" s="10" t="s">
        <v>316</v>
      </c>
      <c r="K3" s="10" t="s">
        <v>317</v>
      </c>
      <c r="L3" s="10" t="s">
        <v>318</v>
      </c>
      <c r="M3" s="10" t="s">
        <v>319</v>
      </c>
      <c r="N3" s="10" t="s">
        <v>320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</row>
    <row r="4" spans="1:44" x14ac:dyDescent="0.3">
      <c r="A4" s="14" t="s">
        <v>108</v>
      </c>
      <c r="B4" s="9" t="s">
        <v>146</v>
      </c>
      <c r="C4" s="10" t="s">
        <v>321</v>
      </c>
      <c r="D4" s="10" t="s">
        <v>322</v>
      </c>
      <c r="E4" s="10" t="s">
        <v>323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</row>
    <row r="5" spans="1:44" x14ac:dyDescent="0.3">
      <c r="A5" s="14" t="s">
        <v>110</v>
      </c>
      <c r="B5" s="9" t="s">
        <v>176</v>
      </c>
      <c r="C5" s="10" t="s">
        <v>186</v>
      </c>
      <c r="D5" s="10" t="s">
        <v>451</v>
      </c>
      <c r="E5" s="10" t="s">
        <v>187</v>
      </c>
      <c r="F5" s="10" t="s">
        <v>188</v>
      </c>
      <c r="G5" s="10" t="s">
        <v>190</v>
      </c>
      <c r="H5" s="10" t="s">
        <v>423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1"/>
      <c r="AF5" s="10" t="s">
        <v>84</v>
      </c>
      <c r="AG5" s="10" t="s">
        <v>85</v>
      </c>
      <c r="AH5" s="10" t="s">
        <v>89</v>
      </c>
    </row>
    <row r="6" spans="1:44" x14ac:dyDescent="0.3">
      <c r="A6" s="14" t="s">
        <v>112</v>
      </c>
      <c r="B6" s="9" t="s">
        <v>129</v>
      </c>
      <c r="C6" s="10" t="s">
        <v>84</v>
      </c>
      <c r="D6" s="10" t="s">
        <v>85</v>
      </c>
      <c r="E6" s="10" t="s">
        <v>86</v>
      </c>
      <c r="F6" s="10" t="s">
        <v>87</v>
      </c>
      <c r="G6" s="10" t="s">
        <v>88</v>
      </c>
      <c r="H6" s="12" t="s">
        <v>89</v>
      </c>
      <c r="I6" s="12" t="s">
        <v>90</v>
      </c>
      <c r="J6" s="12" t="s">
        <v>91</v>
      </c>
      <c r="K6" s="10" t="s">
        <v>92</v>
      </c>
      <c r="L6" s="10" t="s">
        <v>93</v>
      </c>
      <c r="M6" s="10" t="s">
        <v>94</v>
      </c>
      <c r="N6" s="10" t="s">
        <v>95</v>
      </c>
      <c r="O6" s="10" t="s">
        <v>96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1"/>
      <c r="AF6" s="10" t="s">
        <v>84</v>
      </c>
      <c r="AG6" s="10" t="s">
        <v>85</v>
      </c>
      <c r="AH6" s="10" t="s">
        <v>86</v>
      </c>
      <c r="AI6" s="10" t="s">
        <v>88</v>
      </c>
      <c r="AJ6" s="10" t="s">
        <v>87</v>
      </c>
      <c r="AK6" s="12" t="s">
        <v>89</v>
      </c>
      <c r="AL6" s="12" t="s">
        <v>90</v>
      </c>
      <c r="AM6" s="12" t="s">
        <v>91</v>
      </c>
      <c r="AN6" s="10" t="s">
        <v>92</v>
      </c>
      <c r="AO6" s="10" t="s">
        <v>93</v>
      </c>
      <c r="AP6" s="10" t="s">
        <v>94</v>
      </c>
      <c r="AQ6" s="10" t="s">
        <v>95</v>
      </c>
      <c r="AR6" s="10" t="s">
        <v>96</v>
      </c>
    </row>
    <row r="7" spans="1:44" x14ac:dyDescent="0.3">
      <c r="A7" s="14" t="s">
        <v>114</v>
      </c>
      <c r="B7" s="9" t="s">
        <v>148</v>
      </c>
      <c r="C7" s="10" t="s">
        <v>324</v>
      </c>
      <c r="D7" s="10" t="s">
        <v>325</v>
      </c>
      <c r="E7" s="10" t="s">
        <v>326</v>
      </c>
      <c r="F7" s="10" t="s">
        <v>327</v>
      </c>
      <c r="G7" s="10" t="s">
        <v>328</v>
      </c>
      <c r="H7" s="10" t="s">
        <v>329</v>
      </c>
      <c r="I7" s="10" t="s">
        <v>330</v>
      </c>
      <c r="J7" s="10" t="s">
        <v>331</v>
      </c>
      <c r="K7" s="10" t="s">
        <v>332</v>
      </c>
      <c r="L7" s="10" t="s">
        <v>333</v>
      </c>
      <c r="M7" s="10" t="s">
        <v>334</v>
      </c>
      <c r="N7" s="10" t="s">
        <v>335</v>
      </c>
      <c r="O7" s="10" t="s">
        <v>336</v>
      </c>
      <c r="P7" s="10" t="s">
        <v>337</v>
      </c>
      <c r="Q7" s="10" t="s">
        <v>338</v>
      </c>
      <c r="R7" s="10" t="s">
        <v>339</v>
      </c>
      <c r="S7" s="10" t="s">
        <v>340</v>
      </c>
      <c r="T7" s="10" t="s">
        <v>341</v>
      </c>
      <c r="U7" s="10" t="s">
        <v>342</v>
      </c>
      <c r="V7" s="10" t="s">
        <v>343</v>
      </c>
      <c r="W7" s="10" t="s">
        <v>344</v>
      </c>
      <c r="X7" s="10" t="s">
        <v>345</v>
      </c>
      <c r="Y7" s="10" t="s">
        <v>346</v>
      </c>
      <c r="Z7" s="10" t="s">
        <v>347</v>
      </c>
      <c r="AA7" s="10"/>
      <c r="AB7" s="10"/>
      <c r="AC7" s="10"/>
      <c r="AD7" s="10"/>
      <c r="AE7" s="11"/>
    </row>
    <row r="8" spans="1:44" x14ac:dyDescent="0.3">
      <c r="A8" s="14" t="s">
        <v>116</v>
      </c>
      <c r="B8" s="9" t="s">
        <v>177</v>
      </c>
      <c r="C8" s="10" t="s">
        <v>191</v>
      </c>
      <c r="D8" s="10" t="s">
        <v>192</v>
      </c>
      <c r="E8" s="10" t="s">
        <v>193</v>
      </c>
      <c r="F8" s="10" t="s">
        <v>194</v>
      </c>
      <c r="G8" s="10" t="s">
        <v>195</v>
      </c>
      <c r="H8" s="10" t="s">
        <v>196</v>
      </c>
      <c r="I8" s="10" t="s">
        <v>197</v>
      </c>
      <c r="J8" s="10" t="s">
        <v>198</v>
      </c>
      <c r="K8" s="10" t="s">
        <v>199</v>
      </c>
      <c r="L8" s="10" t="s">
        <v>200</v>
      </c>
      <c r="M8" s="10" t="s">
        <v>201</v>
      </c>
      <c r="N8" s="10" t="s">
        <v>202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1"/>
      <c r="AG8" t="s">
        <v>189</v>
      </c>
    </row>
    <row r="9" spans="1:44" x14ac:dyDescent="0.3">
      <c r="A9" s="14" t="s">
        <v>118</v>
      </c>
      <c r="B9" s="9" t="s">
        <v>178</v>
      </c>
      <c r="C9" s="10" t="s">
        <v>130</v>
      </c>
      <c r="D9" s="10" t="s">
        <v>131</v>
      </c>
      <c r="E9" s="10" t="s">
        <v>213</v>
      </c>
      <c r="F9" s="10" t="s">
        <v>133</v>
      </c>
      <c r="G9" s="10" t="s">
        <v>214</v>
      </c>
      <c r="H9" s="10" t="s">
        <v>652</v>
      </c>
      <c r="I9" s="10" t="s">
        <v>207</v>
      </c>
      <c r="J9" s="10" t="s">
        <v>208</v>
      </c>
      <c r="K9" s="10" t="s">
        <v>210</v>
      </c>
      <c r="L9" s="12" t="s">
        <v>132</v>
      </c>
      <c r="M9" s="12" t="s">
        <v>288</v>
      </c>
      <c r="N9" s="12" t="s">
        <v>581</v>
      </c>
      <c r="O9" s="10" t="s">
        <v>98</v>
      </c>
      <c r="P9" s="10" t="s">
        <v>99</v>
      </c>
      <c r="Q9" s="10" t="s">
        <v>97</v>
      </c>
      <c r="R9" s="10" t="s">
        <v>582</v>
      </c>
      <c r="S9" s="10" t="s">
        <v>143</v>
      </c>
      <c r="T9" s="10" t="s">
        <v>144</v>
      </c>
      <c r="U9" s="10" t="s">
        <v>139</v>
      </c>
      <c r="V9" s="10" t="s">
        <v>140</v>
      </c>
      <c r="W9" s="10" t="s">
        <v>141</v>
      </c>
      <c r="X9" s="10" t="s">
        <v>142</v>
      </c>
      <c r="Y9" s="10" t="s">
        <v>211</v>
      </c>
      <c r="Z9" s="10" t="s">
        <v>212</v>
      </c>
      <c r="AA9" s="10" t="s">
        <v>595</v>
      </c>
      <c r="AB9" s="10" t="s">
        <v>596</v>
      </c>
      <c r="AC9" s="10" t="s">
        <v>597</v>
      </c>
      <c r="AD9" s="12" t="s">
        <v>775</v>
      </c>
      <c r="AE9" s="13" t="s">
        <v>776</v>
      </c>
      <c r="AG9" s="13" t="s">
        <v>600</v>
      </c>
      <c r="AH9" s="10" t="s">
        <v>209</v>
      </c>
      <c r="AI9" s="12" t="s">
        <v>189</v>
      </c>
      <c r="AK9" t="s">
        <v>649</v>
      </c>
    </row>
    <row r="10" spans="1:44" x14ac:dyDescent="0.3">
      <c r="A10" s="14" t="s">
        <v>120</v>
      </c>
      <c r="B10" s="9" t="s">
        <v>179</v>
      </c>
      <c r="C10" s="10" t="s">
        <v>183</v>
      </c>
      <c r="D10" s="10" t="s">
        <v>203</v>
      </c>
      <c r="E10" s="10" t="s">
        <v>204</v>
      </c>
      <c r="F10" s="10" t="s">
        <v>87</v>
      </c>
      <c r="G10" s="10" t="s">
        <v>205</v>
      </c>
      <c r="H10" s="10" t="s">
        <v>206</v>
      </c>
      <c r="I10" s="10"/>
      <c r="J10" s="10"/>
      <c r="K10" s="12"/>
      <c r="L10" s="12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2"/>
      <c r="Y10" s="12"/>
      <c r="Z10" s="12"/>
      <c r="AA10" s="12"/>
      <c r="AB10" s="12"/>
      <c r="AC10" s="12"/>
      <c r="AD10" s="12"/>
      <c r="AE10" s="13"/>
      <c r="AK10" t="s">
        <v>651</v>
      </c>
    </row>
    <row r="11" spans="1:44" x14ac:dyDescent="0.3">
      <c r="A11" s="14" t="s">
        <v>122</v>
      </c>
      <c r="B11" s="9" t="s">
        <v>134</v>
      </c>
      <c r="C11" s="10" t="s">
        <v>135</v>
      </c>
      <c r="D11" s="10" t="s">
        <v>136</v>
      </c>
      <c r="E11" s="10" t="s">
        <v>137</v>
      </c>
      <c r="F11" s="10" t="s">
        <v>138</v>
      </c>
      <c r="G11" s="10"/>
      <c r="H11" s="10"/>
      <c r="I11" s="10"/>
      <c r="J11" s="10"/>
      <c r="K11" s="12"/>
      <c r="L11" s="12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1"/>
    </row>
    <row r="12" spans="1:44" x14ac:dyDescent="0.3">
      <c r="A12" s="14" t="s">
        <v>124</v>
      </c>
      <c r="B12" s="9" t="s">
        <v>145</v>
      </c>
      <c r="C12" s="10" t="s">
        <v>348</v>
      </c>
      <c r="D12" s="10" t="s">
        <v>349</v>
      </c>
      <c r="E12" s="10" t="s">
        <v>350</v>
      </c>
      <c r="F12" s="10" t="s">
        <v>351</v>
      </c>
      <c r="G12" s="10" t="s">
        <v>352</v>
      </c>
      <c r="H12" s="10" t="s">
        <v>353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3"/>
    </row>
    <row r="13" spans="1:44" x14ac:dyDescent="0.3">
      <c r="A13" s="14" t="s">
        <v>157</v>
      </c>
      <c r="B13" s="9" t="s">
        <v>163</v>
      </c>
      <c r="C13" s="12" t="s">
        <v>132</v>
      </c>
      <c r="D13" s="10" t="s">
        <v>213</v>
      </c>
      <c r="E13" s="10" t="s">
        <v>288</v>
      </c>
      <c r="F13" s="12"/>
      <c r="G13" s="10"/>
      <c r="H13" s="12"/>
      <c r="I13" s="12"/>
      <c r="J13" s="12"/>
      <c r="K13" s="12"/>
      <c r="L13" s="12"/>
      <c r="M13" s="12"/>
      <c r="N13" s="26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3"/>
    </row>
    <row r="14" spans="1:44" x14ac:dyDescent="0.3">
      <c r="A14" s="14" t="s">
        <v>158</v>
      </c>
      <c r="B14" s="9" t="s">
        <v>164</v>
      </c>
      <c r="C14" s="10" t="s">
        <v>130</v>
      </c>
      <c r="D14" s="10" t="s">
        <v>131</v>
      </c>
      <c r="E14" s="10" t="s">
        <v>213</v>
      </c>
      <c r="F14" s="10" t="s">
        <v>210</v>
      </c>
      <c r="G14" s="12" t="s">
        <v>132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3"/>
    </row>
    <row r="15" spans="1:44" x14ac:dyDescent="0.3">
      <c r="A15" s="14" t="s">
        <v>149</v>
      </c>
      <c r="B15" s="9" t="s">
        <v>165</v>
      </c>
      <c r="C15" s="10" t="s">
        <v>214</v>
      </c>
      <c r="D15" s="10" t="s">
        <v>652</v>
      </c>
      <c r="E15" s="10" t="s">
        <v>207</v>
      </c>
      <c r="F15" s="10" t="s">
        <v>208</v>
      </c>
      <c r="G15" s="10" t="s">
        <v>210</v>
      </c>
      <c r="H15" s="12" t="s">
        <v>132</v>
      </c>
      <c r="I15" s="12" t="s">
        <v>288</v>
      </c>
      <c r="J15" s="12" t="s">
        <v>581</v>
      </c>
      <c r="K15" s="10" t="s">
        <v>98</v>
      </c>
      <c r="L15" s="10" t="s">
        <v>99</v>
      </c>
      <c r="M15" s="10" t="s">
        <v>97</v>
      </c>
      <c r="N15" s="12" t="s">
        <v>582</v>
      </c>
      <c r="O15" s="10" t="s">
        <v>211</v>
      </c>
      <c r="P15" s="10" t="s">
        <v>212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</row>
    <row r="16" spans="1:44" x14ac:dyDescent="0.3">
      <c r="A16" s="14" t="s">
        <v>150</v>
      </c>
      <c r="B16" s="9" t="s">
        <v>166</v>
      </c>
      <c r="C16" s="10" t="s">
        <v>214</v>
      </c>
      <c r="D16" s="10" t="s">
        <v>652</v>
      </c>
      <c r="E16" s="10" t="s">
        <v>207</v>
      </c>
      <c r="F16" s="10" t="s">
        <v>208</v>
      </c>
      <c r="G16" s="10" t="s">
        <v>210</v>
      </c>
      <c r="H16" s="12" t="s">
        <v>132</v>
      </c>
      <c r="I16" s="12" t="s">
        <v>288</v>
      </c>
      <c r="J16" s="12" t="s">
        <v>581</v>
      </c>
      <c r="K16" s="10" t="s">
        <v>98</v>
      </c>
      <c r="L16" s="10" t="s">
        <v>99</v>
      </c>
      <c r="M16" s="10" t="s">
        <v>97</v>
      </c>
      <c r="N16" s="12" t="s">
        <v>582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3"/>
    </row>
    <row r="17" spans="1:31" x14ac:dyDescent="0.3">
      <c r="A17" s="14" t="s">
        <v>152</v>
      </c>
      <c r="B17" s="9" t="s">
        <v>167</v>
      </c>
      <c r="C17" s="10" t="s">
        <v>211</v>
      </c>
      <c r="D17" s="10" t="s">
        <v>212</v>
      </c>
      <c r="E17" s="10"/>
      <c r="F17" s="12"/>
      <c r="G17" s="10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</row>
    <row r="18" spans="1:31" x14ac:dyDescent="0.3">
      <c r="A18" s="14" t="s">
        <v>154</v>
      </c>
      <c r="B18" s="9" t="s">
        <v>168</v>
      </c>
      <c r="C18" s="10" t="s">
        <v>130</v>
      </c>
      <c r="D18" s="10" t="s">
        <v>131</v>
      </c>
      <c r="E18" s="10" t="s">
        <v>213</v>
      </c>
      <c r="F18" s="10" t="s">
        <v>133</v>
      </c>
      <c r="G18" s="10" t="s">
        <v>143</v>
      </c>
      <c r="H18" s="10" t="s">
        <v>144</v>
      </c>
      <c r="I18" s="10" t="s">
        <v>139</v>
      </c>
      <c r="J18" s="10" t="s">
        <v>140</v>
      </c>
      <c r="K18" s="10" t="s">
        <v>141</v>
      </c>
      <c r="L18" s="10" t="s">
        <v>142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</row>
    <row r="19" spans="1:31" x14ac:dyDescent="0.3">
      <c r="A19" s="14" t="s">
        <v>159</v>
      </c>
      <c r="B19" s="9" t="s">
        <v>169</v>
      </c>
      <c r="C19" s="10" t="s">
        <v>595</v>
      </c>
      <c r="D19" s="10" t="s">
        <v>596</v>
      </c>
      <c r="E19" s="10" t="s">
        <v>597</v>
      </c>
      <c r="F19" s="12" t="s">
        <v>775</v>
      </c>
      <c r="G19" s="13" t="s">
        <v>776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</row>
    <row r="20" spans="1:31" x14ac:dyDescent="0.3">
      <c r="A20" s="14" t="s">
        <v>155</v>
      </c>
      <c r="B20" s="9" t="s">
        <v>170</v>
      </c>
      <c r="C20" s="10" t="s">
        <v>130</v>
      </c>
      <c r="D20" s="10" t="s">
        <v>131</v>
      </c>
      <c r="E20" s="10" t="s">
        <v>213</v>
      </c>
      <c r="F20" s="10" t="s">
        <v>133</v>
      </c>
      <c r="G20" s="10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</row>
    <row r="21" spans="1:31" x14ac:dyDescent="0.3">
      <c r="A21" s="14" t="s">
        <v>156</v>
      </c>
      <c r="B21" s="9" t="s">
        <v>171</v>
      </c>
      <c r="C21" s="10" t="s">
        <v>143</v>
      </c>
      <c r="D21" s="10" t="s">
        <v>144</v>
      </c>
      <c r="E21" s="10" t="s">
        <v>139</v>
      </c>
      <c r="F21" s="10" t="s">
        <v>140</v>
      </c>
      <c r="G21" s="10" t="s">
        <v>141</v>
      </c>
      <c r="H21" s="10" t="s">
        <v>142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</row>
    <row r="22" spans="1:31" x14ac:dyDescent="0.3">
      <c r="A22" s="14" t="s">
        <v>153</v>
      </c>
      <c r="B22" s="9" t="s">
        <v>172</v>
      </c>
      <c r="C22" s="10" t="s">
        <v>98</v>
      </c>
      <c r="D22" s="10" t="s">
        <v>99</v>
      </c>
      <c r="E22" s="10" t="s">
        <v>97</v>
      </c>
      <c r="F22" s="12" t="s">
        <v>582</v>
      </c>
      <c r="G22" s="10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3"/>
    </row>
    <row r="23" spans="1:31" x14ac:dyDescent="0.3">
      <c r="A23" s="14" t="s">
        <v>151</v>
      </c>
      <c r="B23" s="9" t="s">
        <v>173</v>
      </c>
      <c r="C23" s="10" t="s">
        <v>214</v>
      </c>
      <c r="D23" s="10" t="s">
        <v>652</v>
      </c>
      <c r="E23" s="10" t="s">
        <v>207</v>
      </c>
      <c r="F23" s="10" t="s">
        <v>208</v>
      </c>
      <c r="G23" s="10" t="s">
        <v>210</v>
      </c>
      <c r="H23" s="12" t="s">
        <v>132</v>
      </c>
      <c r="I23" s="12" t="s">
        <v>288</v>
      </c>
      <c r="J23" s="12" t="s">
        <v>581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</row>
    <row r="24" spans="1:31" x14ac:dyDescent="0.3">
      <c r="A24" s="14" t="s">
        <v>645</v>
      </c>
      <c r="B24" s="9" t="s">
        <v>759</v>
      </c>
      <c r="C24" s="10" t="s">
        <v>207</v>
      </c>
      <c r="D24" s="10"/>
      <c r="E24" s="10"/>
      <c r="F24" s="10"/>
      <c r="G24" s="10"/>
      <c r="H24" s="10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5485-AB19-4776-9190-625A5CD1E40D}">
  <sheetPr>
    <tabColor theme="0" tint="-0.34998626667073579"/>
  </sheetPr>
  <dimension ref="A2:AD35"/>
  <sheetViews>
    <sheetView workbookViewId="0">
      <selection activeCell="H29" sqref="H29"/>
    </sheetView>
  </sheetViews>
  <sheetFormatPr defaultRowHeight="14.4" x14ac:dyDescent="0.3"/>
  <cols>
    <col min="3" max="3" width="11.88671875" bestFit="1" customWidth="1"/>
  </cols>
  <sheetData>
    <row r="2" spans="1:30" x14ac:dyDescent="0.3">
      <c r="B2" t="s">
        <v>837</v>
      </c>
      <c r="D2" s="143" t="s">
        <v>826</v>
      </c>
      <c r="E2" s="136" t="s">
        <v>838</v>
      </c>
      <c r="Q2" s="30" t="s">
        <v>374</v>
      </c>
      <c r="R2" s="27"/>
      <c r="S2" s="27"/>
      <c r="T2" s="27"/>
      <c r="U2" s="17" t="s">
        <v>375</v>
      </c>
      <c r="V2" s="27"/>
    </row>
    <row r="4" spans="1:30" x14ac:dyDescent="0.3">
      <c r="A4" s="28" t="s">
        <v>368</v>
      </c>
      <c r="B4" s="28" t="s">
        <v>84</v>
      </c>
      <c r="C4" s="28" t="s">
        <v>85</v>
      </c>
      <c r="D4" s="28" t="s">
        <v>86</v>
      </c>
      <c r="E4" s="28" t="s">
        <v>87</v>
      </c>
      <c r="F4" s="28" t="s">
        <v>88</v>
      </c>
      <c r="G4" s="28" t="s">
        <v>89</v>
      </c>
      <c r="H4" s="28" t="s">
        <v>90</v>
      </c>
      <c r="I4" s="28" t="s">
        <v>91</v>
      </c>
      <c r="J4" s="28" t="s">
        <v>92</v>
      </c>
      <c r="K4" s="28" t="s">
        <v>93</v>
      </c>
      <c r="L4" s="28" t="s">
        <v>94</v>
      </c>
      <c r="M4" s="28" t="s">
        <v>95</v>
      </c>
      <c r="N4" s="28" t="s">
        <v>96</v>
      </c>
      <c r="Q4" s="28" t="s">
        <v>376</v>
      </c>
      <c r="R4" s="28" t="s">
        <v>84</v>
      </c>
      <c r="S4" s="28" t="s">
        <v>85</v>
      </c>
      <c r="T4" s="28" t="s">
        <v>86</v>
      </c>
      <c r="U4" s="28" t="s">
        <v>87</v>
      </c>
      <c r="V4" s="28" t="s">
        <v>88</v>
      </c>
      <c r="W4" s="28" t="s">
        <v>89</v>
      </c>
      <c r="X4" s="28" t="s">
        <v>90</v>
      </c>
      <c r="Y4" s="28" t="s">
        <v>91</v>
      </c>
      <c r="Z4" s="28" t="s">
        <v>92</v>
      </c>
      <c r="AA4" s="28" t="s">
        <v>93</v>
      </c>
      <c r="AB4" s="28" t="s">
        <v>94</v>
      </c>
      <c r="AC4" s="28" t="s">
        <v>95</v>
      </c>
      <c r="AD4" s="28" t="s">
        <v>96</v>
      </c>
    </row>
    <row r="5" spans="1:30" x14ac:dyDescent="0.3">
      <c r="A5" s="28" t="s">
        <v>84</v>
      </c>
      <c r="B5" s="3">
        <v>0</v>
      </c>
      <c r="C5" s="3">
        <v>156</v>
      </c>
      <c r="D5" s="3">
        <v>267</v>
      </c>
      <c r="E5" s="3">
        <v>384</v>
      </c>
      <c r="F5" s="3">
        <v>68</v>
      </c>
      <c r="G5" s="3">
        <v>280</v>
      </c>
      <c r="H5" s="3">
        <v>615</v>
      </c>
      <c r="I5" s="3">
        <v>101</v>
      </c>
      <c r="J5" s="3">
        <v>151</v>
      </c>
      <c r="K5" s="3">
        <v>263</v>
      </c>
      <c r="L5" s="3">
        <v>183</v>
      </c>
      <c r="M5" s="3">
        <v>280</v>
      </c>
      <c r="N5" s="3">
        <v>294</v>
      </c>
      <c r="Q5" s="28" t="s">
        <v>84</v>
      </c>
      <c r="R5" s="3">
        <v>0</v>
      </c>
      <c r="S5" s="3">
        <v>132</v>
      </c>
      <c r="T5" s="3">
        <v>0</v>
      </c>
      <c r="U5" s="3">
        <v>0</v>
      </c>
      <c r="V5" s="3">
        <v>169</v>
      </c>
      <c r="W5" s="3">
        <v>0</v>
      </c>
      <c r="X5" s="3">
        <v>0</v>
      </c>
      <c r="Y5" s="3">
        <v>0</v>
      </c>
      <c r="Z5" s="3">
        <v>167</v>
      </c>
      <c r="AA5" s="3">
        <v>0</v>
      </c>
      <c r="AB5" s="3">
        <v>0</v>
      </c>
      <c r="AC5" s="3">
        <v>0</v>
      </c>
      <c r="AD5" s="3">
        <v>0</v>
      </c>
    </row>
    <row r="6" spans="1:30" x14ac:dyDescent="0.3">
      <c r="A6" s="28" t="s">
        <v>85</v>
      </c>
      <c r="B6" s="3">
        <v>156</v>
      </c>
      <c r="C6" s="3">
        <v>0</v>
      </c>
      <c r="D6" s="3">
        <v>118</v>
      </c>
      <c r="E6" s="3">
        <v>237</v>
      </c>
      <c r="F6" s="3">
        <v>198</v>
      </c>
      <c r="G6" s="3">
        <v>127</v>
      </c>
      <c r="H6" s="3">
        <v>463</v>
      </c>
      <c r="I6" s="3">
        <v>240</v>
      </c>
      <c r="J6" s="3">
        <v>222</v>
      </c>
      <c r="K6" s="3">
        <v>265</v>
      </c>
      <c r="L6" s="3">
        <v>92</v>
      </c>
      <c r="M6" s="3">
        <v>163</v>
      </c>
      <c r="N6" s="3">
        <v>246</v>
      </c>
      <c r="Q6" s="28" t="s">
        <v>85</v>
      </c>
      <c r="R6" s="3">
        <v>132</v>
      </c>
      <c r="S6" s="3">
        <v>0</v>
      </c>
      <c r="T6" s="3">
        <v>134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142</v>
      </c>
      <c r="AC6" s="3">
        <v>0</v>
      </c>
      <c r="AD6" s="3">
        <v>0</v>
      </c>
    </row>
    <row r="7" spans="1:30" x14ac:dyDescent="0.3">
      <c r="A7" s="28" t="s">
        <v>86</v>
      </c>
      <c r="B7" s="3">
        <v>267</v>
      </c>
      <c r="C7" s="3">
        <v>118</v>
      </c>
      <c r="D7" s="3">
        <v>0</v>
      </c>
      <c r="E7" s="3">
        <v>119</v>
      </c>
      <c r="F7" s="3">
        <v>315</v>
      </c>
      <c r="G7" s="3">
        <v>91</v>
      </c>
      <c r="H7" s="3">
        <v>348</v>
      </c>
      <c r="I7" s="3">
        <v>357</v>
      </c>
      <c r="J7" s="3">
        <v>338</v>
      </c>
      <c r="K7" s="3">
        <v>358</v>
      </c>
      <c r="L7" s="3">
        <v>178</v>
      </c>
      <c r="M7" s="3">
        <v>190</v>
      </c>
      <c r="N7" s="3">
        <v>314</v>
      </c>
      <c r="Q7" s="28" t="s">
        <v>86</v>
      </c>
      <c r="R7" s="3">
        <v>0</v>
      </c>
      <c r="S7" s="3">
        <v>134</v>
      </c>
      <c r="T7" s="3">
        <v>0</v>
      </c>
      <c r="U7" s="3">
        <v>105</v>
      </c>
      <c r="V7" s="3">
        <v>0</v>
      </c>
      <c r="W7" s="3">
        <v>94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</row>
    <row r="8" spans="1:30" x14ac:dyDescent="0.3">
      <c r="A8" s="28" t="s">
        <v>87</v>
      </c>
      <c r="B8" s="3">
        <v>384</v>
      </c>
      <c r="C8" s="3">
        <v>237</v>
      </c>
      <c r="D8" s="3">
        <v>119</v>
      </c>
      <c r="E8" s="3">
        <v>0</v>
      </c>
      <c r="F8" s="3">
        <v>434</v>
      </c>
      <c r="G8" s="3">
        <v>166</v>
      </c>
      <c r="H8" s="3">
        <v>233</v>
      </c>
      <c r="I8" s="3">
        <v>476</v>
      </c>
      <c r="J8" s="3">
        <v>454</v>
      </c>
      <c r="K8" s="3">
        <v>461</v>
      </c>
      <c r="L8" s="3">
        <v>287</v>
      </c>
      <c r="M8" s="3">
        <v>269</v>
      </c>
      <c r="N8" s="3">
        <v>404</v>
      </c>
      <c r="Q8" s="28" t="s">
        <v>87</v>
      </c>
      <c r="R8" s="3">
        <v>0</v>
      </c>
      <c r="S8" s="3">
        <v>0</v>
      </c>
      <c r="T8" s="3">
        <v>105</v>
      </c>
      <c r="U8" s="3">
        <v>0</v>
      </c>
      <c r="V8" s="3">
        <v>0</v>
      </c>
      <c r="W8" s="3">
        <v>182</v>
      </c>
      <c r="X8" s="3">
        <v>219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3">
      <c r="A9" s="28" t="s">
        <v>88</v>
      </c>
      <c r="B9" s="3">
        <v>68</v>
      </c>
      <c r="C9" s="3">
        <v>198</v>
      </c>
      <c r="D9" s="3">
        <v>315</v>
      </c>
      <c r="E9" s="3">
        <v>434</v>
      </c>
      <c r="F9" s="3">
        <v>0</v>
      </c>
      <c r="G9" s="3">
        <v>311</v>
      </c>
      <c r="H9" s="3">
        <v>661</v>
      </c>
      <c r="I9" s="3">
        <v>43</v>
      </c>
      <c r="J9" s="3">
        <v>95</v>
      </c>
      <c r="K9" s="3">
        <v>221</v>
      </c>
      <c r="L9" s="3">
        <v>193</v>
      </c>
      <c r="M9" s="3">
        <v>288</v>
      </c>
      <c r="N9" s="3">
        <v>269</v>
      </c>
      <c r="Q9" s="28" t="s">
        <v>88</v>
      </c>
      <c r="R9" s="3">
        <v>169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13</v>
      </c>
      <c r="Z9" s="3">
        <v>34</v>
      </c>
      <c r="AA9" s="3">
        <v>0</v>
      </c>
      <c r="AB9" s="3">
        <v>0</v>
      </c>
      <c r="AC9" s="3">
        <v>0</v>
      </c>
      <c r="AD9" s="3">
        <v>0</v>
      </c>
    </row>
    <row r="10" spans="1:30" x14ac:dyDescent="0.3">
      <c r="A10" s="28" t="s">
        <v>89</v>
      </c>
      <c r="B10" s="3">
        <v>280</v>
      </c>
      <c r="C10" s="3">
        <v>127</v>
      </c>
      <c r="D10" s="3">
        <v>91</v>
      </c>
      <c r="E10" s="3">
        <v>166</v>
      </c>
      <c r="F10" s="3">
        <v>311</v>
      </c>
      <c r="G10" s="3">
        <v>0</v>
      </c>
      <c r="H10" s="3">
        <v>361</v>
      </c>
      <c r="I10" s="3">
        <v>354</v>
      </c>
      <c r="J10" s="3">
        <v>307</v>
      </c>
      <c r="K10" s="3">
        <v>296</v>
      </c>
      <c r="L10" s="3">
        <v>132</v>
      </c>
      <c r="M10" s="3">
        <v>105</v>
      </c>
      <c r="N10" s="3">
        <v>238</v>
      </c>
      <c r="Q10" s="28" t="s">
        <v>89</v>
      </c>
      <c r="R10" s="3">
        <v>0</v>
      </c>
      <c r="S10" s="3">
        <v>0</v>
      </c>
      <c r="T10" s="3">
        <v>94</v>
      </c>
      <c r="U10" s="3">
        <v>182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267</v>
      </c>
      <c r="AC10" s="3">
        <v>182</v>
      </c>
      <c r="AD10" s="3">
        <v>0</v>
      </c>
    </row>
    <row r="11" spans="1:30" x14ac:dyDescent="0.3">
      <c r="A11" s="28" t="s">
        <v>90</v>
      </c>
      <c r="B11" s="3">
        <v>615</v>
      </c>
      <c r="C11" s="3">
        <v>463</v>
      </c>
      <c r="D11" s="3">
        <v>348</v>
      </c>
      <c r="E11" s="3">
        <v>233</v>
      </c>
      <c r="F11" s="3">
        <v>661</v>
      </c>
      <c r="G11" s="3">
        <v>361</v>
      </c>
      <c r="H11" s="3">
        <v>0</v>
      </c>
      <c r="I11" s="3">
        <v>703</v>
      </c>
      <c r="J11" s="3">
        <v>668</v>
      </c>
      <c r="K11" s="3">
        <v>647</v>
      </c>
      <c r="L11" s="3">
        <v>493</v>
      </c>
      <c r="M11" s="3">
        <v>441</v>
      </c>
      <c r="N11" s="3">
        <v>573</v>
      </c>
      <c r="Q11" s="28" t="s">
        <v>90</v>
      </c>
      <c r="R11" s="3">
        <v>0</v>
      </c>
      <c r="S11" s="3">
        <v>0</v>
      </c>
      <c r="T11" s="3">
        <v>0</v>
      </c>
      <c r="U11" s="3">
        <v>219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</row>
    <row r="12" spans="1:30" x14ac:dyDescent="0.3">
      <c r="A12" s="28" t="s">
        <v>91</v>
      </c>
      <c r="B12" s="3">
        <v>101</v>
      </c>
      <c r="C12" s="3">
        <v>240</v>
      </c>
      <c r="D12" s="3">
        <v>357</v>
      </c>
      <c r="E12" s="3">
        <v>476</v>
      </c>
      <c r="F12" s="3">
        <v>43</v>
      </c>
      <c r="G12" s="3">
        <v>354</v>
      </c>
      <c r="H12" s="3">
        <v>703</v>
      </c>
      <c r="I12" s="3">
        <v>0</v>
      </c>
      <c r="J12" s="3">
        <v>106</v>
      </c>
      <c r="K12" s="3">
        <v>236</v>
      </c>
      <c r="L12" s="3">
        <v>233</v>
      </c>
      <c r="M12" s="3">
        <v>326</v>
      </c>
      <c r="N12" s="3">
        <v>295</v>
      </c>
      <c r="Q12" s="28" t="s">
        <v>91</v>
      </c>
      <c r="R12" s="3">
        <v>0</v>
      </c>
      <c r="S12" s="3">
        <v>0</v>
      </c>
      <c r="T12" s="3">
        <v>0</v>
      </c>
      <c r="U12" s="3">
        <v>0</v>
      </c>
      <c r="V12" s="3">
        <v>13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</row>
    <row r="13" spans="1:30" x14ac:dyDescent="0.3">
      <c r="A13" s="28" t="s">
        <v>92</v>
      </c>
      <c r="B13" s="3">
        <v>151</v>
      </c>
      <c r="C13" s="3">
        <v>222</v>
      </c>
      <c r="D13" s="3">
        <v>338</v>
      </c>
      <c r="E13" s="3">
        <v>454</v>
      </c>
      <c r="F13" s="3">
        <v>95</v>
      </c>
      <c r="G13" s="3">
        <v>307</v>
      </c>
      <c r="H13" s="3">
        <v>668</v>
      </c>
      <c r="I13" s="3">
        <v>106</v>
      </c>
      <c r="J13" s="3">
        <v>0</v>
      </c>
      <c r="K13" s="3">
        <v>130</v>
      </c>
      <c r="L13" s="3">
        <v>175</v>
      </c>
      <c r="M13" s="3">
        <v>253</v>
      </c>
      <c r="N13" s="3">
        <v>194</v>
      </c>
      <c r="Q13" s="28" t="s">
        <v>92</v>
      </c>
      <c r="R13" s="3">
        <v>167</v>
      </c>
      <c r="S13" s="3">
        <v>0</v>
      </c>
      <c r="T13" s="3">
        <v>0</v>
      </c>
      <c r="U13" s="3">
        <v>0</v>
      </c>
      <c r="V13" s="3">
        <v>34</v>
      </c>
      <c r="W13" s="3">
        <v>0</v>
      </c>
      <c r="X13" s="3">
        <v>0</v>
      </c>
      <c r="Y13" s="3">
        <v>0</v>
      </c>
      <c r="Z13" s="3">
        <v>0</v>
      </c>
      <c r="AA13" s="3">
        <v>123</v>
      </c>
      <c r="AB13" s="3">
        <v>0</v>
      </c>
      <c r="AC13" s="3">
        <v>0</v>
      </c>
      <c r="AD13" s="3">
        <v>0</v>
      </c>
    </row>
    <row r="14" spans="1:30" x14ac:dyDescent="0.3">
      <c r="A14" s="28" t="s">
        <v>93</v>
      </c>
      <c r="B14" s="3">
        <v>263</v>
      </c>
      <c r="C14" s="3">
        <v>265</v>
      </c>
      <c r="D14" s="3">
        <v>358</v>
      </c>
      <c r="E14" s="3">
        <v>461</v>
      </c>
      <c r="F14" s="3">
        <v>221</v>
      </c>
      <c r="G14" s="3">
        <v>296</v>
      </c>
      <c r="H14" s="3">
        <v>647</v>
      </c>
      <c r="I14" s="3">
        <v>236</v>
      </c>
      <c r="J14" s="3">
        <v>130</v>
      </c>
      <c r="K14" s="3">
        <v>0</v>
      </c>
      <c r="L14" s="3">
        <v>181</v>
      </c>
      <c r="M14" s="3">
        <v>206</v>
      </c>
      <c r="N14" s="3">
        <v>88</v>
      </c>
      <c r="Q14" s="28" t="s">
        <v>93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123</v>
      </c>
      <c r="AA14" s="3">
        <v>0</v>
      </c>
      <c r="AB14" s="3">
        <v>149</v>
      </c>
      <c r="AC14" s="3">
        <v>0</v>
      </c>
      <c r="AD14" s="3">
        <v>0</v>
      </c>
    </row>
    <row r="15" spans="1:30" x14ac:dyDescent="0.3">
      <c r="A15" s="28" t="s">
        <v>94</v>
      </c>
      <c r="B15" s="3">
        <v>183</v>
      </c>
      <c r="C15" s="3">
        <v>92</v>
      </c>
      <c r="D15" s="3">
        <v>178</v>
      </c>
      <c r="E15" s="3">
        <v>287</v>
      </c>
      <c r="F15" s="3">
        <v>193</v>
      </c>
      <c r="G15" s="3">
        <v>132</v>
      </c>
      <c r="H15" s="3">
        <v>493</v>
      </c>
      <c r="I15" s="3">
        <v>233</v>
      </c>
      <c r="J15" s="3">
        <v>175</v>
      </c>
      <c r="K15" s="3">
        <v>181</v>
      </c>
      <c r="L15" s="3">
        <v>0</v>
      </c>
      <c r="M15" s="3">
        <v>98</v>
      </c>
      <c r="N15" s="3">
        <v>153</v>
      </c>
      <c r="Q15" s="28" t="s">
        <v>94</v>
      </c>
      <c r="R15" s="3">
        <v>0</v>
      </c>
      <c r="S15" s="3">
        <v>142</v>
      </c>
      <c r="T15" s="3">
        <v>0</v>
      </c>
      <c r="U15" s="3">
        <v>0</v>
      </c>
      <c r="V15" s="3">
        <v>0</v>
      </c>
      <c r="W15" s="3">
        <v>267</v>
      </c>
      <c r="X15" s="3">
        <v>0</v>
      </c>
      <c r="Y15" s="3">
        <v>0</v>
      </c>
      <c r="Z15" s="3">
        <v>0</v>
      </c>
      <c r="AA15" s="3">
        <v>149</v>
      </c>
      <c r="AB15" s="3">
        <v>0</v>
      </c>
      <c r="AC15" s="3">
        <v>0</v>
      </c>
      <c r="AD15" s="3">
        <v>237</v>
      </c>
    </row>
    <row r="16" spans="1:30" x14ac:dyDescent="0.3">
      <c r="A16" s="28" t="s">
        <v>95</v>
      </c>
      <c r="B16" s="3">
        <v>280</v>
      </c>
      <c r="C16" s="3">
        <v>163</v>
      </c>
      <c r="D16" s="3">
        <v>190</v>
      </c>
      <c r="E16" s="3">
        <v>269</v>
      </c>
      <c r="F16" s="3">
        <v>288</v>
      </c>
      <c r="G16" s="3">
        <v>105</v>
      </c>
      <c r="H16" s="3">
        <v>441</v>
      </c>
      <c r="I16" s="3">
        <v>326</v>
      </c>
      <c r="J16" s="3">
        <v>253</v>
      </c>
      <c r="K16" s="3">
        <v>206</v>
      </c>
      <c r="L16" s="3">
        <v>98</v>
      </c>
      <c r="M16" s="3">
        <v>0</v>
      </c>
      <c r="N16" s="3">
        <v>137</v>
      </c>
      <c r="Q16" s="28" t="s">
        <v>95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182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</row>
    <row r="17" spans="1:30" x14ac:dyDescent="0.3">
      <c r="A17" s="28" t="s">
        <v>96</v>
      </c>
      <c r="B17" s="3">
        <v>294</v>
      </c>
      <c r="C17" s="3">
        <v>246</v>
      </c>
      <c r="D17" s="3">
        <v>314</v>
      </c>
      <c r="E17" s="3">
        <v>404</v>
      </c>
      <c r="F17" s="3">
        <v>269</v>
      </c>
      <c r="G17" s="3">
        <v>238</v>
      </c>
      <c r="H17" s="3">
        <v>573</v>
      </c>
      <c r="I17" s="3">
        <v>295</v>
      </c>
      <c r="J17" s="3">
        <v>194</v>
      </c>
      <c r="K17" s="3">
        <v>88</v>
      </c>
      <c r="L17" s="3">
        <v>153</v>
      </c>
      <c r="M17" s="3">
        <v>137</v>
      </c>
      <c r="N17" s="3">
        <v>0</v>
      </c>
      <c r="Q17" s="28" t="s">
        <v>96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237</v>
      </c>
      <c r="AC17" s="3">
        <v>0</v>
      </c>
      <c r="AD17" s="3">
        <v>0</v>
      </c>
    </row>
    <row r="18" spans="1:30" ht="15.6" x14ac:dyDescent="0.3">
      <c r="AD18" s="31">
        <f>COUNTIF(R5:AD17,"&lt;&gt;0")</f>
        <v>32</v>
      </c>
    </row>
    <row r="20" spans="1:30" x14ac:dyDescent="0.3">
      <c r="B20" s="1" t="s">
        <v>23</v>
      </c>
    </row>
    <row r="23" spans="1:30" x14ac:dyDescent="0.3">
      <c r="B23" s="28" t="s">
        <v>129</v>
      </c>
      <c r="C23" s="28" t="s">
        <v>134</v>
      </c>
      <c r="D23" s="28" t="s">
        <v>369</v>
      </c>
    </row>
    <row r="24" spans="1:30" x14ac:dyDescent="0.3">
      <c r="B24" s="28" t="s">
        <v>84</v>
      </c>
      <c r="C24" s="28" t="s">
        <v>137</v>
      </c>
      <c r="D24" s="3">
        <v>100</v>
      </c>
    </row>
    <row r="25" spans="1:30" x14ac:dyDescent="0.3">
      <c r="B25" s="28" t="s">
        <v>89</v>
      </c>
      <c r="C25" s="28" t="s">
        <v>138</v>
      </c>
      <c r="D25" s="3">
        <v>150</v>
      </c>
    </row>
    <row r="26" spans="1:30" x14ac:dyDescent="0.3">
      <c r="B26" s="28" t="s">
        <v>90</v>
      </c>
      <c r="C26" s="28" t="s">
        <v>135</v>
      </c>
      <c r="D26" s="3">
        <v>213</v>
      </c>
    </row>
    <row r="29" spans="1:30" x14ac:dyDescent="0.3">
      <c r="B29" s="1" t="s">
        <v>370</v>
      </c>
      <c r="H29" s="143" t="s">
        <v>826</v>
      </c>
      <c r="I29" s="136" t="s">
        <v>813</v>
      </c>
    </row>
    <row r="31" spans="1:30" x14ac:dyDescent="0.3">
      <c r="B31" s="28" t="s">
        <v>129</v>
      </c>
      <c r="C31" s="28" t="s">
        <v>373</v>
      </c>
      <c r="D31" s="28" t="s">
        <v>372</v>
      </c>
    </row>
    <row r="32" spans="1:30" x14ac:dyDescent="0.3">
      <c r="B32" s="28" t="s">
        <v>87</v>
      </c>
      <c r="C32" s="28" t="s">
        <v>139</v>
      </c>
      <c r="D32" s="3">
        <v>35</v>
      </c>
    </row>
    <row r="33" spans="2:4" x14ac:dyDescent="0.3">
      <c r="B33" s="28" t="s">
        <v>89</v>
      </c>
      <c r="C33" s="28" t="s">
        <v>140</v>
      </c>
      <c r="D33" s="3">
        <v>170</v>
      </c>
    </row>
    <row r="34" spans="2:4" x14ac:dyDescent="0.3">
      <c r="B34" s="28" t="s">
        <v>86</v>
      </c>
      <c r="C34" s="28" t="s">
        <v>141</v>
      </c>
      <c r="D34" s="3">
        <v>104</v>
      </c>
    </row>
    <row r="35" spans="2:4" x14ac:dyDescent="0.3">
      <c r="B35" s="28" t="s">
        <v>89</v>
      </c>
      <c r="C35" s="28" t="s">
        <v>142</v>
      </c>
      <c r="D35" s="29">
        <v>62</v>
      </c>
    </row>
  </sheetData>
  <hyperlinks>
    <hyperlink ref="D2" location="References!B2" display="Ref" xr:uid="{45AF967F-20A1-4247-970D-7B6D53988E0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4695-21FC-4662-BA5D-4DD082276EF0}">
  <sheetPr>
    <tabColor rgb="FF9CE8D0"/>
  </sheetPr>
  <dimension ref="A1:AC233"/>
  <sheetViews>
    <sheetView tabSelected="1" zoomScale="130" zoomScaleNormal="130" workbookViewId="0">
      <selection activeCell="D83" sqref="D83:D84"/>
    </sheetView>
  </sheetViews>
  <sheetFormatPr defaultRowHeight="14.4" x14ac:dyDescent="0.3"/>
  <cols>
    <col min="1" max="1" width="14.88671875" customWidth="1"/>
    <col min="4" max="4" width="11.33203125" customWidth="1"/>
    <col min="6" max="6" width="12.5546875" customWidth="1"/>
    <col min="10" max="10" width="11" customWidth="1"/>
    <col min="12" max="12" width="11.109375" customWidth="1"/>
  </cols>
  <sheetData>
    <row r="1" spans="1:29" x14ac:dyDescent="0.3">
      <c r="A1" s="77" t="s">
        <v>274</v>
      </c>
      <c r="B1" s="74"/>
      <c r="C1" s="74"/>
      <c r="D1" s="144" t="s">
        <v>826</v>
      </c>
      <c r="F1" s="77" t="s">
        <v>13</v>
      </c>
      <c r="G1" s="74"/>
      <c r="H1" s="74"/>
      <c r="I1" s="74"/>
      <c r="J1" s="74"/>
      <c r="K1" s="144" t="s">
        <v>826</v>
      </c>
      <c r="L1" s="77" t="s">
        <v>295</v>
      </c>
      <c r="M1" s="74"/>
      <c r="N1" s="74"/>
      <c r="O1" s="74"/>
      <c r="P1" s="74"/>
      <c r="Q1" s="74"/>
      <c r="R1" s="144" t="s">
        <v>826</v>
      </c>
      <c r="S1" s="74"/>
    </row>
    <row r="2" spans="1:29" x14ac:dyDescent="0.3">
      <c r="A2" s="77" t="s">
        <v>273</v>
      </c>
      <c r="B2" s="74"/>
      <c r="C2" s="74"/>
      <c r="D2" s="144"/>
      <c r="F2" s="77" t="s">
        <v>283</v>
      </c>
      <c r="G2" s="74"/>
      <c r="H2" s="74"/>
      <c r="I2" s="74"/>
      <c r="J2" s="74"/>
      <c r="K2" s="144"/>
      <c r="L2" s="77" t="s">
        <v>296</v>
      </c>
      <c r="M2" s="74"/>
      <c r="N2" s="74"/>
      <c r="O2" s="74"/>
      <c r="P2" s="74"/>
      <c r="Q2" s="74"/>
      <c r="R2" s="144"/>
      <c r="S2" s="74"/>
      <c r="AB2" s="10" t="s">
        <v>130</v>
      </c>
      <c r="AC2" s="3">
        <v>40</v>
      </c>
    </row>
    <row r="3" spans="1:29" x14ac:dyDescent="0.3">
      <c r="A3" s="85" t="s">
        <v>130</v>
      </c>
      <c r="B3" s="3">
        <v>500</v>
      </c>
      <c r="C3" s="79"/>
      <c r="D3" s="138" t="s">
        <v>803</v>
      </c>
      <c r="F3" s="85" t="s">
        <v>139</v>
      </c>
      <c r="G3" s="3">
        <v>909</v>
      </c>
      <c r="K3" s="137" t="s">
        <v>803</v>
      </c>
      <c r="L3" s="85" t="s">
        <v>139</v>
      </c>
      <c r="M3" s="3">
        <v>909</v>
      </c>
      <c r="R3" s="137" t="s">
        <v>803</v>
      </c>
      <c r="AB3" s="10" t="s">
        <v>131</v>
      </c>
      <c r="AC3" s="3">
        <v>40</v>
      </c>
    </row>
    <row r="4" spans="1:29" x14ac:dyDescent="0.3">
      <c r="A4" s="85" t="s">
        <v>131</v>
      </c>
      <c r="B4" s="3">
        <v>500</v>
      </c>
      <c r="C4" s="79"/>
      <c r="D4" s="138" t="s">
        <v>803</v>
      </c>
      <c r="F4" s="85" t="s">
        <v>140</v>
      </c>
      <c r="G4" s="3">
        <v>1296</v>
      </c>
      <c r="K4" s="137" t="s">
        <v>803</v>
      </c>
      <c r="L4" s="85" t="s">
        <v>140</v>
      </c>
      <c r="M4" s="3">
        <v>1296</v>
      </c>
      <c r="R4" s="137" t="s">
        <v>803</v>
      </c>
      <c r="AB4" s="10" t="s">
        <v>213</v>
      </c>
      <c r="AC4" s="3">
        <v>30</v>
      </c>
    </row>
    <row r="5" spans="1:29" x14ac:dyDescent="0.3">
      <c r="A5" s="85" t="s">
        <v>213</v>
      </c>
      <c r="B5" s="3">
        <v>500</v>
      </c>
      <c r="C5" s="79"/>
      <c r="D5" s="138" t="s">
        <v>803</v>
      </c>
      <c r="F5" s="85" t="s">
        <v>141</v>
      </c>
      <c r="G5" s="3">
        <v>1113</v>
      </c>
      <c r="K5" s="137" t="s">
        <v>803</v>
      </c>
      <c r="L5" s="85" t="s">
        <v>141</v>
      </c>
      <c r="M5" s="3">
        <v>1113</v>
      </c>
      <c r="R5" s="137" t="s">
        <v>803</v>
      </c>
      <c r="AB5" s="10" t="s">
        <v>133</v>
      </c>
      <c r="AC5" s="3">
        <v>30</v>
      </c>
    </row>
    <row r="6" spans="1:29" x14ac:dyDescent="0.3">
      <c r="A6" s="85" t="s">
        <v>133</v>
      </c>
      <c r="B6" s="3">
        <v>100</v>
      </c>
      <c r="C6" s="79"/>
      <c r="D6" s="138" t="s">
        <v>803</v>
      </c>
      <c r="F6" s="85" t="s">
        <v>142</v>
      </c>
      <c r="G6" s="3">
        <v>825</v>
      </c>
      <c r="K6" s="137" t="s">
        <v>803</v>
      </c>
      <c r="L6" s="85" t="s">
        <v>142</v>
      </c>
      <c r="M6" s="3">
        <v>825</v>
      </c>
      <c r="R6" s="137" t="s">
        <v>803</v>
      </c>
      <c r="AB6" s="10" t="s">
        <v>214</v>
      </c>
      <c r="AC6" s="3">
        <v>10</v>
      </c>
    </row>
    <row r="7" spans="1:29" x14ac:dyDescent="0.3">
      <c r="A7" s="85" t="s">
        <v>214</v>
      </c>
      <c r="B7" s="3">
        <v>24</v>
      </c>
      <c r="C7" s="79"/>
      <c r="D7" s="138" t="s">
        <v>802</v>
      </c>
      <c r="F7" s="85" t="s">
        <v>143</v>
      </c>
      <c r="G7">
        <v>111</v>
      </c>
      <c r="K7" s="137" t="s">
        <v>803</v>
      </c>
      <c r="L7" s="85" t="s">
        <v>143</v>
      </c>
      <c r="M7">
        <v>111</v>
      </c>
      <c r="R7" s="137" t="s">
        <v>803</v>
      </c>
      <c r="AB7" s="10" t="s">
        <v>207</v>
      </c>
      <c r="AC7" s="3">
        <v>50</v>
      </c>
    </row>
    <row r="8" spans="1:29" x14ac:dyDescent="0.3">
      <c r="A8" s="85" t="s">
        <v>652</v>
      </c>
      <c r="B8" s="3">
        <v>500</v>
      </c>
      <c r="C8" s="79"/>
      <c r="D8" s="138" t="s">
        <v>794</v>
      </c>
      <c r="F8" s="85" t="s">
        <v>144</v>
      </c>
      <c r="G8" s="3">
        <v>28</v>
      </c>
      <c r="K8" s="137" t="s">
        <v>803</v>
      </c>
      <c r="L8" s="85" t="s">
        <v>144</v>
      </c>
      <c r="M8" s="3">
        <v>28</v>
      </c>
      <c r="R8" s="137" t="s">
        <v>803</v>
      </c>
      <c r="AB8" s="10" t="s">
        <v>208</v>
      </c>
      <c r="AC8" s="3">
        <v>25</v>
      </c>
    </row>
    <row r="9" spans="1:29" x14ac:dyDescent="0.3">
      <c r="A9" s="85" t="s">
        <v>207</v>
      </c>
      <c r="B9" s="3">
        <v>600</v>
      </c>
      <c r="C9" s="79"/>
      <c r="D9" s="138" t="s">
        <v>810</v>
      </c>
      <c r="AB9" s="10" t="s">
        <v>209</v>
      </c>
      <c r="AC9" s="3">
        <v>25</v>
      </c>
    </row>
    <row r="10" spans="1:29" x14ac:dyDescent="0.3">
      <c r="A10" s="85" t="s">
        <v>208</v>
      </c>
      <c r="B10" s="3">
        <v>500</v>
      </c>
      <c r="C10" s="79"/>
      <c r="D10" s="138" t="s">
        <v>810</v>
      </c>
      <c r="AB10" s="10" t="s">
        <v>210</v>
      </c>
      <c r="AC10" s="3">
        <v>25</v>
      </c>
    </row>
    <row r="11" spans="1:29" x14ac:dyDescent="0.3">
      <c r="A11" s="85" t="s">
        <v>210</v>
      </c>
      <c r="B11" s="3">
        <v>500</v>
      </c>
      <c r="C11" s="79"/>
      <c r="D11" s="138" t="s">
        <v>810</v>
      </c>
      <c r="AB11" s="12"/>
      <c r="AC11" s="3"/>
    </row>
    <row r="12" spans="1:29" x14ac:dyDescent="0.3">
      <c r="A12" s="85" t="s">
        <v>132</v>
      </c>
      <c r="B12" s="3">
        <v>500</v>
      </c>
      <c r="C12" s="79"/>
      <c r="D12" s="138" t="s">
        <v>810</v>
      </c>
      <c r="AB12" s="12" t="s">
        <v>288</v>
      </c>
      <c r="AC12" s="3">
        <v>40</v>
      </c>
    </row>
    <row r="13" spans="1:29" x14ac:dyDescent="0.3">
      <c r="A13" s="85" t="s">
        <v>288</v>
      </c>
      <c r="B13" s="3">
        <v>350</v>
      </c>
      <c r="C13" s="79"/>
      <c r="D13" s="138" t="s">
        <v>810</v>
      </c>
      <c r="AB13" s="12" t="s">
        <v>581</v>
      </c>
      <c r="AC13" s="3">
        <v>25</v>
      </c>
    </row>
    <row r="14" spans="1:29" x14ac:dyDescent="0.3">
      <c r="A14" s="85" t="s">
        <v>581</v>
      </c>
      <c r="B14" s="3">
        <v>500</v>
      </c>
      <c r="D14" s="138" t="s">
        <v>810</v>
      </c>
      <c r="AB14" s="12" t="s">
        <v>189</v>
      </c>
      <c r="AC14" s="3">
        <v>40</v>
      </c>
    </row>
    <row r="15" spans="1:29" x14ac:dyDescent="0.3">
      <c r="A15" s="85" t="s">
        <v>139</v>
      </c>
      <c r="B15" s="3">
        <v>218000</v>
      </c>
      <c r="C15" s="79"/>
      <c r="D15" s="138" t="s">
        <v>803</v>
      </c>
      <c r="AB15" s="10" t="s">
        <v>98</v>
      </c>
      <c r="AC15" s="3">
        <v>25</v>
      </c>
    </row>
    <row r="16" spans="1:29" x14ac:dyDescent="0.3">
      <c r="A16" s="85" t="s">
        <v>140</v>
      </c>
      <c r="B16" s="3">
        <v>311000</v>
      </c>
      <c r="C16" s="3"/>
      <c r="D16" s="138" t="s">
        <v>803</v>
      </c>
      <c r="AB16" s="10"/>
      <c r="AC16" s="3"/>
    </row>
    <row r="17" spans="1:29" x14ac:dyDescent="0.3">
      <c r="A17" s="85" t="s">
        <v>141</v>
      </c>
      <c r="B17" s="3">
        <v>267000</v>
      </c>
      <c r="C17" s="3"/>
      <c r="D17" s="138" t="s">
        <v>803</v>
      </c>
      <c r="AB17" s="10" t="s">
        <v>97</v>
      </c>
      <c r="AC17" s="3">
        <v>25</v>
      </c>
    </row>
    <row r="18" spans="1:29" x14ac:dyDescent="0.3">
      <c r="A18" s="85" t="s">
        <v>142</v>
      </c>
      <c r="B18" s="3">
        <v>198000</v>
      </c>
      <c r="C18" s="3"/>
      <c r="D18" s="138" t="s">
        <v>803</v>
      </c>
      <c r="AB18" s="10" t="s">
        <v>582</v>
      </c>
      <c r="AC18" s="3"/>
    </row>
    <row r="19" spans="1:29" x14ac:dyDescent="0.3">
      <c r="A19" s="85" t="s">
        <v>143</v>
      </c>
      <c r="B19" s="3">
        <v>333</v>
      </c>
      <c r="C19" s="3"/>
      <c r="D19" s="138" t="s">
        <v>803</v>
      </c>
      <c r="AB19" s="10" t="s">
        <v>211</v>
      </c>
      <c r="AC19" s="3"/>
    </row>
    <row r="20" spans="1:29" x14ac:dyDescent="0.3">
      <c r="A20" s="85" t="s">
        <v>144</v>
      </c>
      <c r="B20" s="3">
        <v>333</v>
      </c>
      <c r="C20" s="3"/>
      <c r="D20" s="138" t="s">
        <v>803</v>
      </c>
      <c r="AB20" s="11" t="s">
        <v>212</v>
      </c>
      <c r="AC20" s="3"/>
    </row>
    <row r="21" spans="1:29" x14ac:dyDescent="0.3">
      <c r="AB21" s="10" t="s">
        <v>139</v>
      </c>
    </row>
    <row r="22" spans="1:29" x14ac:dyDescent="0.3">
      <c r="AB22" s="10" t="s">
        <v>140</v>
      </c>
    </row>
    <row r="23" spans="1:29" x14ac:dyDescent="0.3">
      <c r="AB23" s="10" t="s">
        <v>141</v>
      </c>
    </row>
    <row r="24" spans="1:29" x14ac:dyDescent="0.3">
      <c r="AB24" s="10" t="s">
        <v>142</v>
      </c>
    </row>
    <row r="25" spans="1:29" x14ac:dyDescent="0.3">
      <c r="A25" s="77" t="s">
        <v>82</v>
      </c>
      <c r="B25" s="74"/>
      <c r="C25" s="74"/>
      <c r="D25" s="144" t="s">
        <v>826</v>
      </c>
      <c r="F25" s="77" t="s">
        <v>27</v>
      </c>
      <c r="G25" s="74"/>
      <c r="H25" s="74"/>
      <c r="I25" s="74"/>
      <c r="J25" s="144" t="s">
        <v>826</v>
      </c>
      <c r="AB25" s="10" t="s">
        <v>143</v>
      </c>
    </row>
    <row r="26" spans="1:29" x14ac:dyDescent="0.3">
      <c r="A26" s="77" t="s">
        <v>415</v>
      </c>
      <c r="B26" s="74"/>
      <c r="C26" s="74"/>
      <c r="D26" s="144"/>
      <c r="F26" s="77" t="s">
        <v>416</v>
      </c>
      <c r="G26" s="74"/>
      <c r="H26" s="74"/>
      <c r="I26" s="74"/>
      <c r="J26" s="144"/>
      <c r="AB26" s="10" t="s">
        <v>144</v>
      </c>
    </row>
    <row r="27" spans="1:29" x14ac:dyDescent="0.3">
      <c r="A27" s="85" t="s">
        <v>214</v>
      </c>
      <c r="B27" s="3">
        <v>0</v>
      </c>
      <c r="D27" s="138" t="s">
        <v>802</v>
      </c>
      <c r="F27" s="85" t="s">
        <v>214</v>
      </c>
      <c r="G27" s="3">
        <v>0</v>
      </c>
      <c r="J27" s="138" t="s">
        <v>802</v>
      </c>
    </row>
    <row r="28" spans="1:29" x14ac:dyDescent="0.3">
      <c r="A28" s="85" t="s">
        <v>652</v>
      </c>
      <c r="B28" s="3">
        <v>2</v>
      </c>
      <c r="C28" s="79"/>
      <c r="D28" s="138" t="s">
        <v>802</v>
      </c>
      <c r="F28" s="85" t="s">
        <v>652</v>
      </c>
      <c r="G28" s="3">
        <v>2</v>
      </c>
      <c r="H28" s="79"/>
      <c r="J28" s="138" t="s">
        <v>802</v>
      </c>
    </row>
    <row r="29" spans="1:29" x14ac:dyDescent="0.3">
      <c r="A29" s="85" t="s">
        <v>207</v>
      </c>
      <c r="B29" s="3">
        <v>12</v>
      </c>
      <c r="D29" s="138" t="s">
        <v>816</v>
      </c>
      <c r="F29" s="85" t="s">
        <v>207</v>
      </c>
      <c r="G29" s="3">
        <v>12</v>
      </c>
      <c r="J29" s="138" t="s">
        <v>816</v>
      </c>
    </row>
    <row r="30" spans="1:29" x14ac:dyDescent="0.3">
      <c r="A30" s="85" t="s">
        <v>287</v>
      </c>
      <c r="B30" s="3">
        <v>2</v>
      </c>
      <c r="D30" s="138" t="s">
        <v>799</v>
      </c>
      <c r="F30" s="85" t="s">
        <v>287</v>
      </c>
      <c r="G30" s="3">
        <v>2</v>
      </c>
      <c r="J30" s="138" t="s">
        <v>799</v>
      </c>
    </row>
    <row r="31" spans="1:29" x14ac:dyDescent="0.3">
      <c r="A31" s="85" t="s">
        <v>210</v>
      </c>
      <c r="B31" s="3">
        <v>4</v>
      </c>
      <c r="D31" s="138" t="s">
        <v>810</v>
      </c>
      <c r="F31" s="85" t="s">
        <v>210</v>
      </c>
      <c r="G31" s="3">
        <v>4</v>
      </c>
      <c r="J31" s="138" t="s">
        <v>810</v>
      </c>
    </row>
    <row r="32" spans="1:29" x14ac:dyDescent="0.3">
      <c r="A32" s="85" t="s">
        <v>208</v>
      </c>
      <c r="B32" s="3">
        <v>1</v>
      </c>
      <c r="D32" s="138" t="s">
        <v>799</v>
      </c>
      <c r="F32" s="85" t="s">
        <v>208</v>
      </c>
      <c r="G32" s="3">
        <v>1</v>
      </c>
      <c r="J32" s="138" t="s">
        <v>799</v>
      </c>
    </row>
    <row r="33" spans="1:10" x14ac:dyDescent="0.3">
      <c r="A33" s="85" t="s">
        <v>288</v>
      </c>
      <c r="B33" s="3">
        <v>4</v>
      </c>
      <c r="D33" s="138" t="s">
        <v>799</v>
      </c>
      <c r="F33" s="85" t="s">
        <v>288</v>
      </c>
      <c r="G33" s="3">
        <v>4</v>
      </c>
      <c r="J33" s="138" t="s">
        <v>799</v>
      </c>
    </row>
    <row r="34" spans="1:10" x14ac:dyDescent="0.3">
      <c r="A34" s="85" t="s">
        <v>132</v>
      </c>
      <c r="B34" s="3">
        <v>8</v>
      </c>
      <c r="F34" s="85" t="s">
        <v>132</v>
      </c>
      <c r="G34" s="3">
        <v>8</v>
      </c>
      <c r="J34" s="139" t="s">
        <v>845</v>
      </c>
    </row>
    <row r="35" spans="1:10" x14ac:dyDescent="0.3">
      <c r="A35" s="15"/>
    </row>
    <row r="37" spans="1:10" x14ac:dyDescent="0.3">
      <c r="A37" s="77" t="s">
        <v>50</v>
      </c>
      <c r="B37" s="74"/>
      <c r="C37" s="74"/>
      <c r="D37" s="144" t="s">
        <v>826</v>
      </c>
    </row>
    <row r="38" spans="1:10" x14ac:dyDescent="0.3">
      <c r="A38" s="77" t="s">
        <v>49</v>
      </c>
      <c r="B38" s="74"/>
      <c r="C38" s="74"/>
      <c r="D38" s="144"/>
    </row>
    <row r="39" spans="1:10" x14ac:dyDescent="0.3">
      <c r="A39" s="85" t="s">
        <v>130</v>
      </c>
      <c r="B39" s="3">
        <v>40</v>
      </c>
      <c r="C39" s="79"/>
      <c r="D39" s="138" t="s">
        <v>799</v>
      </c>
    </row>
    <row r="40" spans="1:10" x14ac:dyDescent="0.3">
      <c r="A40" s="85" t="s">
        <v>131</v>
      </c>
      <c r="B40" s="3">
        <v>40</v>
      </c>
      <c r="C40" s="3"/>
      <c r="D40" s="138" t="s">
        <v>803</v>
      </c>
    </row>
    <row r="41" spans="1:10" x14ac:dyDescent="0.3">
      <c r="A41" s="85" t="s">
        <v>213</v>
      </c>
      <c r="B41" s="3">
        <v>30</v>
      </c>
      <c r="C41" s="79"/>
      <c r="D41" s="138" t="s">
        <v>803</v>
      </c>
    </row>
    <row r="42" spans="1:10" x14ac:dyDescent="0.3">
      <c r="A42" s="85" t="s">
        <v>133</v>
      </c>
      <c r="B42" s="3">
        <v>30</v>
      </c>
      <c r="C42" s="79"/>
      <c r="D42" s="138" t="s">
        <v>803</v>
      </c>
    </row>
    <row r="43" spans="1:10" x14ac:dyDescent="0.3">
      <c r="A43" s="85" t="s">
        <v>214</v>
      </c>
      <c r="B43" s="3">
        <v>10</v>
      </c>
      <c r="C43" s="79"/>
      <c r="D43" s="138" t="s">
        <v>802</v>
      </c>
    </row>
    <row r="44" spans="1:10" x14ac:dyDescent="0.3">
      <c r="A44" s="85" t="s">
        <v>652</v>
      </c>
      <c r="B44" s="3">
        <v>30</v>
      </c>
      <c r="C44" s="79"/>
      <c r="D44" s="138" t="s">
        <v>799</v>
      </c>
    </row>
    <row r="45" spans="1:10" x14ac:dyDescent="0.3">
      <c r="A45" s="85" t="s">
        <v>207</v>
      </c>
      <c r="B45" s="3">
        <v>50</v>
      </c>
      <c r="C45" s="79"/>
      <c r="D45" s="138" t="s">
        <v>810</v>
      </c>
    </row>
    <row r="46" spans="1:10" x14ac:dyDescent="0.3">
      <c r="A46" s="85" t="s">
        <v>208</v>
      </c>
      <c r="B46" s="3">
        <v>30</v>
      </c>
      <c r="C46" s="3"/>
      <c r="D46" s="138" t="s">
        <v>799</v>
      </c>
    </row>
    <row r="47" spans="1:10" x14ac:dyDescent="0.3">
      <c r="A47" s="85" t="s">
        <v>210</v>
      </c>
      <c r="B47" s="3">
        <v>30</v>
      </c>
      <c r="C47" s="3"/>
      <c r="D47" s="138" t="s">
        <v>810</v>
      </c>
    </row>
    <row r="48" spans="1:10" x14ac:dyDescent="0.3">
      <c r="A48" s="85" t="s">
        <v>132</v>
      </c>
      <c r="B48" s="3">
        <v>40</v>
      </c>
      <c r="C48" s="3"/>
      <c r="D48" s="138" t="s">
        <v>844</v>
      </c>
    </row>
    <row r="49" spans="1:4" x14ac:dyDescent="0.3">
      <c r="A49" s="85" t="s">
        <v>288</v>
      </c>
      <c r="B49" s="3">
        <v>40</v>
      </c>
      <c r="C49" s="3"/>
      <c r="D49" s="138" t="s">
        <v>799</v>
      </c>
    </row>
    <row r="50" spans="1:4" x14ac:dyDescent="0.3">
      <c r="A50" s="85" t="s">
        <v>581</v>
      </c>
      <c r="B50" s="3">
        <v>30</v>
      </c>
      <c r="C50" s="3"/>
      <c r="D50" s="138" t="s">
        <v>799</v>
      </c>
    </row>
    <row r="51" spans="1:4" x14ac:dyDescent="0.3">
      <c r="A51" s="85" t="s">
        <v>98</v>
      </c>
      <c r="B51" s="3">
        <v>30</v>
      </c>
      <c r="C51" s="3"/>
      <c r="D51" s="138" t="s">
        <v>842</v>
      </c>
    </row>
    <row r="52" spans="1:4" x14ac:dyDescent="0.3">
      <c r="A52" s="85" t="s">
        <v>99</v>
      </c>
      <c r="B52" s="3">
        <v>20</v>
      </c>
      <c r="C52" s="3"/>
      <c r="D52" s="138" t="s">
        <v>842</v>
      </c>
    </row>
    <row r="53" spans="1:4" x14ac:dyDescent="0.3">
      <c r="A53" s="85" t="s">
        <v>97</v>
      </c>
      <c r="B53" s="3">
        <v>30</v>
      </c>
      <c r="C53" s="3"/>
      <c r="D53" s="138" t="s">
        <v>842</v>
      </c>
    </row>
    <row r="54" spans="1:4" x14ac:dyDescent="0.3">
      <c r="A54" s="85" t="s">
        <v>582</v>
      </c>
      <c r="B54" s="3">
        <v>40</v>
      </c>
      <c r="C54" s="79"/>
      <c r="D54" s="138" t="s">
        <v>798</v>
      </c>
    </row>
    <row r="55" spans="1:4" x14ac:dyDescent="0.3">
      <c r="A55" s="85" t="s">
        <v>211</v>
      </c>
      <c r="B55" s="3">
        <v>20</v>
      </c>
      <c r="C55" s="3"/>
      <c r="D55" s="138" t="s">
        <v>794</v>
      </c>
    </row>
    <row r="56" spans="1:4" x14ac:dyDescent="0.3">
      <c r="A56" s="85" t="s">
        <v>212</v>
      </c>
      <c r="B56" s="3">
        <v>50</v>
      </c>
      <c r="C56" s="3"/>
      <c r="D56" s="138" t="s">
        <v>842</v>
      </c>
    </row>
    <row r="57" spans="1:4" x14ac:dyDescent="0.3">
      <c r="A57" s="85" t="s">
        <v>139</v>
      </c>
      <c r="B57" s="3">
        <v>40</v>
      </c>
      <c r="C57" s="79"/>
      <c r="D57" s="138" t="s">
        <v>803</v>
      </c>
    </row>
    <row r="58" spans="1:4" x14ac:dyDescent="0.3">
      <c r="A58" s="85" t="s">
        <v>140</v>
      </c>
      <c r="B58" s="3">
        <v>40</v>
      </c>
      <c r="C58" s="3"/>
      <c r="D58" s="138" t="s">
        <v>803</v>
      </c>
    </row>
    <row r="59" spans="1:4" x14ac:dyDescent="0.3">
      <c r="A59" s="85" t="s">
        <v>141</v>
      </c>
      <c r="B59" s="3">
        <v>40</v>
      </c>
      <c r="C59" s="3"/>
      <c r="D59" s="138" t="s">
        <v>803</v>
      </c>
    </row>
    <row r="60" spans="1:4" x14ac:dyDescent="0.3">
      <c r="A60" s="85" t="s">
        <v>142</v>
      </c>
      <c r="B60" s="3">
        <v>40</v>
      </c>
      <c r="C60" s="3"/>
      <c r="D60" s="138" t="s">
        <v>803</v>
      </c>
    </row>
    <row r="61" spans="1:4" x14ac:dyDescent="0.3">
      <c r="A61" s="85" t="s">
        <v>143</v>
      </c>
      <c r="B61" s="3">
        <v>40</v>
      </c>
      <c r="C61" s="3"/>
      <c r="D61" s="138" t="s">
        <v>803</v>
      </c>
    </row>
    <row r="62" spans="1:4" x14ac:dyDescent="0.3">
      <c r="A62" s="85" t="s">
        <v>144</v>
      </c>
      <c r="B62" s="3">
        <v>40</v>
      </c>
      <c r="C62" s="3"/>
      <c r="D62" s="138" t="s">
        <v>803</v>
      </c>
    </row>
    <row r="63" spans="1:4" x14ac:dyDescent="0.3">
      <c r="A63" s="1"/>
    </row>
    <row r="65" spans="1:21" x14ac:dyDescent="0.3">
      <c r="A65" s="77" t="s">
        <v>66</v>
      </c>
      <c r="B65" s="74"/>
      <c r="C65" s="74"/>
      <c r="D65" s="74"/>
      <c r="E65" s="144" t="s">
        <v>826</v>
      </c>
      <c r="F65" s="77" t="s">
        <v>64</v>
      </c>
      <c r="G65" s="74"/>
      <c r="H65" s="74"/>
      <c r="I65" s="74"/>
      <c r="J65" s="144" t="s">
        <v>826</v>
      </c>
      <c r="K65" s="77" t="s">
        <v>76</v>
      </c>
      <c r="L65" s="74"/>
      <c r="M65" s="74"/>
      <c r="N65" s="74"/>
      <c r="O65" s="74"/>
      <c r="P65" s="77" t="s">
        <v>74</v>
      </c>
      <c r="Q65" s="74"/>
      <c r="R65" s="74"/>
      <c r="S65" s="77"/>
      <c r="T65" s="74"/>
      <c r="U65" s="74"/>
    </row>
    <row r="66" spans="1:21" x14ac:dyDescent="0.3">
      <c r="A66" s="77" t="s">
        <v>65</v>
      </c>
      <c r="B66" s="74"/>
      <c r="C66" s="74"/>
      <c r="D66" s="74"/>
      <c r="E66" s="144"/>
      <c r="F66" s="77" t="s">
        <v>63</v>
      </c>
      <c r="G66" s="74"/>
      <c r="H66" s="74"/>
      <c r="I66" s="74"/>
      <c r="J66" s="144"/>
      <c r="K66" s="77" t="s">
        <v>75</v>
      </c>
      <c r="L66" s="74"/>
      <c r="M66" s="74"/>
      <c r="N66" s="74"/>
      <c r="O66" s="74"/>
      <c r="P66" s="77" t="s">
        <v>73</v>
      </c>
      <c r="Q66" s="74"/>
      <c r="R66" s="74"/>
      <c r="S66" s="77"/>
      <c r="T66" s="74"/>
      <c r="U66" s="74"/>
    </row>
    <row r="67" spans="1:21" x14ac:dyDescent="0.3">
      <c r="A67" s="85" t="s">
        <v>130</v>
      </c>
      <c r="B67" s="3">
        <v>0.2</v>
      </c>
      <c r="C67" s="79"/>
      <c r="D67" s="3"/>
      <c r="E67" s="138" t="s">
        <v>803</v>
      </c>
      <c r="F67" s="85" t="s">
        <v>130</v>
      </c>
      <c r="G67" s="3">
        <v>0.95</v>
      </c>
      <c r="H67" s="87"/>
      <c r="I67" s="3"/>
      <c r="J67" s="138" t="s">
        <v>803</v>
      </c>
      <c r="K67" s="85" t="s">
        <v>139</v>
      </c>
      <c r="L67" s="44">
        <v>0</v>
      </c>
      <c r="M67" s="4"/>
      <c r="P67" s="85" t="s">
        <v>139</v>
      </c>
      <c r="Q67" s="44">
        <v>0.8</v>
      </c>
      <c r="R67" s="4"/>
      <c r="S67" s="15"/>
    </row>
    <row r="68" spans="1:21" x14ac:dyDescent="0.3">
      <c r="A68" s="85" t="s">
        <v>131</v>
      </c>
      <c r="B68" s="3">
        <v>0.2</v>
      </c>
      <c r="C68" s="3"/>
      <c r="D68" s="3"/>
      <c r="E68" s="138" t="s">
        <v>803</v>
      </c>
      <c r="F68" s="85" t="s">
        <v>131</v>
      </c>
      <c r="G68" s="3">
        <v>0.95</v>
      </c>
      <c r="H68" s="3"/>
      <c r="I68" s="3"/>
      <c r="J68" s="138" t="s">
        <v>803</v>
      </c>
      <c r="K68" s="85" t="s">
        <v>140</v>
      </c>
      <c r="L68" s="44">
        <v>0</v>
      </c>
      <c r="P68" s="85" t="s">
        <v>140</v>
      </c>
      <c r="Q68" s="44">
        <v>0.8</v>
      </c>
      <c r="S68" s="15"/>
    </row>
    <row r="69" spans="1:21" x14ac:dyDescent="0.3">
      <c r="A69" s="85" t="s">
        <v>213</v>
      </c>
      <c r="B69" s="44">
        <v>0.2</v>
      </c>
      <c r="C69" s="3"/>
      <c r="D69" s="3"/>
      <c r="E69" s="138" t="s">
        <v>803</v>
      </c>
      <c r="F69" s="85" t="s">
        <v>213</v>
      </c>
      <c r="G69" s="3">
        <v>0.91</v>
      </c>
      <c r="H69" s="3"/>
      <c r="I69" s="3"/>
      <c r="J69" s="138" t="s">
        <v>803</v>
      </c>
      <c r="K69" s="85" t="s">
        <v>141</v>
      </c>
      <c r="L69" s="44">
        <v>0</v>
      </c>
      <c r="P69" s="85" t="s">
        <v>141</v>
      </c>
      <c r="Q69" s="44">
        <v>0.8</v>
      </c>
      <c r="S69" s="15"/>
    </row>
    <row r="70" spans="1:21" x14ac:dyDescent="0.3">
      <c r="A70" s="85" t="s">
        <v>133</v>
      </c>
      <c r="B70" s="44">
        <v>0.2</v>
      </c>
      <c r="C70" s="3"/>
      <c r="D70" s="3"/>
      <c r="E70" s="138" t="s">
        <v>803</v>
      </c>
      <c r="F70" s="85" t="s">
        <v>133</v>
      </c>
      <c r="G70" s="3">
        <v>0.98</v>
      </c>
      <c r="H70" s="3"/>
      <c r="I70" s="3"/>
      <c r="J70" s="138" t="s">
        <v>803</v>
      </c>
      <c r="K70" s="85" t="s">
        <v>142</v>
      </c>
      <c r="L70" s="44">
        <v>0</v>
      </c>
      <c r="P70" s="85" t="s">
        <v>142</v>
      </c>
      <c r="Q70" s="44">
        <v>0.8</v>
      </c>
      <c r="S70" s="15"/>
    </row>
    <row r="71" spans="1:21" x14ac:dyDescent="0.3">
      <c r="A71" s="85" t="s">
        <v>652</v>
      </c>
      <c r="B71" s="3">
        <v>0.35</v>
      </c>
      <c r="C71" s="3"/>
      <c r="D71" s="3"/>
      <c r="E71" s="138" t="s">
        <v>802</v>
      </c>
      <c r="F71" s="85" t="s">
        <v>652</v>
      </c>
      <c r="G71" s="3">
        <v>1</v>
      </c>
      <c r="H71" s="3"/>
      <c r="I71" s="3"/>
      <c r="J71" s="138" t="s">
        <v>802</v>
      </c>
      <c r="K71" s="85" t="s">
        <v>143</v>
      </c>
      <c r="L71" s="3">
        <v>0</v>
      </c>
      <c r="M71" s="4"/>
      <c r="P71" s="85" t="s">
        <v>143</v>
      </c>
      <c r="Q71" s="3">
        <v>1</v>
      </c>
      <c r="R71" s="4"/>
      <c r="S71" s="15"/>
    </row>
    <row r="72" spans="1:21" x14ac:dyDescent="0.3">
      <c r="A72" s="85" t="s">
        <v>214</v>
      </c>
      <c r="B72" s="3">
        <v>0.1</v>
      </c>
      <c r="C72" s="79"/>
      <c r="D72" s="3"/>
      <c r="E72" s="138" t="s">
        <v>802</v>
      </c>
      <c r="F72" s="85" t="s">
        <v>214</v>
      </c>
      <c r="G72" s="3">
        <v>1</v>
      </c>
      <c r="H72" s="79"/>
      <c r="I72" s="3"/>
      <c r="J72" s="138" t="s">
        <v>802</v>
      </c>
      <c r="K72" s="85" t="s">
        <v>144</v>
      </c>
      <c r="L72" s="3">
        <v>0</v>
      </c>
      <c r="P72" s="85" t="s">
        <v>144</v>
      </c>
      <c r="Q72" s="3">
        <v>1</v>
      </c>
      <c r="S72" s="15"/>
    </row>
    <row r="73" spans="1:21" x14ac:dyDescent="0.3">
      <c r="A73" s="85" t="s">
        <v>207</v>
      </c>
      <c r="B73" s="3">
        <v>0.5</v>
      </c>
      <c r="C73" s="3"/>
      <c r="D73" s="3"/>
      <c r="E73" s="138" t="s">
        <v>816</v>
      </c>
      <c r="F73" s="85" t="s">
        <v>207</v>
      </c>
      <c r="G73" s="3">
        <v>0.88</v>
      </c>
      <c r="H73" s="3"/>
      <c r="I73" s="3"/>
      <c r="J73" s="138" t="s">
        <v>816</v>
      </c>
    </row>
    <row r="74" spans="1:21" x14ac:dyDescent="0.3">
      <c r="A74" s="85" t="s">
        <v>208</v>
      </c>
      <c r="B74" s="3">
        <v>0.3</v>
      </c>
      <c r="C74" s="3"/>
      <c r="D74" s="3"/>
      <c r="E74" s="138" t="s">
        <v>799</v>
      </c>
      <c r="F74" s="85" t="s">
        <v>208</v>
      </c>
      <c r="G74" s="3">
        <v>0.94</v>
      </c>
      <c r="H74" s="3"/>
      <c r="I74" s="3"/>
      <c r="J74" s="138" t="s">
        <v>799</v>
      </c>
    </row>
    <row r="75" spans="1:21" x14ac:dyDescent="0.3">
      <c r="A75" s="85" t="s">
        <v>210</v>
      </c>
      <c r="B75" s="3">
        <v>0.5</v>
      </c>
      <c r="C75" s="3"/>
      <c r="D75" s="3"/>
      <c r="E75" s="138" t="s">
        <v>810</v>
      </c>
      <c r="F75" s="85" t="s">
        <v>210</v>
      </c>
      <c r="G75" s="3">
        <v>0.8</v>
      </c>
      <c r="H75" s="3"/>
      <c r="I75" s="3"/>
      <c r="J75" s="138" t="s">
        <v>810</v>
      </c>
    </row>
    <row r="76" spans="1:21" x14ac:dyDescent="0.3">
      <c r="A76" s="85" t="s">
        <v>132</v>
      </c>
      <c r="B76" s="3">
        <v>0.5</v>
      </c>
      <c r="C76" s="3"/>
      <c r="D76" s="3"/>
      <c r="E76" s="138" t="s">
        <v>803</v>
      </c>
      <c r="F76" s="85" t="s">
        <v>132</v>
      </c>
      <c r="G76" s="3">
        <v>0.8</v>
      </c>
      <c r="H76" s="3"/>
      <c r="I76" s="3"/>
      <c r="J76" s="138" t="s">
        <v>803</v>
      </c>
    </row>
    <row r="77" spans="1:21" x14ac:dyDescent="0.3">
      <c r="A77" s="85" t="s">
        <v>288</v>
      </c>
      <c r="B77" s="3">
        <v>0.4</v>
      </c>
      <c r="C77" s="3"/>
      <c r="D77" s="3"/>
      <c r="E77" s="138" t="s">
        <v>799</v>
      </c>
      <c r="F77" s="85" t="s">
        <v>288</v>
      </c>
      <c r="G77" s="3">
        <v>0.8</v>
      </c>
      <c r="H77" s="3"/>
      <c r="I77" s="3"/>
      <c r="J77" s="138" t="s">
        <v>799</v>
      </c>
    </row>
    <row r="78" spans="1:21" x14ac:dyDescent="0.3">
      <c r="A78" s="85" t="s">
        <v>581</v>
      </c>
      <c r="B78">
        <v>0.35</v>
      </c>
      <c r="C78" s="3"/>
      <c r="D78" s="3"/>
      <c r="E78" s="138" t="s">
        <v>799</v>
      </c>
      <c r="F78" s="85" t="s">
        <v>581</v>
      </c>
      <c r="G78" s="3">
        <v>0.87</v>
      </c>
      <c r="H78" s="3"/>
      <c r="I78" s="3"/>
      <c r="J78" s="138" t="s">
        <v>799</v>
      </c>
    </row>
    <row r="79" spans="1:21" x14ac:dyDescent="0.3">
      <c r="A79" s="76"/>
      <c r="B79" s="3"/>
      <c r="C79" s="3"/>
      <c r="D79" s="3"/>
      <c r="F79" s="76"/>
      <c r="G79" s="3"/>
      <c r="H79" s="3"/>
      <c r="I79" s="3"/>
    </row>
    <row r="80" spans="1:21" x14ac:dyDescent="0.3">
      <c r="A80" s="76"/>
      <c r="B80" s="3"/>
      <c r="C80" s="3"/>
      <c r="D80" s="3"/>
      <c r="F80" s="76"/>
      <c r="G80" s="3"/>
      <c r="H80" s="3"/>
      <c r="I80" s="3"/>
    </row>
    <row r="83" spans="1:18" x14ac:dyDescent="0.3">
      <c r="A83" s="77" t="s">
        <v>70</v>
      </c>
      <c r="B83" s="74"/>
      <c r="C83" s="74"/>
      <c r="D83" s="144" t="s">
        <v>826</v>
      </c>
      <c r="F83" s="77" t="s">
        <v>71</v>
      </c>
      <c r="G83" s="74"/>
      <c r="H83" s="74"/>
      <c r="I83" s="144" t="s">
        <v>826</v>
      </c>
      <c r="K83" s="77" t="s">
        <v>72</v>
      </c>
      <c r="L83" s="74"/>
      <c r="M83" s="74"/>
      <c r="P83" s="77" t="s">
        <v>72</v>
      </c>
      <c r="Q83" s="74"/>
      <c r="R83" s="74"/>
    </row>
    <row r="84" spans="1:18" x14ac:dyDescent="0.3">
      <c r="A84" s="77" t="s">
        <v>472</v>
      </c>
      <c r="B84" s="74"/>
      <c r="C84" s="74"/>
      <c r="D84" s="144"/>
      <c r="F84" s="77" t="s">
        <v>473</v>
      </c>
      <c r="G84" s="74"/>
      <c r="H84" s="74"/>
      <c r="I84" s="144"/>
      <c r="K84" s="77" t="s">
        <v>474</v>
      </c>
      <c r="L84" s="74"/>
      <c r="M84" s="74"/>
      <c r="P84" s="77" t="s">
        <v>475</v>
      </c>
      <c r="Q84" s="74"/>
      <c r="R84" s="74"/>
    </row>
    <row r="85" spans="1:18" x14ac:dyDescent="0.3">
      <c r="A85" s="85" t="s">
        <v>214</v>
      </c>
      <c r="B85" s="3">
        <v>1</v>
      </c>
      <c r="C85" s="79"/>
      <c r="D85" s="137" t="s">
        <v>802</v>
      </c>
      <c r="F85" s="85" t="s">
        <v>214</v>
      </c>
      <c r="G85" s="3">
        <v>1</v>
      </c>
      <c r="H85" s="79"/>
      <c r="I85" s="137" t="s">
        <v>802</v>
      </c>
      <c r="J85" s="45"/>
      <c r="K85" s="85" t="s">
        <v>214</v>
      </c>
      <c r="L85" s="3">
        <v>1</v>
      </c>
      <c r="M85" s="79"/>
      <c r="P85" s="85" t="s">
        <v>214</v>
      </c>
      <c r="Q85" s="3">
        <v>1</v>
      </c>
      <c r="R85" s="79"/>
    </row>
    <row r="86" spans="1:18" x14ac:dyDescent="0.3">
      <c r="A86" s="85" t="s">
        <v>652</v>
      </c>
      <c r="B86" s="3">
        <v>1</v>
      </c>
      <c r="C86" s="79"/>
      <c r="D86" s="137" t="s">
        <v>794</v>
      </c>
      <c r="F86" s="85" t="s">
        <v>652</v>
      </c>
      <c r="G86" s="3">
        <v>1</v>
      </c>
      <c r="H86" s="79"/>
      <c r="I86" s="137" t="s">
        <v>794</v>
      </c>
      <c r="J86" s="45"/>
      <c r="K86" s="85" t="s">
        <v>652</v>
      </c>
      <c r="L86" s="3">
        <v>1</v>
      </c>
      <c r="M86" s="3"/>
      <c r="P86" s="85" t="s">
        <v>652</v>
      </c>
      <c r="Q86" s="3">
        <v>1</v>
      </c>
      <c r="R86" s="3"/>
    </row>
    <row r="87" spans="1:18" x14ac:dyDescent="0.3">
      <c r="A87" s="85" t="s">
        <v>207</v>
      </c>
      <c r="B87" s="3">
        <v>0.1</v>
      </c>
      <c r="C87" s="79"/>
      <c r="D87" s="137" t="s">
        <v>816</v>
      </c>
      <c r="F87" s="85" t="s">
        <v>207</v>
      </c>
      <c r="G87" s="3">
        <v>0.1</v>
      </c>
      <c r="H87" s="79"/>
      <c r="I87" s="137" t="s">
        <v>816</v>
      </c>
      <c r="J87" s="45"/>
      <c r="K87" s="85" t="s">
        <v>207</v>
      </c>
      <c r="L87" s="3">
        <v>0.1</v>
      </c>
      <c r="M87" s="79"/>
      <c r="P87" s="85" t="s">
        <v>207</v>
      </c>
      <c r="Q87" s="3">
        <v>0.1</v>
      </c>
      <c r="R87" s="79"/>
    </row>
    <row r="88" spans="1:18" x14ac:dyDescent="0.3">
      <c r="A88" s="85" t="s">
        <v>210</v>
      </c>
      <c r="B88" s="3">
        <v>1</v>
      </c>
      <c r="C88" s="3"/>
      <c r="D88" s="137" t="s">
        <v>847</v>
      </c>
      <c r="F88" s="85" t="s">
        <v>210</v>
      </c>
      <c r="G88" s="3">
        <v>1</v>
      </c>
      <c r="H88" s="79"/>
      <c r="I88" s="137" t="s">
        <v>847</v>
      </c>
      <c r="J88" s="45"/>
      <c r="K88" s="85" t="s">
        <v>210</v>
      </c>
      <c r="L88" s="3">
        <v>1</v>
      </c>
      <c r="M88" s="3"/>
      <c r="P88" s="85" t="s">
        <v>210</v>
      </c>
      <c r="Q88" s="3">
        <v>1</v>
      </c>
      <c r="R88" s="3"/>
    </row>
    <row r="89" spans="1:18" x14ac:dyDescent="0.3">
      <c r="A89" s="85" t="s">
        <v>208</v>
      </c>
      <c r="B89" s="3">
        <v>1</v>
      </c>
      <c r="C89" s="3"/>
      <c r="D89" s="137" t="s">
        <v>847</v>
      </c>
      <c r="F89" s="85" t="s">
        <v>208</v>
      </c>
      <c r="G89" s="3">
        <v>1</v>
      </c>
      <c r="H89" s="79"/>
      <c r="I89" s="137" t="s">
        <v>847</v>
      </c>
      <c r="J89" s="45"/>
      <c r="K89" s="85" t="s">
        <v>208</v>
      </c>
      <c r="L89" s="3">
        <v>1</v>
      </c>
      <c r="M89" s="3"/>
      <c r="P89" s="85" t="s">
        <v>208</v>
      </c>
      <c r="Q89" s="3">
        <v>1</v>
      </c>
      <c r="R89" s="3"/>
    </row>
    <row r="90" spans="1:18" x14ac:dyDescent="0.3">
      <c r="A90" s="85" t="s">
        <v>132</v>
      </c>
      <c r="B90" s="3">
        <v>0.3</v>
      </c>
      <c r="C90" s="3"/>
      <c r="D90" s="137" t="s">
        <v>803</v>
      </c>
      <c r="F90" s="85" t="s">
        <v>132</v>
      </c>
      <c r="G90" s="3">
        <v>0.3</v>
      </c>
      <c r="H90" s="79"/>
      <c r="I90" s="137" t="s">
        <v>803</v>
      </c>
      <c r="J90" s="45"/>
      <c r="K90" s="85" t="s">
        <v>132</v>
      </c>
      <c r="L90" s="3">
        <v>0.3</v>
      </c>
      <c r="M90" s="3"/>
      <c r="P90" s="85" t="s">
        <v>132</v>
      </c>
      <c r="Q90" s="3">
        <v>0.3</v>
      </c>
      <c r="R90" s="3"/>
    </row>
    <row r="91" spans="1:18" x14ac:dyDescent="0.3">
      <c r="A91" s="85" t="s">
        <v>288</v>
      </c>
      <c r="B91" s="3">
        <v>0.3</v>
      </c>
      <c r="C91" s="3"/>
      <c r="D91" s="137" t="s">
        <v>848</v>
      </c>
      <c r="F91" s="85" t="s">
        <v>288</v>
      </c>
      <c r="G91" s="3">
        <v>0.3</v>
      </c>
      <c r="H91" s="79"/>
      <c r="I91" s="137" t="s">
        <v>848</v>
      </c>
      <c r="J91" s="45"/>
      <c r="K91" s="85" t="s">
        <v>288</v>
      </c>
      <c r="L91" s="3">
        <v>0.3</v>
      </c>
      <c r="M91" s="3"/>
      <c r="P91" s="85" t="s">
        <v>288</v>
      </c>
      <c r="Q91" s="3">
        <v>0.3</v>
      </c>
      <c r="R91" s="3"/>
    </row>
    <row r="92" spans="1:18" x14ac:dyDescent="0.3">
      <c r="A92" s="85" t="s">
        <v>581</v>
      </c>
      <c r="B92" s="3">
        <v>1</v>
      </c>
      <c r="C92" s="3"/>
      <c r="D92" s="137" t="s">
        <v>847</v>
      </c>
      <c r="F92" s="85" t="s">
        <v>581</v>
      </c>
      <c r="G92" s="3">
        <v>1</v>
      </c>
      <c r="H92" s="79"/>
      <c r="I92" s="137" t="s">
        <v>847</v>
      </c>
      <c r="J92" s="45"/>
      <c r="K92" s="85" t="s">
        <v>581</v>
      </c>
      <c r="L92" s="3">
        <v>1</v>
      </c>
      <c r="M92" s="3"/>
      <c r="P92" s="85" t="s">
        <v>581</v>
      </c>
      <c r="Q92" s="3">
        <v>1</v>
      </c>
      <c r="R92" s="3"/>
    </row>
    <row r="93" spans="1:18" x14ac:dyDescent="0.3">
      <c r="A93" s="85" t="s">
        <v>130</v>
      </c>
      <c r="B93" s="3">
        <v>0.1</v>
      </c>
      <c r="C93" s="79"/>
      <c r="D93" s="137" t="s">
        <v>803</v>
      </c>
      <c r="F93" s="85" t="s">
        <v>130</v>
      </c>
      <c r="G93" s="3">
        <v>0.1</v>
      </c>
      <c r="H93" s="79"/>
      <c r="I93" s="137" t="s">
        <v>803</v>
      </c>
    </row>
    <row r="94" spans="1:18" x14ac:dyDescent="0.3">
      <c r="A94" s="85" t="s">
        <v>131</v>
      </c>
      <c r="B94" s="3">
        <v>0.1</v>
      </c>
      <c r="C94" s="3"/>
      <c r="D94" s="137" t="s">
        <v>803</v>
      </c>
      <c r="F94" s="85" t="s">
        <v>131</v>
      </c>
      <c r="G94" s="3">
        <v>0.1</v>
      </c>
      <c r="H94" s="79"/>
      <c r="I94" s="137" t="s">
        <v>803</v>
      </c>
    </row>
    <row r="95" spans="1:18" x14ac:dyDescent="0.3">
      <c r="A95" s="85" t="s">
        <v>213</v>
      </c>
      <c r="B95" s="3">
        <v>0.1</v>
      </c>
      <c r="C95" s="3"/>
      <c r="D95" s="137" t="s">
        <v>803</v>
      </c>
      <c r="F95" s="85" t="s">
        <v>213</v>
      </c>
      <c r="G95" s="3">
        <v>0.1</v>
      </c>
      <c r="H95" s="79"/>
      <c r="I95" s="137" t="s">
        <v>803</v>
      </c>
    </row>
    <row r="96" spans="1:18" x14ac:dyDescent="0.3">
      <c r="A96" s="85" t="s">
        <v>133</v>
      </c>
      <c r="B96" s="3">
        <v>1</v>
      </c>
      <c r="C96" s="3"/>
      <c r="D96" s="137" t="s">
        <v>803</v>
      </c>
      <c r="F96" s="85" t="s">
        <v>133</v>
      </c>
      <c r="G96" s="3">
        <v>1</v>
      </c>
      <c r="H96" s="79"/>
      <c r="I96" s="137" t="s">
        <v>803</v>
      </c>
    </row>
    <row r="97" spans="1:10" x14ac:dyDescent="0.3">
      <c r="A97" s="15"/>
      <c r="F97" s="15"/>
      <c r="H97" s="4"/>
    </row>
    <row r="99" spans="1:10" x14ac:dyDescent="0.3">
      <c r="A99" s="77" t="s">
        <v>523</v>
      </c>
      <c r="B99" s="74"/>
      <c r="C99" s="74"/>
      <c r="J99" s="17"/>
    </row>
    <row r="100" spans="1:10" x14ac:dyDescent="0.3">
      <c r="A100" s="77" t="s">
        <v>585</v>
      </c>
      <c r="B100" s="74"/>
      <c r="C100" s="74"/>
      <c r="H100" s="144" t="s">
        <v>826</v>
      </c>
      <c r="J100" s="17"/>
    </row>
    <row r="101" spans="1:10" x14ac:dyDescent="0.3">
      <c r="A101" s="112"/>
      <c r="B101" s="112">
        <v>1</v>
      </c>
      <c r="C101" s="112">
        <v>2</v>
      </c>
      <c r="D101" s="112">
        <v>3</v>
      </c>
      <c r="E101" s="112">
        <v>4</v>
      </c>
      <c r="F101" s="112">
        <v>5</v>
      </c>
      <c r="G101" s="112">
        <v>6</v>
      </c>
      <c r="H101" s="144"/>
      <c r="J101" s="17"/>
    </row>
    <row r="102" spans="1:10" x14ac:dyDescent="0.3">
      <c r="A102" s="114" t="s">
        <v>130</v>
      </c>
      <c r="B102" s="35">
        <v>0.71</v>
      </c>
      <c r="C102" s="35">
        <v>0.71</v>
      </c>
      <c r="D102" s="35">
        <v>0.71</v>
      </c>
      <c r="E102" s="35">
        <v>0.71</v>
      </c>
      <c r="F102" s="35">
        <v>0.71</v>
      </c>
      <c r="G102" s="35">
        <v>0.71</v>
      </c>
      <c r="H102" s="138" t="s">
        <v>799</v>
      </c>
      <c r="J102" s="17"/>
    </row>
    <row r="103" spans="1:10" x14ac:dyDescent="0.3">
      <c r="A103" s="114" t="s">
        <v>131</v>
      </c>
      <c r="B103" s="35">
        <v>0.83</v>
      </c>
      <c r="C103" s="35">
        <v>0.83</v>
      </c>
      <c r="D103" s="35">
        <v>0.83</v>
      </c>
      <c r="E103" s="35">
        <v>0.83</v>
      </c>
      <c r="F103" s="35">
        <v>0.83</v>
      </c>
      <c r="G103" s="35">
        <v>0.83</v>
      </c>
      <c r="H103" s="138" t="s">
        <v>803</v>
      </c>
      <c r="J103" s="17"/>
    </row>
    <row r="104" spans="1:10" x14ac:dyDescent="0.3">
      <c r="A104" s="114" t="s">
        <v>213</v>
      </c>
      <c r="B104" s="35">
        <v>0.69</v>
      </c>
      <c r="C104" s="35">
        <v>0.69</v>
      </c>
      <c r="D104" s="35">
        <v>0.69</v>
      </c>
      <c r="E104" s="35">
        <v>0.69</v>
      </c>
      <c r="F104" s="35">
        <v>0.69</v>
      </c>
      <c r="G104" s="35">
        <v>0.69</v>
      </c>
      <c r="H104" s="138" t="s">
        <v>803</v>
      </c>
      <c r="J104" s="17"/>
    </row>
    <row r="105" spans="1:10" x14ac:dyDescent="0.3">
      <c r="A105" s="114" t="s">
        <v>133</v>
      </c>
      <c r="B105" s="35">
        <v>0.76</v>
      </c>
      <c r="C105" s="35">
        <v>0.79</v>
      </c>
      <c r="D105" s="35">
        <v>0.8</v>
      </c>
      <c r="E105" s="35">
        <v>0.81</v>
      </c>
      <c r="F105" s="35">
        <v>0.82</v>
      </c>
      <c r="G105" s="35">
        <v>0.82</v>
      </c>
      <c r="H105" s="138" t="s">
        <v>803</v>
      </c>
      <c r="J105" s="17"/>
    </row>
    <row r="106" spans="1:10" x14ac:dyDescent="0.3">
      <c r="A106" s="114" t="s">
        <v>214</v>
      </c>
      <c r="B106" s="35">
        <v>0.6</v>
      </c>
      <c r="C106" s="35">
        <v>0.6</v>
      </c>
      <c r="D106" s="35">
        <v>0.6</v>
      </c>
      <c r="E106" s="35">
        <v>0.6</v>
      </c>
      <c r="F106" s="35">
        <v>0.6</v>
      </c>
      <c r="G106" s="35">
        <v>0.6</v>
      </c>
      <c r="H106" s="138" t="s">
        <v>821</v>
      </c>
      <c r="J106" s="17"/>
    </row>
    <row r="107" spans="1:10" x14ac:dyDescent="0.3">
      <c r="A107" s="114" t="s">
        <v>652</v>
      </c>
      <c r="B107" s="35">
        <v>0.48</v>
      </c>
      <c r="C107" s="35">
        <v>0.48</v>
      </c>
      <c r="D107" s="35">
        <v>0.48</v>
      </c>
      <c r="E107" s="35">
        <v>0.53</v>
      </c>
      <c r="F107" s="35">
        <v>0.53</v>
      </c>
      <c r="G107" s="35">
        <v>0.53</v>
      </c>
      <c r="H107" s="138" t="s">
        <v>799</v>
      </c>
      <c r="J107" s="17"/>
    </row>
    <row r="108" spans="1:10" x14ac:dyDescent="0.3">
      <c r="A108" s="114" t="s">
        <v>207</v>
      </c>
      <c r="B108" s="35">
        <v>0.39100000000000001</v>
      </c>
      <c r="C108" s="35">
        <v>0.39100000000000001</v>
      </c>
      <c r="D108" s="35">
        <v>0.39100000000000001</v>
      </c>
      <c r="E108" s="35">
        <v>0.39100000000000001</v>
      </c>
      <c r="F108" s="35">
        <v>0.39100000000000001</v>
      </c>
      <c r="G108" s="35">
        <v>0.39100000000000001</v>
      </c>
      <c r="H108" s="138" t="s">
        <v>847</v>
      </c>
      <c r="J108" s="17"/>
    </row>
    <row r="109" spans="1:10" x14ac:dyDescent="0.3">
      <c r="A109" s="114" t="s">
        <v>208</v>
      </c>
      <c r="B109" s="35">
        <v>0.39</v>
      </c>
      <c r="C109" s="35">
        <v>0.39</v>
      </c>
      <c r="D109" s="35">
        <v>0.39</v>
      </c>
      <c r="E109" s="35">
        <v>0.39</v>
      </c>
      <c r="F109" s="35">
        <v>0.39</v>
      </c>
      <c r="G109" s="35">
        <v>0.39</v>
      </c>
      <c r="H109" s="138" t="s">
        <v>847</v>
      </c>
      <c r="J109" s="17"/>
    </row>
    <row r="110" spans="1:10" x14ac:dyDescent="0.3">
      <c r="A110" s="114" t="s">
        <v>210</v>
      </c>
      <c r="B110" s="35">
        <v>0.48899999999999999</v>
      </c>
      <c r="C110" s="35">
        <v>0.48899999999999999</v>
      </c>
      <c r="D110" s="35">
        <v>0.48899999999999999</v>
      </c>
      <c r="E110" s="35">
        <v>0.48899999999999999</v>
      </c>
      <c r="F110" s="35">
        <v>0.48899999999999999</v>
      </c>
      <c r="G110" s="35">
        <v>0.48899999999999999</v>
      </c>
      <c r="H110" s="138" t="s">
        <v>847</v>
      </c>
      <c r="J110" s="17"/>
    </row>
    <row r="111" spans="1:10" x14ac:dyDescent="0.3">
      <c r="A111" s="114" t="s">
        <v>132</v>
      </c>
      <c r="B111" s="35">
        <v>0.28000000000000003</v>
      </c>
      <c r="C111" s="35">
        <v>0.28000000000000003</v>
      </c>
      <c r="D111" s="35">
        <v>0.28000000000000003</v>
      </c>
      <c r="E111" s="35">
        <v>0.28000000000000003</v>
      </c>
      <c r="F111" s="35">
        <v>0.28000000000000003</v>
      </c>
      <c r="G111" s="35">
        <v>0.28000000000000003</v>
      </c>
      <c r="H111" s="138"/>
      <c r="J111" s="17"/>
    </row>
    <row r="112" spans="1:10" x14ac:dyDescent="0.3">
      <c r="A112" s="114" t="s">
        <v>288</v>
      </c>
      <c r="B112" s="35">
        <v>0.35</v>
      </c>
      <c r="C112" s="35">
        <v>0.35</v>
      </c>
      <c r="D112" s="35">
        <v>0.35</v>
      </c>
      <c r="E112" s="35">
        <v>0.35</v>
      </c>
      <c r="F112" s="35">
        <v>0.35</v>
      </c>
      <c r="G112" s="35">
        <v>0.35</v>
      </c>
      <c r="H112" s="138" t="s">
        <v>849</v>
      </c>
      <c r="J112" s="17"/>
    </row>
    <row r="113" spans="1:10" x14ac:dyDescent="0.3">
      <c r="A113" s="114" t="s">
        <v>581</v>
      </c>
      <c r="B113" s="35">
        <v>0.51</v>
      </c>
      <c r="C113" s="35">
        <v>0.51</v>
      </c>
      <c r="D113" s="35">
        <v>0.51</v>
      </c>
      <c r="E113" s="35">
        <v>0.51</v>
      </c>
      <c r="F113" s="35">
        <v>0.51</v>
      </c>
      <c r="G113" s="35">
        <v>0.51</v>
      </c>
      <c r="H113" s="138" t="s">
        <v>849</v>
      </c>
      <c r="J113" s="17"/>
    </row>
    <row r="114" spans="1:10" x14ac:dyDescent="0.3">
      <c r="A114" s="114" t="s">
        <v>98</v>
      </c>
      <c r="B114" s="35">
        <v>1</v>
      </c>
      <c r="C114" s="35">
        <v>1</v>
      </c>
      <c r="D114" s="35">
        <v>1</v>
      </c>
      <c r="E114" s="35">
        <v>1</v>
      </c>
      <c r="F114" s="35">
        <v>1</v>
      </c>
      <c r="G114" s="35">
        <v>1</v>
      </c>
      <c r="H114" s="138" t="s">
        <v>850</v>
      </c>
      <c r="J114" s="17"/>
    </row>
    <row r="115" spans="1:10" x14ac:dyDescent="0.3">
      <c r="A115" s="114" t="s">
        <v>99</v>
      </c>
      <c r="B115" s="35">
        <v>1</v>
      </c>
      <c r="C115" s="35">
        <v>1</v>
      </c>
      <c r="D115" s="35">
        <v>1</v>
      </c>
      <c r="E115" s="35">
        <v>1</v>
      </c>
      <c r="F115" s="35">
        <v>1</v>
      </c>
      <c r="G115" s="35">
        <v>1</v>
      </c>
      <c r="H115" s="138" t="s">
        <v>850</v>
      </c>
      <c r="J115" s="17"/>
    </row>
    <row r="116" spans="1:10" x14ac:dyDescent="0.3">
      <c r="A116" s="114" t="s">
        <v>97</v>
      </c>
      <c r="B116" s="35">
        <v>1</v>
      </c>
      <c r="C116" s="35">
        <v>1</v>
      </c>
      <c r="D116" s="35">
        <v>1</v>
      </c>
      <c r="E116" s="35">
        <v>1</v>
      </c>
      <c r="F116" s="35">
        <v>1</v>
      </c>
      <c r="G116" s="35">
        <v>1</v>
      </c>
      <c r="H116" s="138" t="s">
        <v>850</v>
      </c>
      <c r="J116" s="17"/>
    </row>
    <row r="117" spans="1:10" x14ac:dyDescent="0.3">
      <c r="A117" s="114" t="s">
        <v>582</v>
      </c>
      <c r="B117" s="35">
        <v>1</v>
      </c>
      <c r="C117" s="35">
        <v>1</v>
      </c>
      <c r="D117" s="35">
        <v>1</v>
      </c>
      <c r="E117" s="35">
        <v>1</v>
      </c>
      <c r="F117" s="35">
        <v>1</v>
      </c>
      <c r="G117" s="35">
        <v>1</v>
      </c>
      <c r="H117" s="138" t="s">
        <v>850</v>
      </c>
      <c r="J117" s="17"/>
    </row>
    <row r="118" spans="1:10" x14ac:dyDescent="0.3">
      <c r="A118" s="114" t="s">
        <v>211</v>
      </c>
      <c r="B118" s="35">
        <v>0.85</v>
      </c>
      <c r="C118" s="35">
        <v>0.85</v>
      </c>
      <c r="D118" s="35">
        <v>0.85</v>
      </c>
      <c r="E118" s="35">
        <v>0.85</v>
      </c>
      <c r="F118" s="35">
        <v>0.85</v>
      </c>
      <c r="G118" s="35">
        <v>0.85</v>
      </c>
      <c r="H118" s="138" t="s">
        <v>843</v>
      </c>
    </row>
    <row r="119" spans="1:10" x14ac:dyDescent="0.3">
      <c r="A119" s="114" t="s">
        <v>212</v>
      </c>
      <c r="B119" s="35">
        <v>0.75</v>
      </c>
      <c r="C119" s="35">
        <v>0.75</v>
      </c>
      <c r="D119" s="35">
        <v>0.75</v>
      </c>
      <c r="E119" s="35">
        <v>0.75</v>
      </c>
      <c r="F119" s="35">
        <v>0.75</v>
      </c>
      <c r="G119" s="35">
        <v>0.75</v>
      </c>
      <c r="H119" s="138" t="s">
        <v>816</v>
      </c>
      <c r="J119" s="17"/>
    </row>
    <row r="120" spans="1:10" x14ac:dyDescent="0.3">
      <c r="A120" s="114" t="s">
        <v>139</v>
      </c>
      <c r="B120" s="35">
        <v>0.997</v>
      </c>
      <c r="C120" s="35">
        <v>0.997</v>
      </c>
      <c r="D120" s="35">
        <v>0.997</v>
      </c>
      <c r="E120" s="35">
        <v>0.997</v>
      </c>
      <c r="F120" s="35">
        <v>0.997</v>
      </c>
      <c r="G120" s="35">
        <v>0.997</v>
      </c>
      <c r="H120" s="138" t="s">
        <v>803</v>
      </c>
      <c r="J120" s="17"/>
    </row>
    <row r="121" spans="1:10" x14ac:dyDescent="0.3">
      <c r="A121" s="114" t="s">
        <v>140</v>
      </c>
      <c r="B121" s="35">
        <v>0.996</v>
      </c>
      <c r="C121" s="35">
        <v>0.996</v>
      </c>
      <c r="D121" s="35">
        <v>0.996</v>
      </c>
      <c r="E121" s="35">
        <v>0.996</v>
      </c>
      <c r="F121" s="35">
        <v>0.996</v>
      </c>
      <c r="G121" s="35">
        <v>0.996</v>
      </c>
      <c r="H121" s="138" t="s">
        <v>803</v>
      </c>
      <c r="J121" s="17"/>
    </row>
    <row r="122" spans="1:10" x14ac:dyDescent="0.3">
      <c r="A122" s="114" t="s">
        <v>141</v>
      </c>
      <c r="B122" s="35">
        <v>0.99399999999999999</v>
      </c>
      <c r="C122" s="35">
        <v>0.99399999999999999</v>
      </c>
      <c r="D122" s="35">
        <v>0.99399999999999999</v>
      </c>
      <c r="E122" s="35">
        <v>0.99399999999999999</v>
      </c>
      <c r="F122" s="35">
        <v>0.99399999999999999</v>
      </c>
      <c r="G122" s="35">
        <v>0.99399999999999999</v>
      </c>
      <c r="H122" s="138" t="s">
        <v>803</v>
      </c>
      <c r="J122" s="17"/>
    </row>
    <row r="123" spans="1:10" x14ac:dyDescent="0.3">
      <c r="A123" s="114" t="s">
        <v>142</v>
      </c>
      <c r="B123" s="35">
        <v>0.996</v>
      </c>
      <c r="C123" s="35">
        <v>0.996</v>
      </c>
      <c r="D123" s="35">
        <v>0.996</v>
      </c>
      <c r="E123" s="35">
        <v>0.996</v>
      </c>
      <c r="F123" s="35">
        <v>0.996</v>
      </c>
      <c r="G123" s="35">
        <v>0.996</v>
      </c>
      <c r="H123" s="138" t="s">
        <v>803</v>
      </c>
      <c r="J123" s="17"/>
    </row>
    <row r="124" spans="1:10" x14ac:dyDescent="0.3">
      <c r="A124" s="114" t="s">
        <v>143</v>
      </c>
      <c r="B124" s="35">
        <v>1</v>
      </c>
      <c r="C124" s="35">
        <v>1</v>
      </c>
      <c r="D124" s="35">
        <v>1</v>
      </c>
      <c r="E124" s="35">
        <v>1</v>
      </c>
      <c r="F124" s="35">
        <v>1</v>
      </c>
      <c r="G124" s="35">
        <v>1</v>
      </c>
      <c r="H124" s="138" t="s">
        <v>803</v>
      </c>
      <c r="J124" s="17"/>
    </row>
    <row r="125" spans="1:10" x14ac:dyDescent="0.3">
      <c r="A125" s="114" t="s">
        <v>144</v>
      </c>
      <c r="B125" s="35">
        <v>1</v>
      </c>
      <c r="C125" s="35">
        <v>1</v>
      </c>
      <c r="D125" s="35">
        <v>1</v>
      </c>
      <c r="E125" s="35">
        <v>1</v>
      </c>
      <c r="F125" s="35">
        <v>1</v>
      </c>
      <c r="G125" s="35">
        <v>1</v>
      </c>
      <c r="H125" s="138" t="s">
        <v>803</v>
      </c>
      <c r="J125" s="17"/>
    </row>
    <row r="126" spans="1:10" x14ac:dyDescent="0.3">
      <c r="J126" s="17"/>
    </row>
    <row r="127" spans="1:10" x14ac:dyDescent="0.3">
      <c r="J127" s="17"/>
    </row>
    <row r="128" spans="1:10" x14ac:dyDescent="0.3">
      <c r="A128" s="78" t="s">
        <v>529</v>
      </c>
      <c r="B128" s="143" t="s">
        <v>826</v>
      </c>
    </row>
    <row r="129" spans="1:14" x14ac:dyDescent="0.3">
      <c r="A129" s="76" t="s">
        <v>211</v>
      </c>
      <c r="B129" s="138" t="s">
        <v>847</v>
      </c>
    </row>
    <row r="130" spans="1:14" x14ac:dyDescent="0.3">
      <c r="A130" s="76" t="s">
        <v>212</v>
      </c>
      <c r="B130" s="138" t="s">
        <v>849</v>
      </c>
    </row>
    <row r="133" spans="1:14" x14ac:dyDescent="0.3">
      <c r="A133" s="77" t="s">
        <v>562</v>
      </c>
      <c r="C133" s="144" t="s">
        <v>826</v>
      </c>
    </row>
    <row r="134" spans="1:14" x14ac:dyDescent="0.3">
      <c r="A134" s="77" t="s">
        <v>561</v>
      </c>
      <c r="C134" s="144"/>
    </row>
    <row r="135" spans="1:14" x14ac:dyDescent="0.3">
      <c r="A135" s="76" t="s">
        <v>214</v>
      </c>
      <c r="B135" s="3">
        <v>0.8</v>
      </c>
      <c r="C135" s="138" t="s">
        <v>852</v>
      </c>
      <c r="M135" s="3">
        <v>0.8</v>
      </c>
      <c r="N135" t="s">
        <v>445</v>
      </c>
    </row>
    <row r="136" spans="1:14" x14ac:dyDescent="0.3">
      <c r="A136" s="76" t="s">
        <v>652</v>
      </c>
      <c r="B136" s="3">
        <v>0.91</v>
      </c>
      <c r="C136" s="138" t="s">
        <v>843</v>
      </c>
      <c r="H136" s="4"/>
      <c r="M136" s="3">
        <v>0.87</v>
      </c>
      <c r="N136" t="s">
        <v>676</v>
      </c>
    </row>
    <row r="137" spans="1:14" x14ac:dyDescent="0.3">
      <c r="A137" s="76" t="s">
        <v>207</v>
      </c>
      <c r="B137" s="3">
        <v>0.754</v>
      </c>
      <c r="C137" s="138" t="s">
        <v>843</v>
      </c>
      <c r="H137" s="4"/>
      <c r="M137" s="3">
        <v>0.78</v>
      </c>
      <c r="N137" s="79" t="s">
        <v>564</v>
      </c>
    </row>
    <row r="138" spans="1:14" x14ac:dyDescent="0.3">
      <c r="A138" s="76" t="s">
        <v>208</v>
      </c>
      <c r="B138" s="3">
        <v>0.93500000000000005</v>
      </c>
      <c r="C138" s="138" t="s">
        <v>843</v>
      </c>
      <c r="H138" s="4"/>
      <c r="M138" s="3">
        <v>0.95</v>
      </c>
      <c r="N138" s="79" t="s">
        <v>100</v>
      </c>
    </row>
    <row r="139" spans="1:14" x14ac:dyDescent="0.3">
      <c r="A139" s="76" t="s">
        <v>210</v>
      </c>
      <c r="B139" s="3">
        <v>0.91</v>
      </c>
      <c r="C139" s="138" t="s">
        <v>843</v>
      </c>
      <c r="M139" s="3">
        <v>0.9</v>
      </c>
      <c r="N139" s="79"/>
    </row>
    <row r="140" spans="1:14" x14ac:dyDescent="0.3">
      <c r="A140" s="76" t="s">
        <v>132</v>
      </c>
      <c r="B140" s="3">
        <v>0.88</v>
      </c>
      <c r="C140" s="138" t="s">
        <v>843</v>
      </c>
      <c r="H140" s="4"/>
      <c r="M140" s="3">
        <v>0.88</v>
      </c>
      <c r="N140" s="79"/>
    </row>
    <row r="141" spans="1:14" x14ac:dyDescent="0.3">
      <c r="A141" s="76" t="s">
        <v>288</v>
      </c>
      <c r="B141" s="3">
        <v>0.85</v>
      </c>
      <c r="C141" s="138" t="s">
        <v>843</v>
      </c>
      <c r="H141" s="4"/>
      <c r="M141" s="3">
        <v>0.85</v>
      </c>
      <c r="N141" s="79"/>
    </row>
    <row r="142" spans="1:14" x14ac:dyDescent="0.3">
      <c r="A142" s="76" t="s">
        <v>581</v>
      </c>
      <c r="B142" s="3">
        <v>0.91</v>
      </c>
      <c r="C142" s="138" t="s">
        <v>843</v>
      </c>
      <c r="H142" s="4"/>
      <c r="M142" s="3">
        <v>0.87</v>
      </c>
      <c r="N142" s="79"/>
    </row>
    <row r="143" spans="1:14" x14ac:dyDescent="0.3">
      <c r="A143" s="76" t="s">
        <v>98</v>
      </c>
      <c r="B143" s="3">
        <v>0.14399999999999999</v>
      </c>
      <c r="C143" s="138" t="s">
        <v>843</v>
      </c>
      <c r="H143" s="4"/>
      <c r="M143" s="3">
        <v>0.25</v>
      </c>
      <c r="N143" s="79" t="s">
        <v>564</v>
      </c>
    </row>
    <row r="144" spans="1:14" x14ac:dyDescent="0.3">
      <c r="A144" s="76" t="s">
        <v>99</v>
      </c>
      <c r="B144" s="3">
        <v>0.14399999999999999</v>
      </c>
      <c r="C144" s="138" t="s">
        <v>843</v>
      </c>
      <c r="H144" s="4"/>
      <c r="M144" s="3">
        <v>0.36</v>
      </c>
      <c r="N144" s="79"/>
    </row>
    <row r="145" spans="1:16" x14ac:dyDescent="0.3">
      <c r="A145" s="76" t="s">
        <v>97</v>
      </c>
      <c r="B145" s="3">
        <v>0</v>
      </c>
      <c r="C145" s="138" t="s">
        <v>843</v>
      </c>
      <c r="H145" s="4"/>
      <c r="M145" s="3">
        <v>0.14000000000000001</v>
      </c>
      <c r="N145" s="79"/>
    </row>
    <row r="146" spans="1:16" x14ac:dyDescent="0.3">
      <c r="A146" s="76" t="s">
        <v>582</v>
      </c>
      <c r="B146" s="3">
        <v>0.91</v>
      </c>
      <c r="C146" s="138" t="s">
        <v>843</v>
      </c>
      <c r="M146" s="3">
        <v>1</v>
      </c>
      <c r="N146" s="3"/>
    </row>
    <row r="147" spans="1:16" x14ac:dyDescent="0.3">
      <c r="A147" s="76" t="s">
        <v>211</v>
      </c>
      <c r="B147" s="3">
        <v>0.48799999999999999</v>
      </c>
      <c r="C147" s="138" t="s">
        <v>843</v>
      </c>
      <c r="H147" s="4"/>
      <c r="M147" s="3">
        <v>0.8</v>
      </c>
      <c r="N147" s="79"/>
    </row>
    <row r="148" spans="1:16" x14ac:dyDescent="0.3">
      <c r="A148" s="76" t="s">
        <v>212</v>
      </c>
      <c r="B148" s="3">
        <v>0.48799999999999999</v>
      </c>
      <c r="C148" s="138" t="s">
        <v>843</v>
      </c>
      <c r="H148" s="4"/>
      <c r="M148" s="3">
        <v>1</v>
      </c>
      <c r="N148" s="79"/>
    </row>
    <row r="151" spans="1:16" x14ac:dyDescent="0.3">
      <c r="A151" s="110" t="s">
        <v>757</v>
      </c>
      <c r="B151" s="111"/>
      <c r="C151" s="111"/>
      <c r="D151" s="111"/>
      <c r="E151" s="27"/>
      <c r="F151" s="27"/>
      <c r="G151" s="27"/>
      <c r="H151" s="27"/>
      <c r="I151" s="27"/>
    </row>
    <row r="152" spans="1:16" x14ac:dyDescent="0.3">
      <c r="A152" s="110" t="s">
        <v>586</v>
      </c>
      <c r="B152" s="111"/>
      <c r="C152" s="111"/>
      <c r="D152" s="111"/>
      <c r="E152" s="27"/>
      <c r="F152" s="27"/>
      <c r="G152" s="27"/>
      <c r="H152" s="27"/>
      <c r="I152" s="27"/>
    </row>
    <row r="153" spans="1:16" x14ac:dyDescent="0.3">
      <c r="A153" s="112"/>
      <c r="B153" s="35" t="s">
        <v>348</v>
      </c>
      <c r="C153" s="35" t="s">
        <v>349</v>
      </c>
      <c r="D153" s="35" t="s">
        <v>350</v>
      </c>
      <c r="E153" s="35" t="s">
        <v>351</v>
      </c>
      <c r="F153" s="35" t="s">
        <v>352</v>
      </c>
      <c r="G153" s="35" t="s">
        <v>353</v>
      </c>
      <c r="H153" s="35"/>
      <c r="I153" s="143" t="s">
        <v>826</v>
      </c>
      <c r="K153" s="35" t="s">
        <v>348</v>
      </c>
      <c r="L153" s="35" t="s">
        <v>349</v>
      </c>
      <c r="M153" s="35" t="s">
        <v>350</v>
      </c>
      <c r="N153" s="35" t="s">
        <v>351</v>
      </c>
      <c r="O153" s="35" t="s">
        <v>352</v>
      </c>
      <c r="P153" s="35" t="s">
        <v>353</v>
      </c>
    </row>
    <row r="154" spans="1:16" x14ac:dyDescent="0.3">
      <c r="A154" s="113" t="s">
        <v>130</v>
      </c>
      <c r="B154" s="35"/>
      <c r="C154" s="35">
        <v>10000</v>
      </c>
      <c r="D154" s="35"/>
      <c r="E154" s="35">
        <v>20000</v>
      </c>
      <c r="F154" s="35"/>
      <c r="G154" s="35">
        <v>20000</v>
      </c>
      <c r="I154" s="141" t="s">
        <v>855</v>
      </c>
      <c r="J154">
        <f>SUM(C154:G154)</f>
        <v>50000</v>
      </c>
      <c r="K154" s="35"/>
      <c r="L154" s="35">
        <v>10000</v>
      </c>
      <c r="M154" s="35"/>
      <c r="N154" s="35">
        <v>20000</v>
      </c>
      <c r="O154" s="35"/>
      <c r="P154" s="35">
        <v>20000</v>
      </c>
    </row>
    <row r="155" spans="1:16" x14ac:dyDescent="0.3">
      <c r="A155" s="113" t="s">
        <v>131</v>
      </c>
      <c r="B155" s="35"/>
      <c r="C155" s="35">
        <v>10000</v>
      </c>
      <c r="D155" s="35"/>
      <c r="E155" s="35">
        <v>20000</v>
      </c>
      <c r="F155" s="35"/>
      <c r="G155" s="35">
        <v>20000</v>
      </c>
      <c r="I155" s="141" t="s">
        <v>855</v>
      </c>
      <c r="J155">
        <f t="shared" ref="J155:J180" si="0">SUM(C155:G155)</f>
        <v>50000</v>
      </c>
      <c r="K155" s="35"/>
      <c r="L155" s="35">
        <v>10000</v>
      </c>
      <c r="M155" s="35"/>
      <c r="N155" s="35">
        <v>20000</v>
      </c>
      <c r="O155" s="35"/>
      <c r="P155" s="35">
        <v>20000</v>
      </c>
    </row>
    <row r="156" spans="1:16" x14ac:dyDescent="0.3">
      <c r="A156" s="113" t="s">
        <v>213</v>
      </c>
      <c r="B156" s="35"/>
      <c r="C156" s="35">
        <v>10000</v>
      </c>
      <c r="D156" s="35"/>
      <c r="E156" s="35">
        <v>20000</v>
      </c>
      <c r="F156" s="35"/>
      <c r="G156" s="35">
        <v>20000</v>
      </c>
      <c r="I156" s="141" t="s">
        <v>855</v>
      </c>
      <c r="J156">
        <f t="shared" si="0"/>
        <v>50000</v>
      </c>
      <c r="K156" s="35"/>
      <c r="L156" s="35">
        <v>10000</v>
      </c>
      <c r="M156" s="35"/>
      <c r="N156" s="35">
        <v>20000</v>
      </c>
      <c r="O156" s="35"/>
      <c r="P156" s="35">
        <v>20000</v>
      </c>
    </row>
    <row r="157" spans="1:16" x14ac:dyDescent="0.3">
      <c r="A157" s="113" t="s">
        <v>133</v>
      </c>
      <c r="B157" s="35"/>
      <c r="C157" s="35">
        <v>10000</v>
      </c>
      <c r="D157" s="35"/>
      <c r="E157" s="35">
        <v>20000</v>
      </c>
      <c r="F157" s="35"/>
      <c r="G157" s="35">
        <v>20000</v>
      </c>
      <c r="I157" s="141" t="s">
        <v>855</v>
      </c>
      <c r="J157">
        <f t="shared" si="0"/>
        <v>50000</v>
      </c>
      <c r="K157" s="35"/>
      <c r="L157" s="35">
        <v>10000</v>
      </c>
      <c r="M157" s="35"/>
      <c r="N157" s="35">
        <v>20000</v>
      </c>
      <c r="O157" s="35"/>
      <c r="P157" s="35">
        <v>20000</v>
      </c>
    </row>
    <row r="158" spans="1:16" x14ac:dyDescent="0.3">
      <c r="A158" s="113" t="s">
        <v>652</v>
      </c>
      <c r="B158" s="35"/>
      <c r="C158" s="35">
        <v>10000</v>
      </c>
      <c r="D158" s="35"/>
      <c r="E158" s="35">
        <v>20000</v>
      </c>
      <c r="F158" s="35"/>
      <c r="G158" s="35">
        <v>20000</v>
      </c>
      <c r="I158" s="141" t="s">
        <v>800</v>
      </c>
      <c r="J158">
        <f t="shared" si="0"/>
        <v>50000</v>
      </c>
      <c r="K158" s="35"/>
      <c r="L158" s="35">
        <v>10000</v>
      </c>
      <c r="M158" s="35"/>
      <c r="N158" s="35">
        <v>20000</v>
      </c>
      <c r="O158" s="35"/>
      <c r="P158" s="35">
        <v>20000</v>
      </c>
    </row>
    <row r="159" spans="1:16" x14ac:dyDescent="0.3">
      <c r="A159" s="113" t="s">
        <v>214</v>
      </c>
      <c r="B159" s="35"/>
      <c r="C159" s="35">
        <v>10000</v>
      </c>
      <c r="D159" s="35"/>
      <c r="E159" s="35">
        <v>20000</v>
      </c>
      <c r="F159" s="35"/>
      <c r="G159" s="35">
        <v>20000</v>
      </c>
      <c r="I159" s="141" t="s">
        <v>800</v>
      </c>
      <c r="J159">
        <f t="shared" si="0"/>
        <v>50000</v>
      </c>
      <c r="K159" s="35"/>
      <c r="L159" s="35">
        <v>10000</v>
      </c>
      <c r="M159" s="35"/>
      <c r="N159" s="35">
        <v>20000</v>
      </c>
      <c r="O159" s="35"/>
      <c r="P159" s="35">
        <v>20000</v>
      </c>
    </row>
    <row r="160" spans="1:16" x14ac:dyDescent="0.3">
      <c r="A160" s="113" t="s">
        <v>207</v>
      </c>
      <c r="B160" s="35"/>
      <c r="C160" s="35">
        <v>6666</v>
      </c>
      <c r="D160" s="35"/>
      <c r="E160" s="35">
        <v>6666</v>
      </c>
      <c r="F160" s="35"/>
      <c r="G160" s="35">
        <v>6666</v>
      </c>
      <c r="I160" s="141" t="s">
        <v>800</v>
      </c>
      <c r="J160">
        <f t="shared" si="0"/>
        <v>19998</v>
      </c>
      <c r="K160" s="35"/>
      <c r="L160" s="35">
        <v>3333</v>
      </c>
      <c r="M160" s="35"/>
      <c r="N160" s="35">
        <v>3333</v>
      </c>
      <c r="O160" s="35"/>
      <c r="P160" s="35">
        <v>3333</v>
      </c>
    </row>
    <row r="161" spans="1:16" x14ac:dyDescent="0.3">
      <c r="A161" s="113" t="s">
        <v>208</v>
      </c>
      <c r="B161" s="35"/>
      <c r="C161" s="35">
        <v>0</v>
      </c>
      <c r="D161" s="35"/>
      <c r="E161" s="35">
        <v>0</v>
      </c>
      <c r="F161" s="35"/>
      <c r="G161" s="35">
        <v>0</v>
      </c>
      <c r="I161" s="141" t="s">
        <v>800</v>
      </c>
      <c r="J161">
        <f t="shared" si="0"/>
        <v>0</v>
      </c>
      <c r="K161" s="35"/>
      <c r="L161" s="35">
        <v>10000</v>
      </c>
      <c r="M161" s="35"/>
      <c r="N161" s="35">
        <v>10000</v>
      </c>
      <c r="O161" s="35"/>
      <c r="P161" s="35">
        <v>10000</v>
      </c>
    </row>
    <row r="162" spans="1:16" x14ac:dyDescent="0.3">
      <c r="A162" s="113" t="s">
        <v>210</v>
      </c>
      <c r="B162" s="35"/>
      <c r="C162" s="35">
        <v>10000</v>
      </c>
      <c r="D162" s="35"/>
      <c r="E162" s="35">
        <v>10000</v>
      </c>
      <c r="F162" s="35"/>
      <c r="G162" s="35">
        <v>10000</v>
      </c>
      <c r="I162" s="141" t="s">
        <v>854</v>
      </c>
      <c r="J162">
        <f t="shared" si="0"/>
        <v>30000</v>
      </c>
      <c r="K162" s="35"/>
      <c r="L162" s="35">
        <v>10000</v>
      </c>
      <c r="M162" s="35"/>
      <c r="N162" s="35">
        <v>10000</v>
      </c>
      <c r="O162" s="35"/>
      <c r="P162" s="35">
        <v>10000</v>
      </c>
    </row>
    <row r="163" spans="1:16" x14ac:dyDescent="0.3">
      <c r="A163" s="113" t="s">
        <v>132</v>
      </c>
      <c r="B163" s="35"/>
      <c r="C163" s="35">
        <v>2000</v>
      </c>
      <c r="D163" s="35"/>
      <c r="E163" s="35">
        <v>2000</v>
      </c>
      <c r="F163" s="35"/>
      <c r="G163" s="35">
        <v>2000</v>
      </c>
      <c r="I163" s="141" t="s">
        <v>843</v>
      </c>
      <c r="J163">
        <f t="shared" si="0"/>
        <v>6000</v>
      </c>
      <c r="K163" s="35"/>
      <c r="L163" s="35">
        <v>2000</v>
      </c>
      <c r="M163" s="35"/>
      <c r="N163" s="35">
        <v>2000</v>
      </c>
      <c r="O163" s="35"/>
      <c r="P163" s="35">
        <v>2000</v>
      </c>
    </row>
    <row r="164" spans="1:16" x14ac:dyDescent="0.3">
      <c r="A164" s="113" t="s">
        <v>288</v>
      </c>
      <c r="B164" s="35"/>
      <c r="C164" s="35">
        <v>0</v>
      </c>
      <c r="D164" s="35"/>
      <c r="E164" s="35">
        <v>0</v>
      </c>
      <c r="F164" s="35"/>
      <c r="G164" s="35">
        <v>0</v>
      </c>
      <c r="I164" s="141" t="s">
        <v>800</v>
      </c>
      <c r="J164">
        <f t="shared" si="0"/>
        <v>0</v>
      </c>
      <c r="K164" s="35"/>
      <c r="L164" s="35">
        <v>0</v>
      </c>
      <c r="M164" s="35"/>
      <c r="N164" s="35">
        <v>0</v>
      </c>
      <c r="O164" s="35"/>
      <c r="P164" s="35">
        <v>0</v>
      </c>
    </row>
    <row r="165" spans="1:16" x14ac:dyDescent="0.3">
      <c r="A165" s="113" t="s">
        <v>581</v>
      </c>
      <c r="B165" s="35"/>
      <c r="C165" s="35">
        <v>0</v>
      </c>
      <c r="D165" s="35"/>
      <c r="E165" s="35">
        <v>0</v>
      </c>
      <c r="F165" s="35"/>
      <c r="G165" s="35">
        <v>0</v>
      </c>
      <c r="I165" s="141" t="s">
        <v>800</v>
      </c>
      <c r="J165">
        <f t="shared" si="0"/>
        <v>0</v>
      </c>
      <c r="K165" s="35"/>
      <c r="L165" s="35">
        <v>0</v>
      </c>
      <c r="M165" s="35"/>
      <c r="N165" s="35">
        <v>0</v>
      </c>
      <c r="O165" s="35"/>
      <c r="P165" s="35">
        <v>0</v>
      </c>
    </row>
    <row r="166" spans="1:16" x14ac:dyDescent="0.3">
      <c r="A166" s="113" t="s">
        <v>98</v>
      </c>
      <c r="B166" s="35"/>
      <c r="C166" s="35">
        <v>5000</v>
      </c>
      <c r="D166" s="35"/>
      <c r="E166" s="35">
        <v>5000</v>
      </c>
      <c r="F166" s="35"/>
      <c r="G166" s="35">
        <v>5000</v>
      </c>
      <c r="I166" s="141" t="s">
        <v>800</v>
      </c>
      <c r="J166">
        <f t="shared" si="0"/>
        <v>15000</v>
      </c>
      <c r="K166" s="35"/>
      <c r="L166" s="35">
        <v>5000</v>
      </c>
      <c r="M166" s="35"/>
      <c r="N166" s="35">
        <v>5000</v>
      </c>
      <c r="O166" s="35"/>
      <c r="P166" s="35">
        <v>5000</v>
      </c>
    </row>
    <row r="167" spans="1:16" x14ac:dyDescent="0.3">
      <c r="A167" s="113" t="s">
        <v>99</v>
      </c>
      <c r="B167" s="35"/>
      <c r="C167" s="35">
        <v>30000</v>
      </c>
      <c r="D167" s="35"/>
      <c r="E167" s="35">
        <v>30000</v>
      </c>
      <c r="F167" s="35"/>
      <c r="G167" s="35">
        <v>30000</v>
      </c>
      <c r="I167" s="141" t="s">
        <v>800</v>
      </c>
      <c r="J167">
        <f t="shared" si="0"/>
        <v>90000</v>
      </c>
      <c r="K167" s="35"/>
      <c r="L167" s="35">
        <v>30000</v>
      </c>
      <c r="M167" s="35"/>
      <c r="N167" s="35">
        <v>30000</v>
      </c>
      <c r="O167" s="35"/>
      <c r="P167" s="35">
        <v>30000</v>
      </c>
    </row>
    <row r="168" spans="1:16" x14ac:dyDescent="0.3">
      <c r="A168" s="113" t="s">
        <v>97</v>
      </c>
      <c r="B168" s="35"/>
      <c r="C168" s="35">
        <v>30000</v>
      </c>
      <c r="D168" s="35"/>
      <c r="E168" s="35">
        <v>30000</v>
      </c>
      <c r="F168" s="35"/>
      <c r="G168" s="35">
        <v>30000</v>
      </c>
      <c r="I168" s="141" t="s">
        <v>800</v>
      </c>
      <c r="J168">
        <f t="shared" si="0"/>
        <v>90000</v>
      </c>
      <c r="K168" s="35"/>
      <c r="L168" s="35">
        <v>30000</v>
      </c>
      <c r="M168" s="35"/>
      <c r="N168" s="35">
        <v>30000</v>
      </c>
      <c r="O168" s="35"/>
      <c r="P168" s="35">
        <v>30000</v>
      </c>
    </row>
    <row r="169" spans="1:16" x14ac:dyDescent="0.3">
      <c r="A169" s="113" t="s">
        <v>582</v>
      </c>
      <c r="B169" s="35"/>
      <c r="C169" s="35">
        <v>0</v>
      </c>
      <c r="D169" s="35"/>
      <c r="E169" s="35">
        <v>0</v>
      </c>
      <c r="F169" s="35"/>
      <c r="G169" s="35">
        <v>0</v>
      </c>
      <c r="I169" s="141" t="s">
        <v>800</v>
      </c>
      <c r="J169">
        <f t="shared" si="0"/>
        <v>0</v>
      </c>
      <c r="K169" s="35"/>
      <c r="L169" s="35">
        <v>0</v>
      </c>
      <c r="M169" s="35"/>
      <c r="N169" s="35">
        <v>0</v>
      </c>
      <c r="O169" s="35"/>
      <c r="P169" s="35">
        <v>0</v>
      </c>
    </row>
    <row r="170" spans="1:16" x14ac:dyDescent="0.3">
      <c r="A170" s="113" t="s">
        <v>211</v>
      </c>
      <c r="B170" s="35"/>
      <c r="C170" s="35">
        <v>30000</v>
      </c>
      <c r="D170" s="35"/>
      <c r="E170" s="35">
        <v>30000</v>
      </c>
      <c r="F170" s="35"/>
      <c r="G170" s="35">
        <v>30000</v>
      </c>
      <c r="I170" s="141" t="s">
        <v>800</v>
      </c>
      <c r="J170">
        <f t="shared" si="0"/>
        <v>90000</v>
      </c>
      <c r="K170" s="35"/>
      <c r="L170" s="35">
        <v>30000</v>
      </c>
      <c r="M170" s="35"/>
      <c r="N170" s="35">
        <v>30000</v>
      </c>
      <c r="O170" s="35"/>
      <c r="P170" s="35">
        <v>30000</v>
      </c>
    </row>
    <row r="171" spans="1:16" x14ac:dyDescent="0.3">
      <c r="A171" s="113" t="s">
        <v>212</v>
      </c>
      <c r="B171" s="35"/>
      <c r="C171" s="35">
        <v>0</v>
      </c>
      <c r="D171" s="35"/>
      <c r="E171" s="35">
        <v>0</v>
      </c>
      <c r="F171" s="35"/>
      <c r="G171" s="35">
        <v>0</v>
      </c>
      <c r="I171" s="141" t="s">
        <v>850</v>
      </c>
      <c r="J171">
        <f t="shared" si="0"/>
        <v>0</v>
      </c>
      <c r="K171" s="35"/>
      <c r="L171" s="35">
        <v>0</v>
      </c>
      <c r="M171" s="35"/>
      <c r="N171" s="35">
        <v>0</v>
      </c>
      <c r="O171" s="35"/>
      <c r="P171" s="35">
        <v>0</v>
      </c>
    </row>
    <row r="172" spans="1:16" x14ac:dyDescent="0.3">
      <c r="A172" s="113" t="s">
        <v>139</v>
      </c>
      <c r="B172" s="35"/>
      <c r="C172" s="35">
        <v>218000</v>
      </c>
      <c r="D172" s="35"/>
      <c r="E172" s="35">
        <v>218000</v>
      </c>
      <c r="F172" s="35"/>
      <c r="G172" s="35">
        <v>218000</v>
      </c>
      <c r="I172" s="141" t="s">
        <v>796</v>
      </c>
      <c r="J172">
        <f t="shared" si="0"/>
        <v>654000</v>
      </c>
      <c r="K172" s="35"/>
      <c r="L172" s="35">
        <v>218000</v>
      </c>
      <c r="M172" s="35"/>
      <c r="N172" s="35">
        <v>218000</v>
      </c>
      <c r="O172" s="35"/>
      <c r="P172" s="35">
        <v>218000</v>
      </c>
    </row>
    <row r="173" spans="1:16" x14ac:dyDescent="0.3">
      <c r="A173" s="113" t="s">
        <v>140</v>
      </c>
      <c r="B173" s="35"/>
      <c r="C173" s="35">
        <v>311000</v>
      </c>
      <c r="D173" s="35"/>
      <c r="E173" s="35">
        <v>311000</v>
      </c>
      <c r="F173" s="35"/>
      <c r="G173" s="35">
        <v>311000</v>
      </c>
      <c r="I173" s="141" t="s">
        <v>796</v>
      </c>
      <c r="J173">
        <f t="shared" si="0"/>
        <v>933000</v>
      </c>
      <c r="K173" s="35"/>
      <c r="L173" s="35">
        <v>311000</v>
      </c>
      <c r="M173" s="35"/>
      <c r="N173" s="35">
        <v>311000</v>
      </c>
      <c r="O173" s="35"/>
      <c r="P173" s="35">
        <v>311000</v>
      </c>
    </row>
    <row r="174" spans="1:16" x14ac:dyDescent="0.3">
      <c r="A174" s="113" t="s">
        <v>141</v>
      </c>
      <c r="B174" s="35"/>
      <c r="C174" s="35">
        <v>267000</v>
      </c>
      <c r="D174" s="35"/>
      <c r="E174" s="35">
        <v>267000</v>
      </c>
      <c r="F174" s="35"/>
      <c r="G174" s="35">
        <v>267000</v>
      </c>
      <c r="I174" s="141" t="s">
        <v>796</v>
      </c>
      <c r="J174">
        <f t="shared" si="0"/>
        <v>801000</v>
      </c>
      <c r="K174" s="35"/>
      <c r="L174" s="35">
        <v>267000</v>
      </c>
      <c r="M174" s="35"/>
      <c r="N174" s="35">
        <v>267000</v>
      </c>
      <c r="O174" s="35"/>
      <c r="P174" s="35">
        <v>267000</v>
      </c>
    </row>
    <row r="175" spans="1:16" x14ac:dyDescent="0.3">
      <c r="A175" s="113" t="s">
        <v>142</v>
      </c>
      <c r="B175" s="35"/>
      <c r="C175" s="35">
        <v>198000</v>
      </c>
      <c r="D175" s="35"/>
      <c r="E175" s="35">
        <v>198000</v>
      </c>
      <c r="F175" s="35"/>
      <c r="G175" s="35">
        <v>198000</v>
      </c>
      <c r="I175" s="141" t="s">
        <v>796</v>
      </c>
      <c r="J175">
        <f t="shared" si="0"/>
        <v>594000</v>
      </c>
      <c r="K175" s="35"/>
      <c r="L175" s="35">
        <v>198000</v>
      </c>
      <c r="M175" s="35"/>
      <c r="N175" s="35">
        <v>198000</v>
      </c>
      <c r="O175" s="35"/>
      <c r="P175" s="35">
        <v>198000</v>
      </c>
    </row>
    <row r="176" spans="1:16" x14ac:dyDescent="0.3">
      <c r="A176" s="113" t="s">
        <v>143</v>
      </c>
      <c r="B176" s="35"/>
      <c r="C176" s="35">
        <v>30000</v>
      </c>
      <c r="D176" s="35"/>
      <c r="E176" s="35">
        <v>30000</v>
      </c>
      <c r="F176" s="35"/>
      <c r="G176" s="35">
        <v>30000</v>
      </c>
      <c r="I176" s="141" t="s">
        <v>796</v>
      </c>
      <c r="J176">
        <f t="shared" si="0"/>
        <v>90000</v>
      </c>
      <c r="K176" s="35"/>
      <c r="L176" s="35">
        <v>30000</v>
      </c>
      <c r="M176" s="35"/>
      <c r="N176" s="35">
        <v>30000</v>
      </c>
      <c r="O176" s="35"/>
      <c r="P176" s="35">
        <v>30000</v>
      </c>
    </row>
    <row r="177" spans="1:16" x14ac:dyDescent="0.3">
      <c r="A177" s="113" t="s">
        <v>144</v>
      </c>
      <c r="B177" s="35"/>
      <c r="C177" s="35">
        <v>30000</v>
      </c>
      <c r="D177" s="35"/>
      <c r="E177" s="35">
        <v>30000</v>
      </c>
      <c r="F177" s="35"/>
      <c r="G177" s="35">
        <v>30000</v>
      </c>
      <c r="I177" s="141" t="s">
        <v>796</v>
      </c>
      <c r="J177">
        <f t="shared" si="0"/>
        <v>90000</v>
      </c>
      <c r="K177" s="35"/>
      <c r="L177" s="35">
        <v>30000</v>
      </c>
      <c r="M177" s="35"/>
      <c r="N177" s="35">
        <v>30000</v>
      </c>
      <c r="O177" s="35"/>
      <c r="P177" s="35">
        <v>30000</v>
      </c>
    </row>
    <row r="178" spans="1:16" x14ac:dyDescent="0.3">
      <c r="A178" s="113" t="s">
        <v>595</v>
      </c>
      <c r="B178" s="35"/>
      <c r="C178" s="35">
        <v>0</v>
      </c>
      <c r="D178" s="27"/>
      <c r="E178" s="35">
        <v>0</v>
      </c>
      <c r="F178" s="27"/>
      <c r="G178" s="35">
        <v>0</v>
      </c>
      <c r="I178" s="141" t="s">
        <v>800</v>
      </c>
      <c r="J178">
        <f t="shared" si="0"/>
        <v>0</v>
      </c>
      <c r="K178" s="35"/>
      <c r="L178" s="35">
        <v>0</v>
      </c>
      <c r="M178" s="35"/>
      <c r="N178" s="35">
        <v>0</v>
      </c>
      <c r="O178" s="35"/>
      <c r="P178" s="35">
        <v>0</v>
      </c>
    </row>
    <row r="179" spans="1:16" x14ac:dyDescent="0.3">
      <c r="A179" s="113" t="s">
        <v>596</v>
      </c>
      <c r="B179" s="35"/>
      <c r="C179" s="35">
        <v>5000</v>
      </c>
      <c r="D179" s="27"/>
      <c r="E179" s="35">
        <v>25000</v>
      </c>
      <c r="F179" s="27"/>
      <c r="G179" s="35">
        <v>25000</v>
      </c>
      <c r="I179" s="141" t="s">
        <v>800</v>
      </c>
      <c r="J179">
        <f t="shared" si="0"/>
        <v>55000</v>
      </c>
      <c r="K179" s="35"/>
      <c r="L179" s="35">
        <v>5000</v>
      </c>
      <c r="M179" s="35"/>
      <c r="N179" s="35">
        <v>25000</v>
      </c>
      <c r="O179" s="35"/>
      <c r="P179" s="35">
        <v>25000</v>
      </c>
    </row>
    <row r="180" spans="1:16" x14ac:dyDescent="0.3">
      <c r="A180" s="113" t="s">
        <v>597</v>
      </c>
      <c r="B180" s="35"/>
      <c r="C180" s="35">
        <v>600000</v>
      </c>
      <c r="D180" s="27"/>
      <c r="E180" s="35">
        <v>600000</v>
      </c>
      <c r="F180" s="27"/>
      <c r="G180" s="35">
        <v>600000</v>
      </c>
      <c r="I180" s="141" t="s">
        <v>800</v>
      </c>
      <c r="J180">
        <f t="shared" si="0"/>
        <v>1800000</v>
      </c>
      <c r="K180" s="35"/>
      <c r="L180" s="35">
        <v>600000</v>
      </c>
      <c r="M180" s="35"/>
      <c r="N180" s="35">
        <v>600000</v>
      </c>
      <c r="O180" s="35"/>
      <c r="P180" s="35">
        <v>600000</v>
      </c>
    </row>
    <row r="181" spans="1:16" x14ac:dyDescent="0.3">
      <c r="A181" s="113" t="s">
        <v>775</v>
      </c>
      <c r="B181" s="35"/>
      <c r="C181" s="35">
        <v>600000</v>
      </c>
      <c r="D181" s="27"/>
      <c r="E181" s="35">
        <v>600000</v>
      </c>
      <c r="F181" s="27"/>
      <c r="G181" s="35">
        <v>600000</v>
      </c>
      <c r="I181" s="141" t="s">
        <v>800</v>
      </c>
      <c r="K181" s="35"/>
      <c r="L181" s="35"/>
      <c r="M181" s="35"/>
      <c r="N181" s="35"/>
      <c r="O181" s="35"/>
      <c r="P181" s="35"/>
    </row>
    <row r="182" spans="1:16" x14ac:dyDescent="0.3">
      <c r="A182" s="113" t="s">
        <v>776</v>
      </c>
      <c r="B182" s="35"/>
      <c r="C182" s="35">
        <v>600000</v>
      </c>
      <c r="D182" s="27"/>
      <c r="E182" s="35">
        <v>600000</v>
      </c>
      <c r="F182" s="27"/>
      <c r="G182" s="35">
        <v>600000</v>
      </c>
      <c r="I182" s="141" t="s">
        <v>800</v>
      </c>
    </row>
    <row r="184" spans="1:16" x14ac:dyDescent="0.3">
      <c r="A184" s="77" t="s">
        <v>718</v>
      </c>
      <c r="C184" s="144" t="s">
        <v>826</v>
      </c>
      <c r="E184" s="77" t="s">
        <v>719</v>
      </c>
      <c r="G184" s="144" t="s">
        <v>826</v>
      </c>
    </row>
    <row r="185" spans="1:16" x14ac:dyDescent="0.3">
      <c r="A185" s="77" t="s">
        <v>717</v>
      </c>
      <c r="C185" s="144"/>
      <c r="E185" s="77" t="s">
        <v>720</v>
      </c>
      <c r="G185" s="144"/>
    </row>
    <row r="186" spans="1:16" x14ac:dyDescent="0.3">
      <c r="A186" s="76" t="s">
        <v>130</v>
      </c>
      <c r="B186" s="3">
        <v>0.1</v>
      </c>
      <c r="C186" s="138" t="s">
        <v>803</v>
      </c>
      <c r="E186" s="76" t="s">
        <v>130</v>
      </c>
      <c r="F186" s="3">
        <v>1</v>
      </c>
      <c r="G186" s="138" t="s">
        <v>803</v>
      </c>
    </row>
    <row r="187" spans="1:16" x14ac:dyDescent="0.3">
      <c r="A187" s="76" t="s">
        <v>131</v>
      </c>
      <c r="B187" s="3">
        <v>0.1</v>
      </c>
      <c r="C187" s="138" t="s">
        <v>803</v>
      </c>
      <c r="E187" s="76" t="s">
        <v>131</v>
      </c>
      <c r="F187" s="3">
        <v>1</v>
      </c>
      <c r="G187" s="138" t="s">
        <v>803</v>
      </c>
    </row>
    <row r="188" spans="1:16" x14ac:dyDescent="0.3">
      <c r="A188" s="76" t="s">
        <v>213</v>
      </c>
      <c r="B188" s="3">
        <v>0.1</v>
      </c>
      <c r="C188" s="138" t="s">
        <v>803</v>
      </c>
      <c r="E188" s="76" t="s">
        <v>213</v>
      </c>
      <c r="F188" s="3">
        <v>1</v>
      </c>
      <c r="G188" s="138" t="s">
        <v>803</v>
      </c>
    </row>
    <row r="189" spans="1:16" x14ac:dyDescent="0.3">
      <c r="A189" s="76" t="s">
        <v>133</v>
      </c>
      <c r="B189" s="3">
        <v>0.3</v>
      </c>
      <c r="C189" s="138" t="s">
        <v>803</v>
      </c>
      <c r="E189" s="76" t="s">
        <v>133</v>
      </c>
      <c r="F189" s="3">
        <v>1</v>
      </c>
      <c r="G189" s="138" t="s">
        <v>803</v>
      </c>
    </row>
    <row r="190" spans="1:16" x14ac:dyDescent="0.3">
      <c r="A190" s="76" t="s">
        <v>214</v>
      </c>
      <c r="B190" s="3">
        <v>0.1</v>
      </c>
      <c r="C190" s="138" t="s">
        <v>802</v>
      </c>
      <c r="E190" s="76" t="s">
        <v>214</v>
      </c>
      <c r="F190" s="3">
        <v>1</v>
      </c>
      <c r="G190" s="138" t="s">
        <v>802</v>
      </c>
    </row>
    <row r="191" spans="1:16" x14ac:dyDescent="0.3">
      <c r="A191" s="76" t="s">
        <v>652</v>
      </c>
      <c r="B191" s="3">
        <v>0.83</v>
      </c>
      <c r="C191" s="138" t="s">
        <v>862</v>
      </c>
      <c r="E191" s="76" t="s">
        <v>652</v>
      </c>
      <c r="F191" s="3">
        <v>1</v>
      </c>
      <c r="G191" s="138" t="s">
        <v>859</v>
      </c>
    </row>
    <row r="192" spans="1:16" x14ac:dyDescent="0.3">
      <c r="A192" s="76" t="s">
        <v>207</v>
      </c>
      <c r="B192" s="3">
        <v>0.7</v>
      </c>
      <c r="C192" s="138" t="s">
        <v>816</v>
      </c>
      <c r="E192" s="76" t="s">
        <v>207</v>
      </c>
      <c r="F192" s="3">
        <v>0.85</v>
      </c>
      <c r="G192" s="138" t="s">
        <v>816</v>
      </c>
    </row>
    <row r="193" spans="1:7" x14ac:dyDescent="0.3">
      <c r="A193" s="76" t="s">
        <v>208</v>
      </c>
      <c r="B193" s="3">
        <v>0.25</v>
      </c>
      <c r="C193" s="138" t="s">
        <v>799</v>
      </c>
      <c r="E193" s="76" t="s">
        <v>208</v>
      </c>
      <c r="F193" s="3">
        <v>0.45</v>
      </c>
      <c r="G193" s="138" t="s">
        <v>799</v>
      </c>
    </row>
    <row r="194" spans="1:7" x14ac:dyDescent="0.3">
      <c r="A194" s="76" t="s">
        <v>210</v>
      </c>
      <c r="B194" s="3">
        <v>0.83</v>
      </c>
      <c r="C194" s="138" t="s">
        <v>861</v>
      </c>
      <c r="E194" s="76" t="s">
        <v>210</v>
      </c>
      <c r="F194" s="3">
        <v>1</v>
      </c>
      <c r="G194" s="138" t="s">
        <v>861</v>
      </c>
    </row>
    <row r="195" spans="1:7" x14ac:dyDescent="0.3">
      <c r="A195" s="76" t="s">
        <v>132</v>
      </c>
      <c r="B195" s="3">
        <v>0.74</v>
      </c>
      <c r="C195" s="138" t="s">
        <v>862</v>
      </c>
      <c r="E195" s="76" t="s">
        <v>132</v>
      </c>
      <c r="F195" s="3">
        <v>0.94</v>
      </c>
      <c r="G195" s="138" t="s">
        <v>859</v>
      </c>
    </row>
    <row r="196" spans="1:7" x14ac:dyDescent="0.3">
      <c r="A196" s="76" t="s">
        <v>288</v>
      </c>
      <c r="B196" s="3">
        <v>0.74</v>
      </c>
      <c r="C196" s="138" t="s">
        <v>858</v>
      </c>
      <c r="E196" s="76" t="s">
        <v>288</v>
      </c>
      <c r="F196" s="3">
        <v>0.94</v>
      </c>
      <c r="G196" s="138" t="s">
        <v>858</v>
      </c>
    </row>
    <row r="197" spans="1:7" x14ac:dyDescent="0.3">
      <c r="A197" s="76" t="s">
        <v>581</v>
      </c>
      <c r="B197" s="3">
        <v>0.83</v>
      </c>
      <c r="C197" s="138" t="s">
        <v>858</v>
      </c>
      <c r="E197" s="76" t="s">
        <v>581</v>
      </c>
      <c r="F197" s="3">
        <v>1</v>
      </c>
      <c r="G197" s="138" t="s">
        <v>860</v>
      </c>
    </row>
    <row r="198" spans="1:7" x14ac:dyDescent="0.3">
      <c r="A198" s="76" t="s">
        <v>98</v>
      </c>
      <c r="B198" s="3">
        <v>0.38</v>
      </c>
      <c r="C198" s="138" t="s">
        <v>858</v>
      </c>
      <c r="E198" s="76" t="s">
        <v>98</v>
      </c>
      <c r="F198" s="3">
        <v>0.57999999999999996</v>
      </c>
      <c r="G198" s="138" t="s">
        <v>860</v>
      </c>
    </row>
    <row r="199" spans="1:7" x14ac:dyDescent="0.3">
      <c r="A199" s="76" t="s">
        <v>99</v>
      </c>
      <c r="B199" s="3">
        <v>0.59</v>
      </c>
      <c r="C199" s="138" t="s">
        <v>858</v>
      </c>
      <c r="E199" s="76" t="s">
        <v>99</v>
      </c>
      <c r="F199" s="3">
        <v>0.79</v>
      </c>
      <c r="G199" s="138" t="s">
        <v>860</v>
      </c>
    </row>
    <row r="200" spans="1:7" x14ac:dyDescent="0.3">
      <c r="A200" s="76" t="s">
        <v>97</v>
      </c>
      <c r="B200" s="3">
        <v>0.01</v>
      </c>
      <c r="C200" s="138" t="s">
        <v>858</v>
      </c>
      <c r="E200" s="76" t="s">
        <v>97</v>
      </c>
      <c r="F200" s="3">
        <v>0.21</v>
      </c>
      <c r="G200" s="138" t="s">
        <v>860</v>
      </c>
    </row>
    <row r="201" spans="1:7" x14ac:dyDescent="0.3">
      <c r="A201" s="76" t="s">
        <v>582</v>
      </c>
      <c r="B201" s="3">
        <v>0.45</v>
      </c>
      <c r="C201" s="138" t="s">
        <v>858</v>
      </c>
      <c r="E201" s="76" t="s">
        <v>582</v>
      </c>
      <c r="F201" s="3">
        <v>0.45</v>
      </c>
      <c r="G201" s="138" t="s">
        <v>860</v>
      </c>
    </row>
    <row r="202" spans="1:7" x14ac:dyDescent="0.3">
      <c r="A202" s="76" t="s">
        <v>139</v>
      </c>
      <c r="B202" s="3">
        <v>0</v>
      </c>
      <c r="C202" s="138" t="s">
        <v>850</v>
      </c>
      <c r="E202" s="76" t="s">
        <v>139</v>
      </c>
      <c r="F202" s="3">
        <v>1</v>
      </c>
      <c r="G202" s="138" t="s">
        <v>860</v>
      </c>
    </row>
    <row r="203" spans="1:7" x14ac:dyDescent="0.3">
      <c r="A203" s="76" t="s">
        <v>140</v>
      </c>
      <c r="B203" s="3">
        <v>0</v>
      </c>
      <c r="C203" s="138" t="s">
        <v>850</v>
      </c>
      <c r="E203" s="76" t="s">
        <v>140</v>
      </c>
      <c r="F203" s="3">
        <v>1</v>
      </c>
      <c r="G203" s="138" t="s">
        <v>859</v>
      </c>
    </row>
    <row r="204" spans="1:7" x14ac:dyDescent="0.3">
      <c r="A204" s="76" t="s">
        <v>141</v>
      </c>
      <c r="B204" s="3">
        <v>0</v>
      </c>
      <c r="C204" s="138" t="s">
        <v>850</v>
      </c>
      <c r="E204" s="76" t="s">
        <v>141</v>
      </c>
      <c r="F204" s="3">
        <v>1</v>
      </c>
      <c r="G204" s="138" t="s">
        <v>859</v>
      </c>
    </row>
    <row r="205" spans="1:7" x14ac:dyDescent="0.3">
      <c r="A205" s="76" t="s">
        <v>142</v>
      </c>
      <c r="B205" s="3">
        <v>0</v>
      </c>
      <c r="C205" s="138" t="s">
        <v>850</v>
      </c>
      <c r="E205" s="76" t="s">
        <v>142</v>
      </c>
      <c r="F205" s="3">
        <v>1</v>
      </c>
      <c r="G205" s="138" t="s">
        <v>859</v>
      </c>
    </row>
    <row r="206" spans="1:7" x14ac:dyDescent="0.3">
      <c r="A206" s="76" t="s">
        <v>143</v>
      </c>
      <c r="B206" s="3">
        <v>0</v>
      </c>
      <c r="C206" s="138" t="s">
        <v>850</v>
      </c>
      <c r="E206" s="76" t="s">
        <v>143</v>
      </c>
      <c r="F206" s="3">
        <v>1</v>
      </c>
      <c r="G206" s="138" t="s">
        <v>859</v>
      </c>
    </row>
    <row r="207" spans="1:7" x14ac:dyDescent="0.3">
      <c r="A207" s="76" t="s">
        <v>144</v>
      </c>
      <c r="B207" s="3">
        <v>0</v>
      </c>
      <c r="C207" s="138" t="s">
        <v>850</v>
      </c>
      <c r="E207" s="76" t="s">
        <v>144</v>
      </c>
      <c r="F207" s="3">
        <v>1</v>
      </c>
      <c r="G207" s="138" t="s">
        <v>859</v>
      </c>
    </row>
    <row r="208" spans="1:7" x14ac:dyDescent="0.3">
      <c r="A208" s="76" t="s">
        <v>211</v>
      </c>
      <c r="B208" s="3">
        <v>0</v>
      </c>
      <c r="C208" s="138" t="s">
        <v>850</v>
      </c>
      <c r="E208" s="76" t="s">
        <v>211</v>
      </c>
      <c r="F208" s="3">
        <v>1</v>
      </c>
      <c r="G208" s="138" t="s">
        <v>859</v>
      </c>
    </row>
    <row r="209" spans="1:7" x14ac:dyDescent="0.3">
      <c r="A209" s="76" t="s">
        <v>212</v>
      </c>
      <c r="B209" s="3">
        <v>0</v>
      </c>
      <c r="C209" s="138" t="s">
        <v>850</v>
      </c>
      <c r="E209" s="76" t="s">
        <v>212</v>
      </c>
      <c r="F209" s="3">
        <v>1</v>
      </c>
      <c r="G209" s="138" t="s">
        <v>859</v>
      </c>
    </row>
    <row r="212" spans="1:7" x14ac:dyDescent="0.3">
      <c r="A212" s="77" t="s">
        <v>723</v>
      </c>
      <c r="C212" s="144" t="s">
        <v>826</v>
      </c>
    </row>
    <row r="213" spans="1:7" x14ac:dyDescent="0.3">
      <c r="A213" s="77" t="s">
        <v>727</v>
      </c>
      <c r="C213" s="144"/>
    </row>
    <row r="214" spans="1:7" x14ac:dyDescent="0.3">
      <c r="A214" s="76" t="s">
        <v>139</v>
      </c>
      <c r="B214" s="3">
        <v>0</v>
      </c>
      <c r="C214" s="138" t="s">
        <v>850</v>
      </c>
    </row>
    <row r="215" spans="1:7" x14ac:dyDescent="0.3">
      <c r="A215" s="76" t="s">
        <v>140</v>
      </c>
      <c r="B215" s="3">
        <v>0</v>
      </c>
      <c r="C215" s="138" t="s">
        <v>850</v>
      </c>
    </row>
    <row r="216" spans="1:7" x14ac:dyDescent="0.3">
      <c r="A216" s="76" t="s">
        <v>141</v>
      </c>
      <c r="B216" s="3">
        <v>0</v>
      </c>
      <c r="C216" s="138" t="s">
        <v>850</v>
      </c>
    </row>
    <row r="217" spans="1:7" x14ac:dyDescent="0.3">
      <c r="A217" s="76" t="s">
        <v>142</v>
      </c>
      <c r="B217" s="3">
        <v>0</v>
      </c>
      <c r="C217" s="138" t="s">
        <v>850</v>
      </c>
    </row>
    <row r="218" spans="1:7" x14ac:dyDescent="0.3">
      <c r="A218" s="76" t="s">
        <v>143</v>
      </c>
      <c r="B218" s="3">
        <v>0</v>
      </c>
      <c r="C218" s="138" t="s">
        <v>850</v>
      </c>
    </row>
    <row r="219" spans="1:7" x14ac:dyDescent="0.3">
      <c r="A219" s="76" t="s">
        <v>144</v>
      </c>
      <c r="B219" s="3">
        <v>0</v>
      </c>
      <c r="C219" s="138" t="s">
        <v>850</v>
      </c>
    </row>
    <row r="220" spans="1:7" x14ac:dyDescent="0.3">
      <c r="A220" s="76" t="s">
        <v>211</v>
      </c>
      <c r="B220" s="3">
        <v>1.2500000000000001E-2</v>
      </c>
      <c r="C220" s="138" t="s">
        <v>794</v>
      </c>
    </row>
    <row r="221" spans="1:7" x14ac:dyDescent="0.3">
      <c r="A221" s="76" t="s">
        <v>212</v>
      </c>
      <c r="B221" s="3">
        <v>0</v>
      </c>
      <c r="C221" s="138" t="s">
        <v>850</v>
      </c>
    </row>
    <row r="222" spans="1:7" x14ac:dyDescent="0.3">
      <c r="A222" s="15"/>
    </row>
    <row r="223" spans="1:7" x14ac:dyDescent="0.3">
      <c r="A223" s="15"/>
    </row>
    <row r="224" spans="1:7" x14ac:dyDescent="0.3">
      <c r="A224" s="77" t="s">
        <v>750</v>
      </c>
      <c r="C224" s="144" t="s">
        <v>826</v>
      </c>
    </row>
    <row r="225" spans="1:3" x14ac:dyDescent="0.3">
      <c r="A225" s="77" t="s">
        <v>751</v>
      </c>
      <c r="C225" s="144"/>
    </row>
    <row r="226" spans="1:3" x14ac:dyDescent="0.3">
      <c r="A226" s="76" t="s">
        <v>139</v>
      </c>
      <c r="B226" s="3">
        <v>1</v>
      </c>
      <c r="C226" s="138" t="s">
        <v>850</v>
      </c>
    </row>
    <row r="227" spans="1:3" x14ac:dyDescent="0.3">
      <c r="A227" s="76" t="s">
        <v>140</v>
      </c>
      <c r="B227" s="3">
        <v>1</v>
      </c>
      <c r="C227" s="138" t="s">
        <v>850</v>
      </c>
    </row>
    <row r="228" spans="1:3" x14ac:dyDescent="0.3">
      <c r="A228" s="76" t="s">
        <v>141</v>
      </c>
      <c r="B228" s="3">
        <v>1</v>
      </c>
      <c r="C228" s="138" t="s">
        <v>850</v>
      </c>
    </row>
    <row r="229" spans="1:3" x14ac:dyDescent="0.3">
      <c r="A229" s="76" t="s">
        <v>142</v>
      </c>
      <c r="B229" s="3">
        <v>1</v>
      </c>
      <c r="C229" s="138" t="s">
        <v>850</v>
      </c>
    </row>
    <row r="230" spans="1:3" x14ac:dyDescent="0.3">
      <c r="A230" s="76" t="s">
        <v>143</v>
      </c>
      <c r="B230" s="3">
        <v>1</v>
      </c>
      <c r="C230" s="138" t="s">
        <v>850</v>
      </c>
    </row>
    <row r="231" spans="1:3" x14ac:dyDescent="0.3">
      <c r="A231" s="76" t="s">
        <v>144</v>
      </c>
      <c r="B231" s="3">
        <v>1</v>
      </c>
      <c r="C231" s="138" t="s">
        <v>850</v>
      </c>
    </row>
    <row r="232" spans="1:3" x14ac:dyDescent="0.3">
      <c r="A232" s="76" t="s">
        <v>211</v>
      </c>
      <c r="B232" s="3">
        <v>4</v>
      </c>
      <c r="C232" s="138" t="s">
        <v>794</v>
      </c>
    </row>
    <row r="233" spans="1:3" x14ac:dyDescent="0.3">
      <c r="A233" s="76" t="s">
        <v>212</v>
      </c>
      <c r="B233" s="3">
        <v>1</v>
      </c>
      <c r="C233" s="138" t="s">
        <v>850</v>
      </c>
    </row>
  </sheetData>
  <mergeCells count="16">
    <mergeCell ref="D83:D84"/>
    <mergeCell ref="I83:I84"/>
    <mergeCell ref="H100:H101"/>
    <mergeCell ref="C212:C213"/>
    <mergeCell ref="C224:C225"/>
    <mergeCell ref="C133:C134"/>
    <mergeCell ref="C184:C185"/>
    <mergeCell ref="G184:G185"/>
    <mergeCell ref="D1:D2"/>
    <mergeCell ref="K1:K2"/>
    <mergeCell ref="R1:R2"/>
    <mergeCell ref="J25:J26"/>
    <mergeCell ref="D25:D26"/>
    <mergeCell ref="E65:E66"/>
    <mergeCell ref="J65:J66"/>
    <mergeCell ref="D37:D38"/>
  </mergeCells>
  <hyperlinks>
    <hyperlink ref="I153" location="References!B2" display="Ref" xr:uid="{4F461C55-DA04-426D-BD16-44ADC81ECD8B}"/>
    <hyperlink ref="D1:D2" location="References!B2" display="Ref" xr:uid="{3201636C-A486-4757-9D66-50D1DDA41033}"/>
    <hyperlink ref="K1:K2" location="References!B2" display="Ref" xr:uid="{FE08E735-ABC5-4C58-AA3C-A257878A4DB5}"/>
    <hyperlink ref="R1:R2" location="References!B2" display="Ref" xr:uid="{B3A9B561-65EC-484A-B25C-EC94CD455512}"/>
    <hyperlink ref="D25:D26" location="References!B2" display="Ref" xr:uid="{6075861E-69CD-4ED4-998B-8DBCD3368814}"/>
    <hyperlink ref="J25:J26" location="References!B2" display="Ref" xr:uid="{AC48869A-39B6-4FFB-92D4-D74271B80C79}"/>
    <hyperlink ref="D37:D38" location="References!B2" display="Ref" xr:uid="{D3E49BEF-8BC8-4591-A3F4-CB2EFA3A102C}"/>
    <hyperlink ref="E65:E66" location="References!B2" display="Ref" xr:uid="{813D0DD1-57E7-4A4C-B358-251E08A30C5D}"/>
    <hyperlink ref="J65:J66" location="References!B2" display="Ref" xr:uid="{E35B09DF-2A08-4EFC-8BBD-EA3044495E79}"/>
    <hyperlink ref="D83:D84" location="References!B2" display="Ref" xr:uid="{4F18A16D-69B6-4034-B5AF-260DC099C187}"/>
    <hyperlink ref="I83:I84" location="References!B2" display="Ref" xr:uid="{DE80C5DA-52D3-4CE5-AE7D-E5E21AC1388D}"/>
    <hyperlink ref="H100:H101" location="References!B2" display="Ref" xr:uid="{A776B717-46F6-4321-A764-FA9BF4DC709B}"/>
    <hyperlink ref="C133:C134" location="References!B2" display="Ref" xr:uid="{32BAFA31-400A-4F08-AEF6-99605658F634}"/>
    <hyperlink ref="C184:C185" location="References!B2" display="Ref" xr:uid="{0CA6E5FC-D7E5-430A-84A6-AEDEF443BE32}"/>
    <hyperlink ref="G184:G185" location="References!B2" display="Ref" xr:uid="{4A1AD32A-1807-48A8-999A-541479D0612E}"/>
    <hyperlink ref="C212:C213" location="References!B2" display="Ref" xr:uid="{614BF4C0-63D8-4AE1-AA0A-0FA113888FDC}"/>
    <hyperlink ref="C224:C225" location="References!B2" display="Ref" xr:uid="{B0D06C15-96D4-4D0B-BE02-530BFAC18465}"/>
    <hyperlink ref="B128" location="References!B2" display="Ref" xr:uid="{FEB55092-9C3E-4F07-83D3-96791DA74466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CA58-C8B3-4A70-995E-A773C6226C01}">
  <sheetPr>
    <tabColor rgb="FFC5D7FF"/>
  </sheetPr>
  <dimension ref="A1:H27"/>
  <sheetViews>
    <sheetView workbookViewId="0">
      <selection activeCell="E20" sqref="E20"/>
    </sheetView>
  </sheetViews>
  <sheetFormatPr defaultRowHeight="14.4" x14ac:dyDescent="0.3"/>
  <sheetData>
    <row r="1" spans="1:8" x14ac:dyDescent="0.3">
      <c r="A1" s="91" t="s">
        <v>277</v>
      </c>
      <c r="B1" s="92"/>
      <c r="C1" s="92"/>
      <c r="D1" s="92"/>
      <c r="E1" s="92"/>
    </row>
    <row r="2" spans="1:8" x14ac:dyDescent="0.3">
      <c r="A2" s="91" t="s">
        <v>599</v>
      </c>
      <c r="B2" s="112">
        <v>1</v>
      </c>
      <c r="C2" s="112">
        <v>2</v>
      </c>
      <c r="D2" s="112">
        <v>3</v>
      </c>
      <c r="E2" s="112">
        <v>4</v>
      </c>
      <c r="F2" s="112">
        <v>5</v>
      </c>
      <c r="G2" s="112">
        <v>6</v>
      </c>
      <c r="H2" s="143" t="s">
        <v>826</v>
      </c>
    </row>
    <row r="3" spans="1:8" x14ac:dyDescent="0.3">
      <c r="A3" s="85" t="s">
        <v>595</v>
      </c>
      <c r="B3" s="3">
        <v>48000</v>
      </c>
      <c r="C3" s="3">
        <v>48000</v>
      </c>
      <c r="D3" s="3">
        <v>48000</v>
      </c>
      <c r="E3" s="3">
        <v>48000</v>
      </c>
      <c r="F3" s="3">
        <v>48000</v>
      </c>
      <c r="G3" s="3">
        <v>48000</v>
      </c>
      <c r="H3" s="135" t="s">
        <v>797</v>
      </c>
    </row>
    <row r="4" spans="1:8" x14ac:dyDescent="0.3">
      <c r="A4" s="85" t="s">
        <v>596</v>
      </c>
      <c r="B4" s="3">
        <v>48000</v>
      </c>
      <c r="C4" s="3">
        <v>48000</v>
      </c>
      <c r="D4" s="3">
        <v>48000</v>
      </c>
      <c r="E4" s="3">
        <v>48000</v>
      </c>
      <c r="F4" s="3">
        <v>48000</v>
      </c>
      <c r="G4" s="3">
        <v>48000</v>
      </c>
      <c r="H4" s="135" t="s">
        <v>797</v>
      </c>
    </row>
    <row r="5" spans="1:8" x14ac:dyDescent="0.3">
      <c r="A5" s="85" t="s">
        <v>597</v>
      </c>
      <c r="B5" s="3">
        <v>412000</v>
      </c>
      <c r="C5" s="3">
        <v>412000</v>
      </c>
      <c r="D5" s="3">
        <v>412000</v>
      </c>
      <c r="E5" s="3">
        <v>412000</v>
      </c>
      <c r="F5" s="3">
        <v>412000</v>
      </c>
      <c r="G5" s="3">
        <v>412000</v>
      </c>
      <c r="H5" s="135" t="s">
        <v>797</v>
      </c>
    </row>
    <row r="6" spans="1:8" x14ac:dyDescent="0.3">
      <c r="A6" s="85" t="s">
        <v>775</v>
      </c>
      <c r="B6" s="3">
        <v>209000</v>
      </c>
      <c r="C6" s="3">
        <v>209000</v>
      </c>
      <c r="D6" s="3">
        <v>209000</v>
      </c>
      <c r="E6" s="3">
        <v>209000</v>
      </c>
      <c r="F6" s="3">
        <v>209000</v>
      </c>
      <c r="G6" s="3">
        <v>209000</v>
      </c>
      <c r="H6" s="135" t="s">
        <v>797</v>
      </c>
    </row>
    <row r="7" spans="1:8" x14ac:dyDescent="0.3">
      <c r="A7" s="85" t="s">
        <v>776</v>
      </c>
      <c r="B7" s="3">
        <v>48000</v>
      </c>
      <c r="C7" s="3">
        <v>48000</v>
      </c>
      <c r="D7" s="3">
        <v>48000</v>
      </c>
      <c r="E7" s="3">
        <v>48000</v>
      </c>
      <c r="F7" s="3">
        <v>48000</v>
      </c>
      <c r="G7" s="3">
        <v>48000</v>
      </c>
      <c r="H7" s="135" t="s">
        <v>797</v>
      </c>
    </row>
    <row r="8" spans="1:8" x14ac:dyDescent="0.3">
      <c r="A8" s="24"/>
      <c r="H8" s="93"/>
    </row>
    <row r="9" spans="1:8" x14ac:dyDescent="0.3">
      <c r="A9" s="24"/>
      <c r="H9" s="93"/>
    </row>
    <row r="10" spans="1:8" x14ac:dyDescent="0.3">
      <c r="A10" s="91" t="s">
        <v>602</v>
      </c>
      <c r="B10" s="92"/>
      <c r="C10" s="92"/>
      <c r="D10" s="92"/>
      <c r="E10" s="92"/>
    </row>
    <row r="11" spans="1:8" x14ac:dyDescent="0.3">
      <c r="A11" s="91" t="s">
        <v>601</v>
      </c>
      <c r="B11" s="112">
        <v>1</v>
      </c>
      <c r="C11" s="112">
        <v>2</v>
      </c>
      <c r="D11" s="112">
        <v>3</v>
      </c>
      <c r="E11" s="112">
        <v>4</v>
      </c>
      <c r="F11" s="112">
        <v>5</v>
      </c>
      <c r="G11" s="112">
        <v>6</v>
      </c>
      <c r="H11" s="143" t="s">
        <v>826</v>
      </c>
    </row>
    <row r="12" spans="1:8" x14ac:dyDescent="0.3">
      <c r="A12" s="85" t="s">
        <v>595</v>
      </c>
      <c r="B12" s="3">
        <v>0.9</v>
      </c>
      <c r="C12" s="3">
        <v>0.9</v>
      </c>
      <c r="D12" s="3">
        <v>0.9</v>
      </c>
      <c r="E12" s="3">
        <v>0.9</v>
      </c>
      <c r="F12" s="3">
        <v>0.9</v>
      </c>
      <c r="G12" s="3">
        <v>0.9</v>
      </c>
      <c r="H12" s="135" t="s">
        <v>797</v>
      </c>
    </row>
    <row r="13" spans="1:8" x14ac:dyDescent="0.3">
      <c r="A13" s="85" t="s">
        <v>596</v>
      </c>
      <c r="B13" s="3">
        <v>0.9</v>
      </c>
      <c r="C13" s="3">
        <v>0.9</v>
      </c>
      <c r="D13" s="3">
        <v>0.9</v>
      </c>
      <c r="E13" s="3">
        <v>0.9</v>
      </c>
      <c r="F13" s="3">
        <v>0.9</v>
      </c>
      <c r="G13" s="3">
        <v>0.9</v>
      </c>
      <c r="H13" s="135" t="s">
        <v>797</v>
      </c>
    </row>
    <row r="14" spans="1:8" x14ac:dyDescent="0.3">
      <c r="A14" s="85" t="s">
        <v>597</v>
      </c>
      <c r="B14" s="3">
        <v>0.9</v>
      </c>
      <c r="C14" s="3">
        <v>0.9</v>
      </c>
      <c r="D14" s="3">
        <v>0.9</v>
      </c>
      <c r="E14" s="3">
        <v>0.9</v>
      </c>
      <c r="F14" s="3">
        <v>0.9</v>
      </c>
      <c r="G14" s="3">
        <v>0.9</v>
      </c>
      <c r="H14" s="135" t="s">
        <v>797</v>
      </c>
    </row>
    <row r="15" spans="1:8" x14ac:dyDescent="0.3">
      <c r="A15" s="85" t="s">
        <v>775</v>
      </c>
      <c r="B15" s="3">
        <v>0.9</v>
      </c>
      <c r="C15" s="3">
        <v>0.9</v>
      </c>
      <c r="D15" s="3">
        <v>0.9</v>
      </c>
      <c r="E15" s="3">
        <v>0.9</v>
      </c>
      <c r="F15" s="3">
        <v>0.9</v>
      </c>
      <c r="G15" s="3">
        <v>0.9</v>
      </c>
      <c r="H15" s="135" t="s">
        <v>797</v>
      </c>
    </row>
    <row r="16" spans="1:8" x14ac:dyDescent="0.3">
      <c r="A16" s="85" t="s">
        <v>776</v>
      </c>
      <c r="B16" s="3">
        <v>0.9</v>
      </c>
      <c r="C16" s="3">
        <v>0.9</v>
      </c>
      <c r="D16" s="3">
        <v>0.9</v>
      </c>
      <c r="E16" s="3">
        <v>0.9</v>
      </c>
      <c r="F16" s="3">
        <v>0.9</v>
      </c>
      <c r="G16" s="3">
        <v>0.9</v>
      </c>
      <c r="H16" s="135" t="s">
        <v>797</v>
      </c>
    </row>
    <row r="17" spans="1:8" x14ac:dyDescent="0.3">
      <c r="A17" s="85"/>
      <c r="B17" s="3"/>
      <c r="C17" s="3"/>
      <c r="D17" s="3"/>
      <c r="E17" s="3"/>
      <c r="F17" s="3"/>
      <c r="G17" s="3"/>
      <c r="H17" s="83"/>
    </row>
    <row r="18" spans="1:8" x14ac:dyDescent="0.3">
      <c r="A18" s="85"/>
      <c r="B18" s="3"/>
      <c r="C18" s="3"/>
      <c r="D18" s="3"/>
      <c r="E18" s="3"/>
      <c r="F18" s="3"/>
      <c r="G18" s="3"/>
      <c r="H18" s="83"/>
    </row>
    <row r="19" spans="1:8" x14ac:dyDescent="0.3">
      <c r="A19" s="91" t="s">
        <v>610</v>
      </c>
      <c r="B19" s="92"/>
      <c r="C19" s="92"/>
      <c r="D19" s="92"/>
      <c r="E19" s="3"/>
      <c r="F19" s="3"/>
      <c r="G19" s="3"/>
      <c r="H19" s="83"/>
    </row>
    <row r="20" spans="1:8" x14ac:dyDescent="0.3">
      <c r="A20" s="91" t="s">
        <v>603</v>
      </c>
      <c r="B20" s="92"/>
      <c r="C20" s="3"/>
      <c r="D20" s="3"/>
      <c r="E20" s="143" t="s">
        <v>826</v>
      </c>
      <c r="F20" s="3"/>
      <c r="G20" s="3"/>
      <c r="H20" s="83"/>
    </row>
    <row r="21" spans="1:8" x14ac:dyDescent="0.3">
      <c r="A21" s="85" t="s">
        <v>595</v>
      </c>
      <c r="B21" s="3">
        <v>20</v>
      </c>
      <c r="D21" s="3"/>
      <c r="E21" s="135" t="s">
        <v>818</v>
      </c>
      <c r="F21" s="3"/>
      <c r="G21" s="3"/>
      <c r="H21" s="83"/>
    </row>
    <row r="22" spans="1:8" x14ac:dyDescent="0.3">
      <c r="A22" s="85" t="s">
        <v>596</v>
      </c>
      <c r="B22" s="3">
        <v>20</v>
      </c>
      <c r="D22" s="3"/>
      <c r="E22" s="135" t="s">
        <v>818</v>
      </c>
      <c r="F22" s="3"/>
      <c r="G22" s="3"/>
      <c r="H22" s="83"/>
    </row>
    <row r="23" spans="1:8" x14ac:dyDescent="0.3">
      <c r="A23" s="85" t="s">
        <v>597</v>
      </c>
      <c r="B23" s="3">
        <v>30</v>
      </c>
      <c r="D23" s="3"/>
      <c r="E23" s="135" t="s">
        <v>819</v>
      </c>
      <c r="F23" s="3"/>
      <c r="G23" s="3"/>
      <c r="H23" s="83"/>
    </row>
    <row r="24" spans="1:8" x14ac:dyDescent="0.3">
      <c r="A24" s="85" t="s">
        <v>775</v>
      </c>
      <c r="B24" s="3">
        <v>20</v>
      </c>
      <c r="D24" s="3"/>
      <c r="E24" s="135" t="s">
        <v>818</v>
      </c>
      <c r="F24" s="3"/>
      <c r="G24" s="3"/>
      <c r="H24" s="83"/>
    </row>
    <row r="25" spans="1:8" x14ac:dyDescent="0.3">
      <c r="A25" s="85" t="s">
        <v>776</v>
      </c>
      <c r="B25" s="3">
        <v>20</v>
      </c>
      <c r="D25" s="3"/>
      <c r="E25" s="135" t="s">
        <v>818</v>
      </c>
      <c r="F25" s="3"/>
      <c r="G25" s="3"/>
      <c r="H25" s="83"/>
    </row>
    <row r="26" spans="1:8" x14ac:dyDescent="0.3">
      <c r="A26" s="85"/>
      <c r="B26" s="3"/>
      <c r="C26" s="3"/>
      <c r="D26" s="3"/>
      <c r="E26" s="3"/>
      <c r="F26" s="3"/>
      <c r="G26" s="3"/>
      <c r="H26" s="83"/>
    </row>
    <row r="27" spans="1:8" x14ac:dyDescent="0.3">
      <c r="A27" s="85"/>
      <c r="B27" s="3"/>
      <c r="C27" s="3"/>
      <c r="D27" s="3"/>
      <c r="E27" s="3"/>
      <c r="F27" s="3"/>
      <c r="G27" s="3"/>
      <c r="H27" s="83"/>
    </row>
  </sheetData>
  <hyperlinks>
    <hyperlink ref="H2" location="References!B2" display="Ref" xr:uid="{1ADE4196-D12E-4B88-A272-E8F24A12F4E1}"/>
    <hyperlink ref="H11" location="References!B2" display="Ref" xr:uid="{0B90F017-1D12-43C9-954B-631C3D854C74}"/>
    <hyperlink ref="E20" location="References!B2" display="Ref" xr:uid="{30685451-561A-4D49-A0A9-86608ED7DCF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2690-6C91-4723-9D27-2BB2EFC67719}">
  <sheetPr>
    <tabColor theme="7" tint="0.59999389629810485"/>
  </sheetPr>
  <dimension ref="A1:AL44"/>
  <sheetViews>
    <sheetView topLeftCell="A19" zoomScale="86" zoomScaleNormal="86" workbookViewId="0">
      <selection activeCell="AL1" sqref="AL1:AL2"/>
    </sheetView>
  </sheetViews>
  <sheetFormatPr defaultRowHeight="14.4" x14ac:dyDescent="0.3"/>
  <cols>
    <col min="1" max="1" width="13" customWidth="1"/>
    <col min="2" max="2" width="9.109375" customWidth="1"/>
    <col min="12" max="12" width="15.6640625" bestFit="1" customWidth="1"/>
    <col min="23" max="23" width="13.44140625" customWidth="1"/>
  </cols>
  <sheetData>
    <row r="1" spans="1:38" x14ac:dyDescent="0.3">
      <c r="A1" s="72" t="s">
        <v>277</v>
      </c>
      <c r="B1" s="82"/>
      <c r="C1" s="82"/>
      <c r="D1" s="82"/>
      <c r="H1" s="144" t="s">
        <v>826</v>
      </c>
      <c r="L1" s="72" t="s">
        <v>57</v>
      </c>
      <c r="M1" s="82"/>
      <c r="N1" s="82"/>
      <c r="O1" s="82"/>
      <c r="P1" s="82"/>
      <c r="Q1" s="82"/>
      <c r="S1" s="144" t="s">
        <v>826</v>
      </c>
      <c r="W1" s="72" t="s">
        <v>58</v>
      </c>
      <c r="X1" s="82"/>
      <c r="Y1" s="82"/>
      <c r="Z1" s="82"/>
      <c r="AA1" s="82"/>
      <c r="AB1" s="82"/>
      <c r="AC1" s="144" t="s">
        <v>826</v>
      </c>
      <c r="AE1" s="72" t="s">
        <v>58</v>
      </c>
      <c r="AF1" s="82"/>
      <c r="AG1" s="82"/>
      <c r="AH1" s="82"/>
      <c r="AI1" s="82"/>
      <c r="AJ1" s="82"/>
      <c r="AL1" s="144" t="s">
        <v>826</v>
      </c>
    </row>
    <row r="2" spans="1:38" x14ac:dyDescent="0.3">
      <c r="A2" s="72" t="s">
        <v>276</v>
      </c>
      <c r="B2" s="112">
        <v>1</v>
      </c>
      <c r="C2" s="112">
        <v>2</v>
      </c>
      <c r="D2" s="112">
        <v>3</v>
      </c>
      <c r="E2" s="112">
        <v>4</v>
      </c>
      <c r="F2" s="112">
        <v>5</v>
      </c>
      <c r="G2" s="112">
        <v>6</v>
      </c>
      <c r="H2" s="144"/>
      <c r="L2" s="72" t="s">
        <v>56</v>
      </c>
      <c r="M2" s="112">
        <v>1</v>
      </c>
      <c r="N2" s="112">
        <v>2</v>
      </c>
      <c r="O2" s="112">
        <v>3</v>
      </c>
      <c r="P2" s="112">
        <v>4</v>
      </c>
      <c r="Q2" s="112">
        <v>5</v>
      </c>
      <c r="R2" s="112">
        <v>6</v>
      </c>
      <c r="S2" s="144"/>
      <c r="W2" s="72" t="s">
        <v>453</v>
      </c>
      <c r="AC2" s="144"/>
      <c r="AE2" s="72" t="s">
        <v>730</v>
      </c>
      <c r="AL2" s="144"/>
    </row>
    <row r="3" spans="1:38" x14ac:dyDescent="0.3">
      <c r="A3" s="85" t="s">
        <v>130</v>
      </c>
      <c r="B3" s="3">
        <v>638420.00000000012</v>
      </c>
      <c r="C3" s="3">
        <v>598600</v>
      </c>
      <c r="D3" s="3">
        <v>561350</v>
      </c>
      <c r="E3" s="3">
        <v>526670.00000000012</v>
      </c>
      <c r="F3" s="3">
        <v>494550</v>
      </c>
      <c r="G3" s="3">
        <v>463725</v>
      </c>
      <c r="H3" s="135" t="s">
        <v>799</v>
      </c>
      <c r="L3" s="85" t="s">
        <v>130</v>
      </c>
      <c r="M3" s="3">
        <v>28070</v>
      </c>
      <c r="N3" s="3">
        <v>28070</v>
      </c>
      <c r="O3" s="3">
        <v>28070</v>
      </c>
      <c r="P3" s="3">
        <v>28070</v>
      </c>
      <c r="Q3" s="3">
        <v>28070</v>
      </c>
      <c r="R3" s="3">
        <v>28070</v>
      </c>
      <c r="S3" s="135" t="s">
        <v>799</v>
      </c>
      <c r="T3" s="79"/>
      <c r="U3" s="79"/>
      <c r="V3" s="4"/>
      <c r="W3" s="85" t="s">
        <v>130</v>
      </c>
      <c r="X3" s="3">
        <v>0.1</v>
      </c>
      <c r="Z3" s="79"/>
      <c r="AA3" s="3"/>
      <c r="AC3" s="135" t="s">
        <v>799</v>
      </c>
      <c r="AE3" s="85" t="s">
        <v>139</v>
      </c>
      <c r="AF3" s="3">
        <v>0</v>
      </c>
      <c r="AG3" s="79"/>
      <c r="AH3" s="79"/>
      <c r="AI3" s="3"/>
      <c r="AL3" s="132" t="s">
        <v>803</v>
      </c>
    </row>
    <row r="4" spans="1:38" x14ac:dyDescent="0.3">
      <c r="A4" s="85" t="s">
        <v>131</v>
      </c>
      <c r="B4" s="3">
        <v>723730</v>
      </c>
      <c r="C4" s="3">
        <v>685275.00000000012</v>
      </c>
      <c r="D4" s="3">
        <v>628970</v>
      </c>
      <c r="E4" s="3">
        <v>590515</v>
      </c>
      <c r="F4" s="3">
        <v>553440</v>
      </c>
      <c r="G4" s="3">
        <v>519105</v>
      </c>
      <c r="H4" s="135" t="s">
        <v>799</v>
      </c>
      <c r="L4" s="85" t="s">
        <v>131</v>
      </c>
      <c r="M4" s="3">
        <v>26990</v>
      </c>
      <c r="N4" s="3">
        <v>26990</v>
      </c>
      <c r="O4" s="3">
        <v>26990</v>
      </c>
      <c r="P4" s="3">
        <v>26990</v>
      </c>
      <c r="Q4" s="3">
        <v>26990</v>
      </c>
      <c r="R4" s="3">
        <v>26990</v>
      </c>
      <c r="S4" s="135" t="s">
        <v>799</v>
      </c>
      <c r="T4" s="79"/>
      <c r="U4" s="79"/>
      <c r="V4" s="4"/>
      <c r="W4" s="85" t="s">
        <v>131</v>
      </c>
      <c r="X4" s="3">
        <v>0.1</v>
      </c>
      <c r="Z4" s="79"/>
      <c r="AA4" s="3"/>
      <c r="AC4" s="135" t="s">
        <v>799</v>
      </c>
      <c r="AE4" s="85" t="s">
        <v>140</v>
      </c>
      <c r="AF4" s="3">
        <v>0</v>
      </c>
      <c r="AG4" s="79"/>
      <c r="AH4" s="79"/>
      <c r="AI4" s="3"/>
      <c r="AL4" s="132" t="s">
        <v>803</v>
      </c>
    </row>
    <row r="5" spans="1:38" x14ac:dyDescent="0.3">
      <c r="A5" s="85" t="s">
        <v>213</v>
      </c>
      <c r="B5" s="3">
        <v>1134840</v>
      </c>
      <c r="C5" s="3">
        <v>1134840</v>
      </c>
      <c r="D5" s="3">
        <v>1095550</v>
      </c>
      <c r="E5" s="3">
        <v>1056270</v>
      </c>
      <c r="F5" s="3">
        <v>1030079.9999999999</v>
      </c>
      <c r="G5" s="3">
        <v>1003890</v>
      </c>
      <c r="H5" s="135" t="s">
        <v>799</v>
      </c>
      <c r="L5" s="85" t="s">
        <v>213</v>
      </c>
      <c r="M5" s="3">
        <v>100000</v>
      </c>
      <c r="N5" s="3">
        <v>95000</v>
      </c>
      <c r="O5" s="3">
        <v>92000</v>
      </c>
      <c r="P5" s="3">
        <v>89000</v>
      </c>
      <c r="Q5" s="3">
        <v>87000</v>
      </c>
      <c r="R5" s="3">
        <v>84000</v>
      </c>
      <c r="S5" s="135" t="s">
        <v>799</v>
      </c>
      <c r="T5" s="79"/>
      <c r="U5" s="79"/>
      <c r="V5" s="4"/>
      <c r="W5" s="85" t="s">
        <v>213</v>
      </c>
      <c r="X5" s="3">
        <v>7.5</v>
      </c>
      <c r="Z5" s="79"/>
      <c r="AA5" s="3"/>
      <c r="AC5" s="135" t="s">
        <v>799</v>
      </c>
      <c r="AE5" s="85" t="s">
        <v>141</v>
      </c>
      <c r="AF5" s="3">
        <v>0</v>
      </c>
      <c r="AG5" s="79"/>
      <c r="AH5" s="79"/>
      <c r="AI5" s="3"/>
      <c r="AL5" s="132" t="s">
        <v>803</v>
      </c>
    </row>
    <row r="6" spans="1:38" x14ac:dyDescent="0.3">
      <c r="A6" s="85" t="s">
        <v>133</v>
      </c>
      <c r="B6" s="3">
        <v>730000</v>
      </c>
      <c r="C6" s="3">
        <v>562000</v>
      </c>
      <c r="D6" s="3">
        <v>519000</v>
      </c>
      <c r="E6" s="3">
        <v>477000</v>
      </c>
      <c r="F6" s="3">
        <v>468000</v>
      </c>
      <c r="G6" s="3">
        <v>458000</v>
      </c>
      <c r="H6" s="135" t="s">
        <v>799</v>
      </c>
      <c r="L6" s="85" t="s">
        <v>133</v>
      </c>
      <c r="M6" s="3">
        <v>34720</v>
      </c>
      <c r="N6" s="3">
        <v>33380</v>
      </c>
      <c r="O6" s="3">
        <v>32880</v>
      </c>
      <c r="P6" s="3">
        <v>32380</v>
      </c>
      <c r="Q6" s="3">
        <v>32210</v>
      </c>
      <c r="R6" s="3">
        <v>32050</v>
      </c>
      <c r="S6" s="135" t="s">
        <v>799</v>
      </c>
      <c r="T6" s="79"/>
      <c r="U6" s="79"/>
      <c r="V6" s="4"/>
      <c r="W6" s="85" t="s">
        <v>133</v>
      </c>
      <c r="X6" s="3">
        <v>3</v>
      </c>
      <c r="Z6" s="79"/>
      <c r="AA6" s="3"/>
      <c r="AC6" s="135" t="s">
        <v>799</v>
      </c>
      <c r="AE6" s="85" t="s">
        <v>142</v>
      </c>
      <c r="AF6" s="3">
        <v>0</v>
      </c>
      <c r="AG6" s="79"/>
      <c r="AH6" s="79"/>
      <c r="AI6" s="3"/>
      <c r="AL6" s="132" t="s">
        <v>803</v>
      </c>
    </row>
    <row r="7" spans="1:38" x14ac:dyDescent="0.3">
      <c r="A7" s="85" t="s">
        <v>214</v>
      </c>
      <c r="B7" s="3">
        <v>1176250</v>
      </c>
      <c r="C7" s="3">
        <v>1176250</v>
      </c>
      <c r="D7" s="3">
        <v>1176250</v>
      </c>
      <c r="E7" s="3">
        <v>1176250</v>
      </c>
      <c r="F7" s="3">
        <v>1176250</v>
      </c>
      <c r="G7" s="3">
        <v>1176250</v>
      </c>
      <c r="H7" s="135" t="s">
        <v>802</v>
      </c>
      <c r="L7" s="85" t="s">
        <v>214</v>
      </c>
      <c r="M7" s="3">
        <v>70583</v>
      </c>
      <c r="N7" s="3">
        <v>70583</v>
      </c>
      <c r="O7" s="3">
        <v>70583</v>
      </c>
      <c r="P7" s="3">
        <v>70583</v>
      </c>
      <c r="Q7" s="3">
        <v>70583</v>
      </c>
      <c r="R7" s="3">
        <v>70583</v>
      </c>
      <c r="S7" s="135" t="s">
        <v>802</v>
      </c>
      <c r="T7" s="79"/>
      <c r="U7" s="79"/>
      <c r="V7" s="4"/>
      <c r="W7" s="85" t="s">
        <v>214</v>
      </c>
      <c r="X7" s="3">
        <v>1.18</v>
      </c>
      <c r="Z7" s="79"/>
      <c r="AA7" s="3"/>
      <c r="AC7" s="135" t="s">
        <v>853</v>
      </c>
      <c r="AE7" s="85" t="s">
        <v>143</v>
      </c>
      <c r="AF7" s="3">
        <v>0</v>
      </c>
      <c r="AG7" s="79"/>
      <c r="AH7" s="79"/>
      <c r="AI7" s="3"/>
      <c r="AL7" s="132" t="s">
        <v>803</v>
      </c>
    </row>
    <row r="8" spans="1:38" x14ac:dyDescent="0.3">
      <c r="A8" s="85" t="s">
        <v>652</v>
      </c>
      <c r="B8" s="3">
        <v>710000</v>
      </c>
      <c r="C8" s="3">
        <v>710000</v>
      </c>
      <c r="D8" s="3">
        <v>710000</v>
      </c>
      <c r="E8" s="3">
        <v>610000</v>
      </c>
      <c r="F8" s="3">
        <v>610000</v>
      </c>
      <c r="G8" s="3">
        <v>610000</v>
      </c>
      <c r="H8" s="135" t="s">
        <v>799</v>
      </c>
      <c r="L8" s="85" t="s">
        <v>652</v>
      </c>
      <c r="M8" s="3">
        <v>15500</v>
      </c>
      <c r="N8" s="3">
        <v>15500</v>
      </c>
      <c r="O8" s="3">
        <v>15500</v>
      </c>
      <c r="P8" s="3">
        <v>14000</v>
      </c>
      <c r="Q8" s="3">
        <v>14000</v>
      </c>
      <c r="R8" s="3">
        <v>14000</v>
      </c>
      <c r="S8" s="135" t="s">
        <v>799</v>
      </c>
      <c r="T8" s="79"/>
      <c r="U8" s="79"/>
      <c r="V8" s="4"/>
      <c r="W8" s="85" t="s">
        <v>652</v>
      </c>
      <c r="X8" s="3">
        <v>2</v>
      </c>
      <c r="Z8" s="79"/>
      <c r="AA8" s="3"/>
      <c r="AC8" s="135" t="s">
        <v>799</v>
      </c>
      <c r="AE8" s="85" t="s">
        <v>144</v>
      </c>
      <c r="AF8" s="3">
        <v>0</v>
      </c>
      <c r="AG8" s="79"/>
      <c r="AH8" s="79"/>
      <c r="AI8" s="3"/>
      <c r="AL8" s="132" t="s">
        <v>803</v>
      </c>
    </row>
    <row r="9" spans="1:38" x14ac:dyDescent="0.3">
      <c r="A9" s="85" t="s">
        <v>207</v>
      </c>
      <c r="B9" s="3">
        <v>4435500</v>
      </c>
      <c r="C9" s="3">
        <v>4435500</v>
      </c>
      <c r="D9" s="3">
        <v>4435500</v>
      </c>
      <c r="E9" s="3">
        <v>4435500</v>
      </c>
      <c r="F9" s="3">
        <v>4435500</v>
      </c>
      <c r="G9" s="3">
        <v>4435500</v>
      </c>
      <c r="H9" s="135" t="s">
        <v>810</v>
      </c>
      <c r="L9" s="85" t="s">
        <v>207</v>
      </c>
      <c r="M9" s="3">
        <v>72940</v>
      </c>
      <c r="N9" s="3">
        <v>72940</v>
      </c>
      <c r="O9" s="3">
        <v>72940</v>
      </c>
      <c r="P9" s="3">
        <v>72940</v>
      </c>
      <c r="Q9" s="3">
        <v>72940</v>
      </c>
      <c r="R9" s="3">
        <v>72940</v>
      </c>
      <c r="S9" s="135" t="s">
        <v>810</v>
      </c>
      <c r="T9" s="79"/>
      <c r="U9" s="79"/>
      <c r="V9" s="4"/>
      <c r="W9" s="85" t="s">
        <v>207</v>
      </c>
      <c r="X9" s="3">
        <v>2.62</v>
      </c>
      <c r="Z9" s="79"/>
      <c r="AA9" s="3"/>
      <c r="AC9" s="135" t="s">
        <v>810</v>
      </c>
      <c r="AE9" s="85" t="s">
        <v>211</v>
      </c>
      <c r="AF9" s="3">
        <v>3</v>
      </c>
      <c r="AG9" s="79"/>
      <c r="AH9" s="79"/>
      <c r="AI9" s="3"/>
      <c r="AL9" s="132" t="s">
        <v>847</v>
      </c>
    </row>
    <row r="10" spans="1:38" x14ac:dyDescent="0.3">
      <c r="A10" s="85" t="s">
        <v>208</v>
      </c>
      <c r="B10" s="3">
        <v>750000</v>
      </c>
      <c r="C10" s="3">
        <v>750000</v>
      </c>
      <c r="D10" s="3">
        <v>750000</v>
      </c>
      <c r="E10" s="3">
        <v>750000</v>
      </c>
      <c r="F10" s="3">
        <v>750000</v>
      </c>
      <c r="G10" s="3">
        <v>750000</v>
      </c>
      <c r="H10" s="135" t="s">
        <v>847</v>
      </c>
      <c r="L10" s="85" t="s">
        <v>208</v>
      </c>
      <c r="M10" s="3">
        <v>4564</v>
      </c>
      <c r="N10" s="3">
        <v>4564</v>
      </c>
      <c r="O10" s="3">
        <v>4564</v>
      </c>
      <c r="P10" s="3">
        <v>4564</v>
      </c>
      <c r="Q10" s="3">
        <v>4564</v>
      </c>
      <c r="R10" s="3">
        <v>4564</v>
      </c>
      <c r="S10" s="135" t="s">
        <v>847</v>
      </c>
      <c r="T10" s="79"/>
      <c r="U10" s="79"/>
      <c r="V10" s="4"/>
      <c r="W10" s="85" t="s">
        <v>208</v>
      </c>
      <c r="X10" s="3">
        <v>1.91</v>
      </c>
      <c r="Z10" s="79"/>
      <c r="AA10" s="3"/>
      <c r="AC10" s="135" t="s">
        <v>849</v>
      </c>
      <c r="AE10" s="85" t="s">
        <v>212</v>
      </c>
      <c r="AF10" s="3">
        <v>10</v>
      </c>
      <c r="AG10" s="79"/>
      <c r="AH10" s="79"/>
      <c r="AI10" s="3"/>
      <c r="AL10" s="132" t="s">
        <v>849</v>
      </c>
    </row>
    <row r="11" spans="1:38" x14ac:dyDescent="0.3">
      <c r="A11" s="85" t="s">
        <v>210</v>
      </c>
      <c r="B11" s="3">
        <v>2100000</v>
      </c>
      <c r="C11" s="3">
        <v>2100000</v>
      </c>
      <c r="D11" s="3">
        <v>2100000</v>
      </c>
      <c r="E11" s="3">
        <v>2100000</v>
      </c>
      <c r="F11" s="3">
        <v>2100000</v>
      </c>
      <c r="G11" s="3">
        <v>2100000</v>
      </c>
      <c r="H11" s="135" t="s">
        <v>847</v>
      </c>
      <c r="L11" s="85" t="s">
        <v>210</v>
      </c>
      <c r="M11" s="3">
        <v>30979</v>
      </c>
      <c r="N11" s="3">
        <v>30979</v>
      </c>
      <c r="O11" s="3">
        <v>30979</v>
      </c>
      <c r="P11" s="3">
        <v>30979</v>
      </c>
      <c r="Q11" s="3">
        <v>30979</v>
      </c>
      <c r="R11" s="3">
        <v>30979</v>
      </c>
      <c r="S11" s="135" t="s">
        <v>847</v>
      </c>
      <c r="T11" s="79"/>
      <c r="U11" s="79"/>
      <c r="V11" s="4"/>
      <c r="W11" s="85" t="s">
        <v>210</v>
      </c>
      <c r="X11" s="3">
        <v>1.43</v>
      </c>
      <c r="Z11" s="79"/>
      <c r="AA11" s="3"/>
      <c r="AC11" s="135" t="s">
        <v>849</v>
      </c>
      <c r="AE11" s="85"/>
      <c r="AF11" s="3"/>
      <c r="AG11" s="79"/>
      <c r="AH11" s="79"/>
      <c r="AI11" s="3"/>
    </row>
    <row r="12" spans="1:38" x14ac:dyDescent="0.3">
      <c r="A12" s="85" t="s">
        <v>132</v>
      </c>
      <c r="B12" s="3">
        <v>5885500</v>
      </c>
      <c r="C12" s="3">
        <v>5885500</v>
      </c>
      <c r="D12" s="3">
        <v>5885500</v>
      </c>
      <c r="E12" s="3">
        <v>5885500</v>
      </c>
      <c r="F12" s="3">
        <v>5885500</v>
      </c>
      <c r="G12" s="3">
        <v>5885500</v>
      </c>
      <c r="H12" s="135" t="s">
        <v>847</v>
      </c>
      <c r="L12" s="85" t="s">
        <v>132</v>
      </c>
      <c r="M12" s="3">
        <v>139139</v>
      </c>
      <c r="N12" s="3">
        <v>139139</v>
      </c>
      <c r="O12" s="3">
        <v>139139</v>
      </c>
      <c r="P12" s="3">
        <v>139139</v>
      </c>
      <c r="Q12" s="3">
        <v>139139</v>
      </c>
      <c r="R12" s="3">
        <v>139139</v>
      </c>
      <c r="S12" s="135" t="s">
        <v>847</v>
      </c>
      <c r="T12" s="79"/>
      <c r="U12" s="79"/>
      <c r="V12" s="4"/>
      <c r="W12" s="85" t="s">
        <v>132</v>
      </c>
      <c r="X12">
        <v>7.86</v>
      </c>
      <c r="Z12" s="79"/>
      <c r="AA12" s="3"/>
      <c r="AC12" s="135" t="s">
        <v>849</v>
      </c>
      <c r="AE12" s="85"/>
      <c r="AG12" s="79"/>
      <c r="AH12" s="79"/>
      <c r="AI12" s="3"/>
    </row>
    <row r="13" spans="1:38" x14ac:dyDescent="0.3">
      <c r="A13" s="85" t="s">
        <v>288</v>
      </c>
      <c r="B13" s="3">
        <v>2319000</v>
      </c>
      <c r="C13" s="3">
        <v>2319000</v>
      </c>
      <c r="D13" s="3">
        <v>2319000</v>
      </c>
      <c r="E13" s="3">
        <v>2319000</v>
      </c>
      <c r="F13" s="3">
        <v>2319000</v>
      </c>
      <c r="G13" s="3">
        <v>2319000</v>
      </c>
      <c r="H13" s="135" t="s">
        <v>847</v>
      </c>
      <c r="L13" s="85" t="s">
        <v>288</v>
      </c>
      <c r="M13" s="35">
        <v>65500</v>
      </c>
      <c r="N13" s="35">
        <v>65500</v>
      </c>
      <c r="O13" s="35">
        <v>65500</v>
      </c>
      <c r="P13" s="35">
        <v>65500</v>
      </c>
      <c r="Q13" s="35">
        <v>65500</v>
      </c>
      <c r="R13" s="35">
        <v>65500</v>
      </c>
      <c r="S13" s="135" t="s">
        <v>847</v>
      </c>
      <c r="T13" s="79"/>
      <c r="U13" s="79"/>
      <c r="V13" s="4"/>
      <c r="W13" s="85" t="s">
        <v>288</v>
      </c>
      <c r="X13" s="3">
        <v>4</v>
      </c>
      <c r="Z13" s="79"/>
      <c r="AA13" s="3"/>
      <c r="AC13" s="135" t="s">
        <v>849</v>
      </c>
      <c r="AE13" s="85"/>
      <c r="AF13" s="3"/>
      <c r="AG13" s="79"/>
      <c r="AH13" s="79"/>
      <c r="AI13" s="3"/>
    </row>
    <row r="14" spans="1:38" x14ac:dyDescent="0.3">
      <c r="A14" s="85" t="s">
        <v>581</v>
      </c>
      <c r="B14" s="3">
        <v>583500</v>
      </c>
      <c r="C14" s="3">
        <v>583500</v>
      </c>
      <c r="D14" s="3">
        <v>583500</v>
      </c>
      <c r="E14" s="3">
        <v>583500</v>
      </c>
      <c r="F14" s="3">
        <v>583500</v>
      </c>
      <c r="G14" s="3">
        <v>583500</v>
      </c>
      <c r="H14" s="135" t="s">
        <v>847</v>
      </c>
      <c r="L14" s="85" t="s">
        <v>581</v>
      </c>
      <c r="M14" s="35">
        <v>11440</v>
      </c>
      <c r="N14" s="35">
        <v>11440</v>
      </c>
      <c r="O14" s="35">
        <v>11440</v>
      </c>
      <c r="P14" s="35">
        <v>11440</v>
      </c>
      <c r="Q14" s="35">
        <v>11440</v>
      </c>
      <c r="R14" s="35">
        <v>11440</v>
      </c>
      <c r="S14" s="135" t="s">
        <v>847</v>
      </c>
      <c r="T14" s="79"/>
      <c r="U14" s="79"/>
      <c r="V14" s="4"/>
      <c r="W14" s="85" t="s">
        <v>581</v>
      </c>
      <c r="X14" s="3">
        <v>1.43</v>
      </c>
      <c r="Z14" s="79"/>
      <c r="AA14" s="3"/>
      <c r="AC14" s="135" t="s">
        <v>849</v>
      </c>
      <c r="AE14" s="85"/>
      <c r="AF14" s="3"/>
      <c r="AG14" s="79"/>
      <c r="AH14" s="79"/>
      <c r="AI14" s="3"/>
    </row>
    <row r="15" spans="1:38" x14ac:dyDescent="0.3">
      <c r="A15" s="85" t="s">
        <v>98</v>
      </c>
      <c r="B15" s="3">
        <v>1350000</v>
      </c>
      <c r="C15" s="3">
        <v>1350000</v>
      </c>
      <c r="D15" s="3">
        <v>1350000</v>
      </c>
      <c r="E15" s="3">
        <v>1350000</v>
      </c>
      <c r="F15" s="3">
        <v>1350000</v>
      </c>
      <c r="G15" s="3">
        <v>1350000</v>
      </c>
      <c r="H15" s="135" t="s">
        <v>847</v>
      </c>
      <c r="L15" s="85" t="s">
        <v>98</v>
      </c>
      <c r="M15" s="35">
        <v>23500</v>
      </c>
      <c r="N15" s="35">
        <v>23500</v>
      </c>
      <c r="O15" s="35">
        <v>23500</v>
      </c>
      <c r="P15" s="35">
        <v>23500</v>
      </c>
      <c r="Q15" s="35">
        <v>23500</v>
      </c>
      <c r="R15" s="35">
        <v>23500</v>
      </c>
      <c r="S15" s="135" t="s">
        <v>847</v>
      </c>
      <c r="T15" s="79"/>
      <c r="U15" s="79"/>
      <c r="V15" s="4"/>
      <c r="W15" s="85" t="s">
        <v>98</v>
      </c>
      <c r="X15" s="3">
        <v>0</v>
      </c>
      <c r="Z15" s="79"/>
      <c r="AA15" s="3"/>
      <c r="AC15" s="135" t="s">
        <v>850</v>
      </c>
      <c r="AE15" s="85"/>
      <c r="AF15" s="3"/>
      <c r="AG15" s="79"/>
      <c r="AH15" s="79"/>
      <c r="AI15" s="3"/>
    </row>
    <row r="16" spans="1:38" x14ac:dyDescent="0.3">
      <c r="A16" s="85" t="s">
        <v>99</v>
      </c>
      <c r="B16" s="3">
        <v>2100000</v>
      </c>
      <c r="C16" s="3">
        <v>2100000</v>
      </c>
      <c r="D16" s="3">
        <v>2100000</v>
      </c>
      <c r="E16" s="3">
        <v>2100000</v>
      </c>
      <c r="F16" s="3">
        <v>2100000</v>
      </c>
      <c r="G16" s="3">
        <v>2100000</v>
      </c>
      <c r="H16" s="135" t="s">
        <v>847</v>
      </c>
      <c r="L16" s="85" t="s">
        <v>99</v>
      </c>
      <c r="M16" s="35">
        <v>36300</v>
      </c>
      <c r="N16" s="35">
        <v>28000</v>
      </c>
      <c r="O16" s="35">
        <v>24500</v>
      </c>
      <c r="P16" s="35">
        <v>22500</v>
      </c>
      <c r="Q16" s="35">
        <v>22500</v>
      </c>
      <c r="R16" s="35">
        <v>22500</v>
      </c>
      <c r="S16" s="135" t="s">
        <v>847</v>
      </c>
      <c r="T16" s="79"/>
      <c r="U16" s="79"/>
      <c r="V16" s="4"/>
      <c r="W16" s="85" t="s">
        <v>99</v>
      </c>
      <c r="X16" s="3">
        <v>0</v>
      </c>
      <c r="Z16" s="79"/>
      <c r="AA16" s="3"/>
      <c r="AC16" s="135" t="s">
        <v>850</v>
      </c>
      <c r="AE16" s="85"/>
      <c r="AF16" s="3"/>
      <c r="AG16" s="79"/>
      <c r="AH16" s="79"/>
      <c r="AI16" s="3"/>
    </row>
    <row r="17" spans="1:35" x14ac:dyDescent="0.3">
      <c r="A17" s="85" t="s">
        <v>97</v>
      </c>
      <c r="B17" s="3">
        <v>750000</v>
      </c>
      <c r="C17" s="3">
        <v>750000</v>
      </c>
      <c r="D17" s="3">
        <v>750000</v>
      </c>
      <c r="E17" s="3">
        <v>750000</v>
      </c>
      <c r="F17" s="3">
        <v>750000</v>
      </c>
      <c r="G17" s="3">
        <v>750000</v>
      </c>
      <c r="H17" s="135" t="s">
        <v>847</v>
      </c>
      <c r="L17" s="85" t="s">
        <v>97</v>
      </c>
      <c r="M17" s="35">
        <v>6700</v>
      </c>
      <c r="N17" s="35">
        <v>6400</v>
      </c>
      <c r="O17" s="35">
        <v>6000</v>
      </c>
      <c r="P17" s="35">
        <v>5700</v>
      </c>
      <c r="Q17" s="35">
        <v>5700</v>
      </c>
      <c r="R17" s="35">
        <v>5700</v>
      </c>
      <c r="S17" s="135" t="s">
        <v>847</v>
      </c>
      <c r="T17" s="79"/>
      <c r="U17" s="79"/>
      <c r="V17" s="4"/>
      <c r="W17" s="85" t="s">
        <v>97</v>
      </c>
      <c r="X17" s="3">
        <v>0</v>
      </c>
      <c r="Z17" s="79"/>
      <c r="AA17" s="3"/>
      <c r="AC17" s="135" t="s">
        <v>850</v>
      </c>
      <c r="AE17" s="85"/>
      <c r="AF17" s="3"/>
      <c r="AG17" s="79"/>
      <c r="AH17" s="79"/>
      <c r="AI17" s="3"/>
    </row>
    <row r="18" spans="1:35" x14ac:dyDescent="0.3">
      <c r="A18" s="85" t="s">
        <v>582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135" t="s">
        <v>850</v>
      </c>
      <c r="L18" s="85" t="s">
        <v>582</v>
      </c>
      <c r="M18" s="35">
        <v>54640</v>
      </c>
      <c r="N18" s="35">
        <v>54640</v>
      </c>
      <c r="O18" s="35">
        <v>54640</v>
      </c>
      <c r="P18" s="35">
        <v>54640</v>
      </c>
      <c r="Q18" s="35">
        <v>54640</v>
      </c>
      <c r="R18" s="35">
        <v>54640</v>
      </c>
      <c r="S18" s="135" t="s">
        <v>850</v>
      </c>
      <c r="T18" s="79"/>
      <c r="U18" s="79"/>
      <c r="V18" s="4"/>
      <c r="W18" s="85" t="s">
        <v>582</v>
      </c>
      <c r="X18" s="3">
        <v>0</v>
      </c>
      <c r="Z18" s="79"/>
      <c r="AA18" s="3"/>
      <c r="AC18" s="135" t="s">
        <v>850</v>
      </c>
      <c r="AE18" s="85"/>
      <c r="AF18" s="3"/>
      <c r="AG18" s="79"/>
      <c r="AH18" s="79"/>
      <c r="AI18" s="3"/>
    </row>
    <row r="19" spans="1:35" x14ac:dyDescent="0.3">
      <c r="A19" s="85" t="s">
        <v>139</v>
      </c>
      <c r="B19" s="3">
        <v>8240</v>
      </c>
      <c r="C19" s="3">
        <v>8240</v>
      </c>
      <c r="D19" s="3">
        <v>8240</v>
      </c>
      <c r="E19" s="3">
        <v>8240</v>
      </c>
      <c r="F19" s="3">
        <v>8240</v>
      </c>
      <c r="G19" s="3">
        <v>8240</v>
      </c>
      <c r="H19" s="135" t="s">
        <v>803</v>
      </c>
      <c r="L19" s="85" t="s">
        <v>139</v>
      </c>
      <c r="M19" s="35">
        <v>240</v>
      </c>
      <c r="N19" s="35">
        <v>240</v>
      </c>
      <c r="O19" s="35">
        <v>240</v>
      </c>
      <c r="P19" s="35">
        <v>240</v>
      </c>
      <c r="Q19" s="35">
        <v>240</v>
      </c>
      <c r="R19" s="35">
        <v>240</v>
      </c>
      <c r="S19" s="135" t="s">
        <v>803</v>
      </c>
      <c r="T19" s="79"/>
      <c r="U19" s="79"/>
      <c r="V19" s="4"/>
      <c r="W19" s="85" t="s">
        <v>139</v>
      </c>
      <c r="X19" s="3">
        <v>0.28999999999999998</v>
      </c>
      <c r="Z19" s="79"/>
      <c r="AA19" s="3"/>
      <c r="AC19" s="135" t="s">
        <v>803</v>
      </c>
      <c r="AE19" s="85"/>
      <c r="AF19" s="3"/>
      <c r="AG19" s="79"/>
      <c r="AH19" s="79"/>
      <c r="AI19" s="3"/>
    </row>
    <row r="20" spans="1:35" x14ac:dyDescent="0.3">
      <c r="A20" s="85" t="s">
        <v>140</v>
      </c>
      <c r="B20" s="3">
        <v>1764</v>
      </c>
      <c r="C20" s="3">
        <v>1764</v>
      </c>
      <c r="D20" s="3">
        <v>1764</v>
      </c>
      <c r="E20" s="3">
        <v>1764</v>
      </c>
      <c r="F20" s="3">
        <v>1764</v>
      </c>
      <c r="G20" s="3">
        <v>1764</v>
      </c>
      <c r="H20" s="135" t="s">
        <v>803</v>
      </c>
      <c r="L20" s="85" t="s">
        <v>140</v>
      </c>
      <c r="M20" s="3">
        <v>70</v>
      </c>
      <c r="N20" s="3">
        <v>70</v>
      </c>
      <c r="O20" s="3">
        <v>70</v>
      </c>
      <c r="P20" s="3">
        <v>70</v>
      </c>
      <c r="Q20" s="3">
        <v>70</v>
      </c>
      <c r="R20" s="3">
        <v>70</v>
      </c>
      <c r="S20" s="135" t="s">
        <v>803</v>
      </c>
      <c r="T20" s="79"/>
      <c r="U20" s="79"/>
      <c r="V20" s="4"/>
      <c r="W20" s="85" t="s">
        <v>140</v>
      </c>
      <c r="X20" s="3">
        <v>0.42</v>
      </c>
      <c r="Z20" s="79"/>
      <c r="AA20" s="3"/>
      <c r="AC20" s="135" t="s">
        <v>803</v>
      </c>
      <c r="AE20" s="85"/>
      <c r="AF20" s="3"/>
      <c r="AG20" s="79"/>
      <c r="AH20" s="79"/>
      <c r="AI20" s="3"/>
    </row>
    <row r="21" spans="1:35" x14ac:dyDescent="0.3">
      <c r="A21" s="85" t="s">
        <v>141</v>
      </c>
      <c r="B21" s="3">
        <v>1403</v>
      </c>
      <c r="C21" s="3">
        <v>1403</v>
      </c>
      <c r="D21" s="3">
        <v>1403</v>
      </c>
      <c r="E21" s="3">
        <v>1403</v>
      </c>
      <c r="F21" s="3">
        <v>1403</v>
      </c>
      <c r="G21" s="3">
        <v>1403</v>
      </c>
      <c r="H21" s="135" t="s">
        <v>803</v>
      </c>
      <c r="L21" s="85" t="s">
        <v>141</v>
      </c>
      <c r="M21" s="3">
        <v>80</v>
      </c>
      <c r="N21" s="3">
        <v>80</v>
      </c>
      <c r="O21" s="3">
        <v>80</v>
      </c>
      <c r="P21" s="3">
        <v>80</v>
      </c>
      <c r="Q21" s="3">
        <v>80</v>
      </c>
      <c r="R21" s="3">
        <v>80</v>
      </c>
      <c r="S21" s="135" t="s">
        <v>803</v>
      </c>
      <c r="T21" s="79"/>
      <c r="U21" s="79"/>
      <c r="V21" s="4"/>
      <c r="W21" s="85" t="s">
        <v>141</v>
      </c>
      <c r="X21" s="3">
        <v>0.64</v>
      </c>
      <c r="Z21" s="79"/>
      <c r="AA21" s="3"/>
      <c r="AC21" s="135" t="s">
        <v>803</v>
      </c>
      <c r="AE21" s="85"/>
      <c r="AF21" s="3"/>
      <c r="AG21" s="79"/>
      <c r="AH21" s="79"/>
      <c r="AI21" s="3"/>
    </row>
    <row r="22" spans="1:35" x14ac:dyDescent="0.3">
      <c r="A22" s="85" t="s">
        <v>142</v>
      </c>
      <c r="B22" s="3">
        <v>1764</v>
      </c>
      <c r="C22" s="3">
        <v>1764</v>
      </c>
      <c r="D22" s="3">
        <v>1764</v>
      </c>
      <c r="E22" s="3">
        <v>1764</v>
      </c>
      <c r="F22" s="3">
        <v>1764</v>
      </c>
      <c r="G22" s="3">
        <v>1764</v>
      </c>
      <c r="H22" s="135" t="s">
        <v>803</v>
      </c>
      <c r="L22" s="85" t="s">
        <v>142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135" t="s">
        <v>803</v>
      </c>
      <c r="T22" s="79"/>
      <c r="U22" s="79"/>
      <c r="V22" s="4"/>
      <c r="W22" s="85" t="s">
        <v>142</v>
      </c>
      <c r="X22" s="3">
        <v>0.42</v>
      </c>
      <c r="Z22" s="79"/>
      <c r="AA22" s="3"/>
      <c r="AC22" s="135" t="s">
        <v>803</v>
      </c>
      <c r="AE22" s="85"/>
      <c r="AF22" s="3"/>
      <c r="AG22" s="79"/>
      <c r="AH22" s="79"/>
      <c r="AI22" s="3"/>
    </row>
    <row r="23" spans="1:35" x14ac:dyDescent="0.3">
      <c r="A23" s="85" t="s">
        <v>143</v>
      </c>
      <c r="B23" s="3">
        <v>11450</v>
      </c>
      <c r="C23" s="3">
        <v>11450</v>
      </c>
      <c r="D23" s="3">
        <v>11450</v>
      </c>
      <c r="E23" s="3">
        <v>11450</v>
      </c>
      <c r="F23" s="3">
        <v>11450</v>
      </c>
      <c r="G23" s="3">
        <v>11450</v>
      </c>
      <c r="H23" s="135" t="s">
        <v>803</v>
      </c>
      <c r="L23" s="85" t="s">
        <v>143</v>
      </c>
      <c r="M23" s="3">
        <v>343.5</v>
      </c>
      <c r="N23" s="3">
        <v>343.5</v>
      </c>
      <c r="O23" s="3">
        <v>343.5</v>
      </c>
      <c r="P23" s="3">
        <v>343.5</v>
      </c>
      <c r="Q23" s="3">
        <v>343.5</v>
      </c>
      <c r="R23" s="3">
        <v>343.5</v>
      </c>
      <c r="S23" s="135" t="s">
        <v>803</v>
      </c>
      <c r="T23" s="79"/>
      <c r="U23" s="79"/>
      <c r="V23" s="4"/>
      <c r="W23" s="85" t="s">
        <v>143</v>
      </c>
      <c r="X23" s="3">
        <v>0</v>
      </c>
      <c r="Z23" s="79"/>
      <c r="AA23" s="3"/>
      <c r="AC23" s="135" t="s">
        <v>803</v>
      </c>
      <c r="AE23" s="85"/>
      <c r="AF23" s="3"/>
      <c r="AG23" s="79"/>
      <c r="AH23" s="79"/>
      <c r="AI23" s="3"/>
    </row>
    <row r="24" spans="1:35" x14ac:dyDescent="0.3">
      <c r="A24" s="85" t="s">
        <v>144</v>
      </c>
      <c r="B24" s="3">
        <v>54750</v>
      </c>
      <c r="C24" s="3">
        <v>54750</v>
      </c>
      <c r="D24" s="3">
        <v>54750</v>
      </c>
      <c r="E24" s="3">
        <v>54750</v>
      </c>
      <c r="F24" s="3">
        <v>54750</v>
      </c>
      <c r="G24" s="3">
        <v>54750</v>
      </c>
      <c r="H24" s="135" t="s">
        <v>803</v>
      </c>
      <c r="L24" s="85" t="s">
        <v>144</v>
      </c>
      <c r="M24" s="3">
        <v>1060</v>
      </c>
      <c r="N24" s="3">
        <v>1060</v>
      </c>
      <c r="O24" s="3">
        <v>1060</v>
      </c>
      <c r="P24" s="3">
        <v>1060</v>
      </c>
      <c r="Q24" s="3">
        <v>1060</v>
      </c>
      <c r="R24" s="3">
        <v>1060</v>
      </c>
      <c r="S24" s="135" t="s">
        <v>803</v>
      </c>
      <c r="T24" s="79"/>
      <c r="U24" s="79"/>
      <c r="V24" s="4"/>
      <c r="W24" s="85" t="s">
        <v>144</v>
      </c>
      <c r="X24" s="3">
        <v>52.900000000000006</v>
      </c>
      <c r="Z24" s="79"/>
      <c r="AA24" s="3"/>
      <c r="AC24" s="135" t="s">
        <v>803</v>
      </c>
      <c r="AE24" s="85"/>
      <c r="AF24" s="3"/>
      <c r="AG24" s="79"/>
      <c r="AH24" s="79"/>
      <c r="AI24" s="3"/>
    </row>
    <row r="25" spans="1:35" x14ac:dyDescent="0.3">
      <c r="A25" s="85" t="s">
        <v>211</v>
      </c>
      <c r="B25" s="3">
        <v>563100</v>
      </c>
      <c r="C25" s="3">
        <v>563100</v>
      </c>
      <c r="D25" s="3">
        <v>563100</v>
      </c>
      <c r="E25" s="3">
        <v>563100</v>
      </c>
      <c r="F25" s="3">
        <v>563100</v>
      </c>
      <c r="G25" s="3">
        <v>563100</v>
      </c>
      <c r="H25" s="135" t="s">
        <v>810</v>
      </c>
      <c r="L25" s="85" t="s">
        <v>211</v>
      </c>
      <c r="M25" s="3">
        <v>6700</v>
      </c>
      <c r="N25" s="3">
        <v>6700</v>
      </c>
      <c r="O25" s="3">
        <v>6700</v>
      </c>
      <c r="P25" s="3">
        <v>6700</v>
      </c>
      <c r="Q25" s="3">
        <v>6700</v>
      </c>
      <c r="R25" s="3">
        <v>6700</v>
      </c>
      <c r="S25" s="135" t="s">
        <v>810</v>
      </c>
      <c r="T25" s="79"/>
      <c r="U25" s="79"/>
      <c r="V25" s="4"/>
      <c r="W25" s="85" t="s">
        <v>211</v>
      </c>
      <c r="X25" s="3">
        <v>0</v>
      </c>
      <c r="Z25" s="79"/>
      <c r="AA25" s="3"/>
      <c r="AC25" s="135" t="s">
        <v>810</v>
      </c>
      <c r="AE25" s="85"/>
      <c r="AF25" s="3"/>
      <c r="AG25" s="79"/>
      <c r="AH25" s="79"/>
      <c r="AI25" s="3"/>
    </row>
    <row r="26" spans="1:35" x14ac:dyDescent="0.3">
      <c r="A26" s="85" t="s">
        <v>212</v>
      </c>
      <c r="B26" s="3">
        <v>1032000</v>
      </c>
      <c r="C26" s="3">
        <v>1032000</v>
      </c>
      <c r="D26" s="3">
        <v>1032000</v>
      </c>
      <c r="E26" s="3">
        <v>1032000</v>
      </c>
      <c r="F26" s="3">
        <v>1032000</v>
      </c>
      <c r="G26" s="3">
        <v>1032000</v>
      </c>
      <c r="H26" s="135" t="s">
        <v>810</v>
      </c>
      <c r="L26" s="85" t="s">
        <v>212</v>
      </c>
      <c r="M26" s="3">
        <v>11192</v>
      </c>
      <c r="N26" s="3">
        <v>11192</v>
      </c>
      <c r="O26" s="3">
        <v>11192</v>
      </c>
      <c r="P26" s="3">
        <v>11192</v>
      </c>
      <c r="Q26" s="3">
        <v>11192</v>
      </c>
      <c r="R26" s="3">
        <v>11192</v>
      </c>
      <c r="S26" s="135" t="s">
        <v>810</v>
      </c>
      <c r="T26" s="79"/>
      <c r="U26" s="79"/>
      <c r="V26" s="4"/>
      <c r="W26" s="85" t="s">
        <v>212</v>
      </c>
      <c r="X26" s="3">
        <v>0</v>
      </c>
      <c r="Z26" s="79"/>
      <c r="AA26" s="3"/>
      <c r="AC26" s="135" t="s">
        <v>850</v>
      </c>
      <c r="AE26" s="85"/>
      <c r="AF26" s="3"/>
      <c r="AG26" s="79"/>
      <c r="AH26" s="79"/>
      <c r="AI26" s="3"/>
    </row>
    <row r="27" spans="1:35" x14ac:dyDescent="0.3">
      <c r="H27" s="18"/>
    </row>
    <row r="29" spans="1:35" x14ac:dyDescent="0.3">
      <c r="A29" s="72" t="s">
        <v>16</v>
      </c>
      <c r="B29" s="82"/>
      <c r="C29" s="82"/>
      <c r="D29" s="144" t="s">
        <v>826</v>
      </c>
      <c r="E29" s="72" t="s">
        <v>15</v>
      </c>
      <c r="F29" s="82"/>
      <c r="G29" s="82"/>
      <c r="H29" s="82"/>
      <c r="I29" s="144" t="s">
        <v>826</v>
      </c>
    </row>
    <row r="30" spans="1:35" x14ac:dyDescent="0.3">
      <c r="A30" s="72" t="s">
        <v>281</v>
      </c>
      <c r="D30" s="144"/>
      <c r="E30" s="72" t="s">
        <v>14</v>
      </c>
      <c r="F30" s="3"/>
      <c r="G30" s="83"/>
      <c r="I30" s="144"/>
    </row>
    <row r="31" spans="1:35" x14ac:dyDescent="0.3">
      <c r="A31" s="85" t="s">
        <v>130</v>
      </c>
      <c r="B31" s="3">
        <v>50</v>
      </c>
      <c r="C31" s="84"/>
      <c r="D31" s="134" t="s">
        <v>862</v>
      </c>
      <c r="E31" s="85" t="s">
        <v>130</v>
      </c>
      <c r="F31" s="3">
        <v>1000</v>
      </c>
      <c r="G31" s="83"/>
      <c r="I31" s="134" t="s">
        <v>862</v>
      </c>
    </row>
    <row r="32" spans="1:35" x14ac:dyDescent="0.3">
      <c r="A32" s="85" t="s">
        <v>131</v>
      </c>
      <c r="B32" s="3">
        <v>50</v>
      </c>
      <c r="C32" s="83"/>
      <c r="D32" s="134" t="s">
        <v>862</v>
      </c>
      <c r="E32" s="85" t="s">
        <v>131</v>
      </c>
      <c r="F32" s="3">
        <v>1000</v>
      </c>
      <c r="G32" s="83"/>
      <c r="I32" s="134" t="s">
        <v>862</v>
      </c>
    </row>
    <row r="33" spans="1:9" x14ac:dyDescent="0.3">
      <c r="A33" s="85" t="s">
        <v>213</v>
      </c>
      <c r="B33" s="3">
        <v>50</v>
      </c>
      <c r="C33" s="83"/>
      <c r="D33" s="134" t="s">
        <v>862</v>
      </c>
      <c r="E33" s="85" t="s">
        <v>213</v>
      </c>
      <c r="F33" s="3">
        <v>1000</v>
      </c>
      <c r="G33" s="83"/>
      <c r="I33" s="134" t="s">
        <v>862</v>
      </c>
    </row>
    <row r="34" spans="1:9" x14ac:dyDescent="0.3">
      <c r="A34" s="85" t="s">
        <v>133</v>
      </c>
      <c r="B34" s="3">
        <v>50</v>
      </c>
      <c r="C34" s="83"/>
      <c r="D34" s="134" t="s">
        <v>862</v>
      </c>
      <c r="E34" s="85" t="s">
        <v>133</v>
      </c>
      <c r="F34" s="3">
        <v>1000</v>
      </c>
      <c r="G34" s="83"/>
      <c r="I34" s="134" t="s">
        <v>862</v>
      </c>
    </row>
    <row r="35" spans="1:9" x14ac:dyDescent="0.3">
      <c r="A35" s="85" t="s">
        <v>652</v>
      </c>
      <c r="B35" s="3">
        <v>54.2</v>
      </c>
      <c r="C35" s="83"/>
      <c r="D35" s="134" t="s">
        <v>864</v>
      </c>
      <c r="E35" s="85" t="s">
        <v>652</v>
      </c>
      <c r="F35" s="3">
        <v>1000</v>
      </c>
      <c r="G35" s="83"/>
      <c r="I35" s="134" t="s">
        <v>864</v>
      </c>
    </row>
    <row r="36" spans="1:9" x14ac:dyDescent="0.3">
      <c r="A36" s="85" t="s">
        <v>207</v>
      </c>
      <c r="B36" s="3">
        <v>22.4</v>
      </c>
      <c r="C36" s="83"/>
      <c r="D36" s="134" t="s">
        <v>864</v>
      </c>
      <c r="E36" s="85" t="s">
        <v>207</v>
      </c>
      <c r="F36" s="3">
        <v>1000</v>
      </c>
      <c r="G36" s="3"/>
      <c r="I36" s="134" t="s">
        <v>864</v>
      </c>
    </row>
    <row r="37" spans="1:9" x14ac:dyDescent="0.3">
      <c r="A37" s="85" t="s">
        <v>287</v>
      </c>
      <c r="B37" s="3">
        <v>54.2</v>
      </c>
      <c r="C37" s="3"/>
      <c r="D37" s="134" t="s">
        <v>864</v>
      </c>
      <c r="E37" s="85" t="s">
        <v>287</v>
      </c>
      <c r="F37" s="3">
        <v>1000</v>
      </c>
      <c r="G37" s="3"/>
      <c r="I37" s="134" t="s">
        <v>864</v>
      </c>
    </row>
    <row r="38" spans="1:9" x14ac:dyDescent="0.3">
      <c r="A38" s="85" t="s">
        <v>210</v>
      </c>
      <c r="B38" s="3">
        <v>64.47</v>
      </c>
      <c r="C38" s="3"/>
      <c r="D38" s="134" t="s">
        <v>864</v>
      </c>
      <c r="E38" s="85" t="s">
        <v>210</v>
      </c>
      <c r="F38" s="3">
        <v>1000</v>
      </c>
      <c r="G38" s="3"/>
      <c r="I38" s="134" t="s">
        <v>864</v>
      </c>
    </row>
    <row r="39" spans="1:9" x14ac:dyDescent="0.3">
      <c r="A39" s="85" t="s">
        <v>208</v>
      </c>
      <c r="B39" s="3">
        <v>22.06</v>
      </c>
      <c r="C39" s="3"/>
      <c r="D39" s="134" t="s">
        <v>864</v>
      </c>
      <c r="E39" s="85" t="s">
        <v>208</v>
      </c>
      <c r="F39" s="3">
        <v>1000</v>
      </c>
      <c r="G39" s="3"/>
      <c r="I39" s="134" t="s">
        <v>864</v>
      </c>
    </row>
    <row r="40" spans="1:9" x14ac:dyDescent="0.3">
      <c r="A40" s="85" t="s">
        <v>288</v>
      </c>
      <c r="B40" s="3">
        <v>65.2</v>
      </c>
      <c r="C40" s="3"/>
      <c r="D40" s="134" t="s">
        <v>864</v>
      </c>
      <c r="E40" s="85" t="s">
        <v>288</v>
      </c>
      <c r="F40" s="3">
        <v>1000</v>
      </c>
      <c r="G40" s="3"/>
      <c r="I40" s="134" t="s">
        <v>864</v>
      </c>
    </row>
    <row r="41" spans="1:9" x14ac:dyDescent="0.3">
      <c r="A41" s="85" t="s">
        <v>132</v>
      </c>
      <c r="B41" s="3">
        <v>44.9</v>
      </c>
      <c r="C41" s="3"/>
      <c r="D41" s="134" t="s">
        <v>862</v>
      </c>
      <c r="E41" s="85" t="s">
        <v>132</v>
      </c>
      <c r="F41" s="3">
        <v>1000</v>
      </c>
      <c r="G41" s="3"/>
      <c r="I41" s="134" t="s">
        <v>862</v>
      </c>
    </row>
    <row r="42" spans="1:9" x14ac:dyDescent="0.3">
      <c r="A42" s="85"/>
      <c r="B42" s="3"/>
      <c r="C42" s="3"/>
      <c r="E42" s="85"/>
      <c r="F42" s="3"/>
      <c r="G42" s="3"/>
    </row>
    <row r="43" spans="1:9" x14ac:dyDescent="0.3">
      <c r="A43" s="85"/>
      <c r="B43" s="3"/>
      <c r="C43" s="3"/>
      <c r="E43" s="85"/>
      <c r="F43" s="3"/>
      <c r="G43" s="3"/>
    </row>
    <row r="44" spans="1:9" x14ac:dyDescent="0.3">
      <c r="A44" s="85"/>
      <c r="B44" s="3"/>
      <c r="C44" s="3"/>
      <c r="E44" s="85"/>
      <c r="F44" s="3"/>
      <c r="G44" s="3"/>
    </row>
  </sheetData>
  <mergeCells count="6">
    <mergeCell ref="AC1:AC2"/>
    <mergeCell ref="H1:H2"/>
    <mergeCell ref="S1:S2"/>
    <mergeCell ref="I29:I30"/>
    <mergeCell ref="AL1:AL2"/>
    <mergeCell ref="D29:D30"/>
  </mergeCells>
  <phoneticPr fontId="5" type="noConversion"/>
  <hyperlinks>
    <hyperlink ref="H1:H2" location="References!B2" display="Ref" xr:uid="{7790D56E-7873-4A09-A47B-5F9221B5929D}"/>
    <hyperlink ref="S1:S2" location="References!B2" display="Ref" xr:uid="{B67568BB-EF3F-4630-BF18-6310ABB73AD9}"/>
    <hyperlink ref="I29:I30" location="References!B2" display="Ref" xr:uid="{04821575-B191-41B4-9164-6ABA7C21F5BE}"/>
    <hyperlink ref="D29:D30" location="References!B2" display="Ref" xr:uid="{0B414DF0-B170-4CFE-82D6-B163A7C16B85}"/>
    <hyperlink ref="AC1:AC2" location="References!B2" display="Ref" xr:uid="{511ECF82-1788-413A-ACAF-BBB2D730D355}"/>
    <hyperlink ref="AL1:AL2" location="References!B2" display="Ref" xr:uid="{2D6B9EDB-1651-40F1-934A-68888574E27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AEA0-C345-4767-8ACA-88A2BB929FBF}">
  <sheetPr>
    <tabColor theme="0" tint="-0.34998626667073579"/>
  </sheetPr>
  <dimension ref="A1:AC85"/>
  <sheetViews>
    <sheetView topLeftCell="H1" workbookViewId="0">
      <selection activeCell="Y2" sqref="Y2"/>
    </sheetView>
  </sheetViews>
  <sheetFormatPr defaultRowHeight="14.4" x14ac:dyDescent="0.3"/>
  <cols>
    <col min="22" max="22" width="13.5546875" bestFit="1" customWidth="1"/>
    <col min="24" max="24" width="9.109375" customWidth="1"/>
  </cols>
  <sheetData>
    <row r="1" spans="1:25" x14ac:dyDescent="0.3">
      <c r="A1" s="1" t="s">
        <v>244</v>
      </c>
      <c r="G1" s="1" t="s">
        <v>245</v>
      </c>
    </row>
    <row r="2" spans="1:25" x14ac:dyDescent="0.3">
      <c r="S2" s="143" t="s">
        <v>826</v>
      </c>
      <c r="Y2" s="143" t="s">
        <v>826</v>
      </c>
    </row>
    <row r="3" spans="1:25" x14ac:dyDescent="0.3">
      <c r="A3" s="26" t="s">
        <v>160</v>
      </c>
      <c r="B3" s="26"/>
      <c r="C3" s="26" t="s">
        <v>129</v>
      </c>
      <c r="D3" s="26" t="s">
        <v>230</v>
      </c>
      <c r="G3" s="26" t="s">
        <v>160</v>
      </c>
      <c r="H3" s="26"/>
      <c r="I3" s="26" t="s">
        <v>129</v>
      </c>
      <c r="J3" s="26" t="s">
        <v>230</v>
      </c>
      <c r="L3" s="26" t="s">
        <v>248</v>
      </c>
      <c r="M3" s="26" t="s">
        <v>129</v>
      </c>
      <c r="N3" s="26" t="s">
        <v>134</v>
      </c>
      <c r="P3" t="s">
        <v>250</v>
      </c>
      <c r="Q3" s="26" t="s">
        <v>129</v>
      </c>
      <c r="R3" s="26" t="s">
        <v>249</v>
      </c>
      <c r="S3" s="134" t="s">
        <v>821</v>
      </c>
      <c r="T3" s="26" t="s">
        <v>513</v>
      </c>
      <c r="U3" s="26" t="s">
        <v>176</v>
      </c>
      <c r="V3" s="26" t="s">
        <v>177</v>
      </c>
      <c r="W3" s="26" t="s">
        <v>129</v>
      </c>
      <c r="X3" s="26"/>
      <c r="Y3" s="132" t="s">
        <v>867</v>
      </c>
    </row>
    <row r="4" spans="1:25" x14ac:dyDescent="0.3">
      <c r="A4" s="12" t="s">
        <v>231</v>
      </c>
      <c r="B4" s="12" t="s">
        <v>232</v>
      </c>
      <c r="C4" s="3" t="s">
        <v>90</v>
      </c>
      <c r="D4" s="3" t="s">
        <v>87</v>
      </c>
      <c r="G4" s="12" t="s">
        <v>231</v>
      </c>
      <c r="H4" s="12" t="s">
        <v>232</v>
      </c>
      <c r="I4" s="3" t="s">
        <v>90</v>
      </c>
      <c r="J4" s="3" t="s">
        <v>87</v>
      </c>
      <c r="L4" s="3"/>
      <c r="M4" s="3" t="s">
        <v>84</v>
      </c>
      <c r="N4" s="3" t="s">
        <v>137</v>
      </c>
      <c r="Q4" s="3" t="s">
        <v>87</v>
      </c>
      <c r="R4" s="3" t="s">
        <v>139</v>
      </c>
      <c r="T4" s="3"/>
      <c r="U4" s="3" t="s">
        <v>186</v>
      </c>
      <c r="V4" s="3" t="s">
        <v>201</v>
      </c>
      <c r="W4" s="3" t="s">
        <v>90</v>
      </c>
      <c r="X4" s="3" t="s">
        <v>204</v>
      </c>
    </row>
    <row r="5" spans="1:25" x14ac:dyDescent="0.3">
      <c r="A5" s="12" t="s">
        <v>232</v>
      </c>
      <c r="B5" s="12" t="s">
        <v>233</v>
      </c>
      <c r="C5" s="3" t="s">
        <v>87</v>
      </c>
      <c r="D5" s="3" t="s">
        <v>86</v>
      </c>
      <c r="G5" s="12" t="s">
        <v>232</v>
      </c>
      <c r="H5" s="12" t="s">
        <v>233</v>
      </c>
      <c r="I5" s="3" t="s">
        <v>87</v>
      </c>
      <c r="J5" s="3" t="s">
        <v>86</v>
      </c>
      <c r="L5" s="3"/>
      <c r="M5" s="3" t="s">
        <v>89</v>
      </c>
      <c r="N5" s="3" t="s">
        <v>138</v>
      </c>
      <c r="Q5" s="3" t="s">
        <v>89</v>
      </c>
      <c r="R5" s="3" t="s">
        <v>140</v>
      </c>
      <c r="T5" s="3"/>
      <c r="U5" s="3" t="s">
        <v>186</v>
      </c>
      <c r="V5" s="3" t="s">
        <v>251</v>
      </c>
      <c r="W5" s="3" t="s">
        <v>90</v>
      </c>
      <c r="X5" s="3" t="s">
        <v>87</v>
      </c>
    </row>
    <row r="6" spans="1:25" x14ac:dyDescent="0.3">
      <c r="A6" s="12" t="s">
        <v>232</v>
      </c>
      <c r="B6" s="12" t="s">
        <v>234</v>
      </c>
      <c r="C6" s="3" t="s">
        <v>87</v>
      </c>
      <c r="D6" s="3" t="s">
        <v>89</v>
      </c>
      <c r="G6" s="12" t="s">
        <v>232</v>
      </c>
      <c r="H6" s="12" t="s">
        <v>234</v>
      </c>
      <c r="I6" s="3" t="s">
        <v>87</v>
      </c>
      <c r="J6" s="3" t="s">
        <v>89</v>
      </c>
      <c r="L6" s="3"/>
      <c r="M6" s="3" t="s">
        <v>90</v>
      </c>
      <c r="N6" s="3" t="s">
        <v>135</v>
      </c>
      <c r="Q6" s="3" t="s">
        <v>86</v>
      </c>
      <c r="R6" s="3" t="s">
        <v>141</v>
      </c>
      <c r="T6" s="3"/>
      <c r="U6" s="3" t="s">
        <v>186</v>
      </c>
      <c r="V6" s="3" t="s">
        <v>195</v>
      </c>
      <c r="W6" s="3" t="s">
        <v>87</v>
      </c>
      <c r="X6" s="3" t="s">
        <v>87</v>
      </c>
    </row>
    <row r="7" spans="1:25" x14ac:dyDescent="0.3">
      <c r="A7" s="12" t="s">
        <v>232</v>
      </c>
      <c r="B7" s="12" t="s">
        <v>231</v>
      </c>
      <c r="C7" s="3" t="s">
        <v>87</v>
      </c>
      <c r="D7" s="3" t="s">
        <v>90</v>
      </c>
      <c r="G7" s="12" t="s">
        <v>232</v>
      </c>
      <c r="H7" s="12" t="s">
        <v>231</v>
      </c>
      <c r="I7" s="3" t="s">
        <v>87</v>
      </c>
      <c r="J7" s="3" t="s">
        <v>90</v>
      </c>
      <c r="Q7" s="3" t="s">
        <v>89</v>
      </c>
      <c r="R7" s="3" t="s">
        <v>142</v>
      </c>
      <c r="T7" s="3"/>
      <c r="U7" s="3" t="s">
        <v>186</v>
      </c>
      <c r="V7" s="3" t="s">
        <v>198</v>
      </c>
      <c r="W7" s="3" t="s">
        <v>85</v>
      </c>
      <c r="X7" s="3" t="s">
        <v>205</v>
      </c>
    </row>
    <row r="8" spans="1:25" x14ac:dyDescent="0.3">
      <c r="A8" s="12" t="s">
        <v>233</v>
      </c>
      <c r="B8" s="12" t="s">
        <v>232</v>
      </c>
      <c r="C8" s="3" t="s">
        <v>86</v>
      </c>
      <c r="D8" s="3" t="s">
        <v>87</v>
      </c>
      <c r="G8" s="12" t="s">
        <v>233</v>
      </c>
      <c r="H8" s="12" t="s">
        <v>232</v>
      </c>
      <c r="I8" s="3" t="s">
        <v>86</v>
      </c>
      <c r="J8" s="3" t="s">
        <v>87</v>
      </c>
      <c r="Q8" s="118" t="s">
        <v>90</v>
      </c>
      <c r="R8" s="119" t="s">
        <v>143</v>
      </c>
      <c r="T8" s="3"/>
      <c r="U8" s="3" t="s">
        <v>186</v>
      </c>
      <c r="V8" s="3" t="s">
        <v>252</v>
      </c>
      <c r="W8" s="3" t="s">
        <v>96</v>
      </c>
      <c r="X8" s="3" t="s">
        <v>204</v>
      </c>
    </row>
    <row r="9" spans="1:25" x14ac:dyDescent="0.3">
      <c r="A9" s="12" t="s">
        <v>233</v>
      </c>
      <c r="B9" s="12" t="s">
        <v>234</v>
      </c>
      <c r="C9" s="3" t="s">
        <v>86</v>
      </c>
      <c r="D9" s="3" t="s">
        <v>89</v>
      </c>
      <c r="G9" s="12" t="s">
        <v>233</v>
      </c>
      <c r="H9" s="12" t="s">
        <v>234</v>
      </c>
      <c r="I9" s="3" t="s">
        <v>86</v>
      </c>
      <c r="J9" s="3" t="s">
        <v>89</v>
      </c>
      <c r="Q9" s="118" t="s">
        <v>87</v>
      </c>
      <c r="R9" s="119" t="s">
        <v>143</v>
      </c>
      <c r="T9" s="3"/>
      <c r="U9" s="3" t="s">
        <v>186</v>
      </c>
      <c r="V9" s="3" t="s">
        <v>253</v>
      </c>
      <c r="W9" s="3" t="s">
        <v>93</v>
      </c>
      <c r="X9" s="3" t="s">
        <v>183</v>
      </c>
    </row>
    <row r="10" spans="1:25" x14ac:dyDescent="0.3">
      <c r="A10" s="12" t="s">
        <v>233</v>
      </c>
      <c r="B10" s="12" t="s">
        <v>235</v>
      </c>
      <c r="C10" s="3" t="s">
        <v>86</v>
      </c>
      <c r="D10" s="3" t="s">
        <v>85</v>
      </c>
      <c r="G10" s="12" t="s">
        <v>233</v>
      </c>
      <c r="H10" s="12" t="s">
        <v>235</v>
      </c>
      <c r="I10" s="3" t="s">
        <v>86</v>
      </c>
      <c r="J10" s="3" t="s">
        <v>85</v>
      </c>
      <c r="Q10" s="118" t="s">
        <v>86</v>
      </c>
      <c r="R10" s="119" t="s">
        <v>143</v>
      </c>
      <c r="T10" s="3"/>
      <c r="U10" s="3" t="s">
        <v>186</v>
      </c>
      <c r="V10" s="3" t="s">
        <v>193</v>
      </c>
      <c r="W10" s="3" t="s">
        <v>92</v>
      </c>
      <c r="X10" s="3" t="s">
        <v>183</v>
      </c>
    </row>
    <row r="11" spans="1:25" x14ac:dyDescent="0.3">
      <c r="A11" s="12" t="s">
        <v>234</v>
      </c>
      <c r="B11" s="12" t="s">
        <v>232</v>
      </c>
      <c r="C11" s="3" t="s">
        <v>89</v>
      </c>
      <c r="D11" s="3" t="s">
        <v>87</v>
      </c>
      <c r="G11" s="12" t="s">
        <v>234</v>
      </c>
      <c r="H11" s="12" t="s">
        <v>232</v>
      </c>
      <c r="I11" s="3" t="s">
        <v>89</v>
      </c>
      <c r="J11" s="3" t="s">
        <v>87</v>
      </c>
      <c r="Q11" s="118" t="s">
        <v>89</v>
      </c>
      <c r="R11" s="119" t="s">
        <v>143</v>
      </c>
      <c r="T11" s="3"/>
      <c r="U11" s="3" t="s">
        <v>186</v>
      </c>
      <c r="V11" s="3" t="s">
        <v>191</v>
      </c>
      <c r="W11" s="3" t="s">
        <v>91</v>
      </c>
      <c r="X11" s="3" t="s">
        <v>183</v>
      </c>
    </row>
    <row r="12" spans="1:25" x14ac:dyDescent="0.3">
      <c r="A12" s="12" t="s">
        <v>234</v>
      </c>
      <c r="B12" s="12" t="s">
        <v>233</v>
      </c>
      <c r="C12" s="3" t="s">
        <v>89</v>
      </c>
      <c r="D12" s="3" t="s">
        <v>86</v>
      </c>
      <c r="G12" s="12" t="s">
        <v>234</v>
      </c>
      <c r="H12" s="12" t="s">
        <v>233</v>
      </c>
      <c r="I12" s="3" t="s">
        <v>89</v>
      </c>
      <c r="J12" s="3" t="s">
        <v>86</v>
      </c>
      <c r="Q12" s="118" t="s">
        <v>94</v>
      </c>
      <c r="R12" s="119" t="s">
        <v>143</v>
      </c>
      <c r="T12" s="3"/>
      <c r="U12" s="3" t="s">
        <v>186</v>
      </c>
      <c r="V12" s="3" t="s">
        <v>255</v>
      </c>
      <c r="W12" s="3" t="s">
        <v>91</v>
      </c>
      <c r="X12" s="3" t="s">
        <v>203</v>
      </c>
    </row>
    <row r="13" spans="1:25" x14ac:dyDescent="0.3">
      <c r="A13" s="12" t="s">
        <v>234</v>
      </c>
      <c r="B13" s="12" t="s">
        <v>235</v>
      </c>
      <c r="C13" s="3" t="s">
        <v>89</v>
      </c>
      <c r="D13" s="3" t="s">
        <v>85</v>
      </c>
      <c r="G13" s="12" t="s">
        <v>234</v>
      </c>
      <c r="H13" s="12" t="s">
        <v>236</v>
      </c>
      <c r="I13" s="3" t="s">
        <v>89</v>
      </c>
      <c r="J13" s="3" t="s">
        <v>94</v>
      </c>
      <c r="Q13" s="118" t="s">
        <v>85</v>
      </c>
      <c r="R13" s="119" t="s">
        <v>143</v>
      </c>
      <c r="T13" s="3"/>
      <c r="U13" s="3" t="s">
        <v>186</v>
      </c>
      <c r="V13" s="3" t="s">
        <v>199</v>
      </c>
      <c r="W13" s="3" t="s">
        <v>91</v>
      </c>
      <c r="X13" s="3" t="s">
        <v>257</v>
      </c>
    </row>
    <row r="14" spans="1:25" x14ac:dyDescent="0.3">
      <c r="A14" s="12" t="s">
        <v>234</v>
      </c>
      <c r="B14" s="12" t="s">
        <v>236</v>
      </c>
      <c r="C14" s="3" t="s">
        <v>89</v>
      </c>
      <c r="D14" s="3" t="s">
        <v>94</v>
      </c>
      <c r="G14" s="12" t="s">
        <v>234</v>
      </c>
      <c r="H14" s="12" t="s">
        <v>237</v>
      </c>
      <c r="I14" s="3" t="s">
        <v>89</v>
      </c>
      <c r="J14" s="3" t="s">
        <v>95</v>
      </c>
      <c r="Q14" s="118" t="s">
        <v>84</v>
      </c>
      <c r="R14" s="119" t="s">
        <v>143</v>
      </c>
      <c r="T14" s="3"/>
      <c r="U14" s="3" t="s">
        <v>186</v>
      </c>
      <c r="V14" s="3" t="s">
        <v>254</v>
      </c>
      <c r="W14" s="3" t="s">
        <v>91</v>
      </c>
      <c r="X14" s="3" t="s">
        <v>183</v>
      </c>
    </row>
    <row r="15" spans="1:25" x14ac:dyDescent="0.3">
      <c r="A15" s="12" t="s">
        <v>234</v>
      </c>
      <c r="B15" s="12" t="s">
        <v>237</v>
      </c>
      <c r="C15" s="3" t="s">
        <v>89</v>
      </c>
      <c r="D15" s="3" t="s">
        <v>95</v>
      </c>
      <c r="G15" s="12" t="s">
        <v>236</v>
      </c>
      <c r="H15" s="12" t="s">
        <v>234</v>
      </c>
      <c r="I15" s="3" t="s">
        <v>94</v>
      </c>
      <c r="J15" s="3" t="s">
        <v>89</v>
      </c>
      <c r="Q15" s="118" t="s">
        <v>88</v>
      </c>
      <c r="R15" s="119" t="s">
        <v>143</v>
      </c>
      <c r="T15" s="3"/>
      <c r="U15" s="3" t="s">
        <v>186</v>
      </c>
      <c r="V15" s="3" t="s">
        <v>194</v>
      </c>
      <c r="W15" s="3" t="s">
        <v>95</v>
      </c>
      <c r="X15" s="3" t="s">
        <v>204</v>
      </c>
    </row>
    <row r="16" spans="1:25" x14ac:dyDescent="0.3">
      <c r="A16" s="12" t="s">
        <v>236</v>
      </c>
      <c r="B16" s="12" t="s">
        <v>234</v>
      </c>
      <c r="C16" s="3" t="s">
        <v>94</v>
      </c>
      <c r="D16" s="3" t="s">
        <v>89</v>
      </c>
      <c r="G16" s="12" t="s">
        <v>236</v>
      </c>
      <c r="H16" s="12" t="s">
        <v>235</v>
      </c>
      <c r="I16" s="3" t="s">
        <v>94</v>
      </c>
      <c r="J16" s="3" t="s">
        <v>85</v>
      </c>
      <c r="Q16" s="118" t="s">
        <v>95</v>
      </c>
      <c r="R16" s="119" t="s">
        <v>143</v>
      </c>
    </row>
    <row r="17" spans="1:29" x14ac:dyDescent="0.3">
      <c r="A17" s="12" t="s">
        <v>236</v>
      </c>
      <c r="B17" s="12" t="s">
        <v>235</v>
      </c>
      <c r="C17" s="3" t="s">
        <v>94</v>
      </c>
      <c r="D17" s="3" t="s">
        <v>85</v>
      </c>
      <c r="G17" s="12" t="s">
        <v>236</v>
      </c>
      <c r="H17" s="12" t="s">
        <v>239</v>
      </c>
      <c r="I17" s="3" t="s">
        <v>94</v>
      </c>
      <c r="J17" s="3" t="s">
        <v>93</v>
      </c>
      <c r="Q17" s="118" t="s">
        <v>96</v>
      </c>
      <c r="R17" s="119" t="s">
        <v>143</v>
      </c>
    </row>
    <row r="18" spans="1:29" x14ac:dyDescent="0.3">
      <c r="A18" s="12" t="s">
        <v>236</v>
      </c>
      <c r="B18" s="12" t="s">
        <v>238</v>
      </c>
      <c r="C18" s="3" t="s">
        <v>94</v>
      </c>
      <c r="D18" s="3" t="s">
        <v>92</v>
      </c>
      <c r="G18" s="12" t="s">
        <v>236</v>
      </c>
      <c r="H18" s="12" t="s">
        <v>240</v>
      </c>
      <c r="I18" s="3" t="s">
        <v>94</v>
      </c>
      <c r="J18" s="3" t="s">
        <v>96</v>
      </c>
      <c r="Q18" s="118" t="s">
        <v>93</v>
      </c>
      <c r="R18" s="119" t="s">
        <v>143</v>
      </c>
    </row>
    <row r="19" spans="1:29" x14ac:dyDescent="0.3">
      <c r="A19" s="12" t="s">
        <v>236</v>
      </c>
      <c r="B19" s="12" t="s">
        <v>239</v>
      </c>
      <c r="C19" s="3" t="s">
        <v>94</v>
      </c>
      <c r="D19" s="3" t="s">
        <v>93</v>
      </c>
      <c r="G19" s="12" t="s">
        <v>235</v>
      </c>
      <c r="H19" s="12" t="s">
        <v>233</v>
      </c>
      <c r="I19" s="3" t="s">
        <v>85</v>
      </c>
      <c r="J19" s="3" t="s">
        <v>86</v>
      </c>
      <c r="Q19" s="118" t="s">
        <v>92</v>
      </c>
      <c r="R19" s="119" t="s">
        <v>143</v>
      </c>
      <c r="T19" s="1" t="s">
        <v>514</v>
      </c>
      <c r="U19" s="1"/>
      <c r="V19" s="1"/>
    </row>
    <row r="20" spans="1:29" x14ac:dyDescent="0.3">
      <c r="A20" s="12" t="s">
        <v>236</v>
      </c>
      <c r="B20" s="12" t="s">
        <v>240</v>
      </c>
      <c r="C20" s="3" t="s">
        <v>94</v>
      </c>
      <c r="D20" s="3" t="s">
        <v>96</v>
      </c>
      <c r="G20" s="12" t="s">
        <v>235</v>
      </c>
      <c r="H20" s="12" t="s">
        <v>241</v>
      </c>
      <c r="I20" s="3" t="s">
        <v>85</v>
      </c>
      <c r="J20" s="3" t="s">
        <v>84</v>
      </c>
      <c r="Q20" s="118" t="s">
        <v>91</v>
      </c>
      <c r="R20" s="119" t="s">
        <v>143</v>
      </c>
      <c r="T20" s="3"/>
      <c r="U20" s="3" t="s">
        <v>451</v>
      </c>
      <c r="V20" s="3" t="s">
        <v>88</v>
      </c>
      <c r="W20" s="3"/>
      <c r="X20" s="3" t="s">
        <v>259</v>
      </c>
      <c r="Y20" s="3" t="s">
        <v>206</v>
      </c>
      <c r="Z20" s="3" t="s">
        <v>258</v>
      </c>
      <c r="AA20" s="3" t="s">
        <v>183</v>
      </c>
      <c r="AB20" s="3"/>
      <c r="AC20" s="3"/>
    </row>
    <row r="21" spans="1:29" x14ac:dyDescent="0.3">
      <c r="A21" s="12" t="s">
        <v>236</v>
      </c>
      <c r="B21" s="12" t="s">
        <v>237</v>
      </c>
      <c r="C21" s="3" t="s">
        <v>94</v>
      </c>
      <c r="D21" s="3" t="s">
        <v>95</v>
      </c>
      <c r="G21" s="12" t="s">
        <v>235</v>
      </c>
      <c r="H21" s="12" t="s">
        <v>236</v>
      </c>
      <c r="I21" s="3" t="s">
        <v>85</v>
      </c>
      <c r="J21" s="3" t="s">
        <v>94</v>
      </c>
      <c r="Q21" s="118" t="s">
        <v>90</v>
      </c>
      <c r="R21" s="119" t="s">
        <v>144</v>
      </c>
      <c r="T21" s="3"/>
      <c r="U21" s="3" t="s">
        <v>451</v>
      </c>
      <c r="V21" s="3" t="s">
        <v>84</v>
      </c>
      <c r="W21" s="3"/>
      <c r="X21" s="3" t="s">
        <v>260</v>
      </c>
      <c r="Y21" s="3" t="s">
        <v>267</v>
      </c>
      <c r="Z21" s="3" t="s">
        <v>264</v>
      </c>
      <c r="AA21" s="3" t="s">
        <v>203</v>
      </c>
      <c r="AB21" s="3"/>
      <c r="AC21" s="3"/>
    </row>
    <row r="22" spans="1:29" x14ac:dyDescent="0.3">
      <c r="A22" s="12" t="s">
        <v>235</v>
      </c>
      <c r="B22" s="12" t="s">
        <v>233</v>
      </c>
      <c r="C22" s="3" t="s">
        <v>85</v>
      </c>
      <c r="D22" s="3" t="s">
        <v>86</v>
      </c>
      <c r="G22" s="12" t="s">
        <v>241</v>
      </c>
      <c r="H22" s="12" t="s">
        <v>235</v>
      </c>
      <c r="I22" s="3" t="s">
        <v>84</v>
      </c>
      <c r="J22" s="3" t="s">
        <v>85</v>
      </c>
      <c r="Q22" s="118" t="s">
        <v>87</v>
      </c>
      <c r="R22" s="119" t="s">
        <v>144</v>
      </c>
      <c r="T22" s="3"/>
      <c r="U22" s="3" t="s">
        <v>451</v>
      </c>
      <c r="V22" s="3" t="s">
        <v>91</v>
      </c>
      <c r="W22" s="3"/>
      <c r="X22" s="3" t="s">
        <v>261</v>
      </c>
      <c r="Y22" s="3" t="s">
        <v>265</v>
      </c>
      <c r="Z22" s="3"/>
      <c r="AA22" s="3"/>
      <c r="AB22" s="3"/>
      <c r="AC22" s="3"/>
    </row>
    <row r="23" spans="1:29" x14ac:dyDescent="0.3">
      <c r="A23" s="12" t="s">
        <v>235</v>
      </c>
      <c r="B23" s="12" t="s">
        <v>241</v>
      </c>
      <c r="C23" s="3" t="s">
        <v>85</v>
      </c>
      <c r="D23" s="3" t="s">
        <v>84</v>
      </c>
      <c r="G23" s="12" t="s">
        <v>241</v>
      </c>
      <c r="H23" s="12" t="s">
        <v>238</v>
      </c>
      <c r="I23" s="3" t="s">
        <v>84</v>
      </c>
      <c r="J23" s="3" t="s">
        <v>92</v>
      </c>
      <c r="Q23" s="118" t="s">
        <v>86</v>
      </c>
      <c r="R23" s="119" t="s">
        <v>144</v>
      </c>
      <c r="T23" s="3"/>
      <c r="U23" s="3" t="s">
        <v>451</v>
      </c>
      <c r="V23" s="3" t="s">
        <v>85</v>
      </c>
      <c r="W23" s="3"/>
      <c r="X23" s="3" t="s">
        <v>262</v>
      </c>
      <c r="Y23" s="3" t="s">
        <v>266</v>
      </c>
      <c r="Z23" s="3"/>
      <c r="AA23" s="3"/>
      <c r="AB23" s="3"/>
      <c r="AC23" s="3"/>
    </row>
    <row r="24" spans="1:29" x14ac:dyDescent="0.3">
      <c r="A24" s="12" t="s">
        <v>235</v>
      </c>
      <c r="B24" s="12" t="s">
        <v>238</v>
      </c>
      <c r="C24" s="3" t="s">
        <v>85</v>
      </c>
      <c r="D24" s="3" t="s">
        <v>92</v>
      </c>
      <c r="G24" s="12" t="s">
        <v>241</v>
      </c>
      <c r="H24" s="12" t="s">
        <v>242</v>
      </c>
      <c r="I24" s="3" t="s">
        <v>84</v>
      </c>
      <c r="J24" s="3" t="s">
        <v>88</v>
      </c>
      <c r="Q24" s="118" t="s">
        <v>89</v>
      </c>
      <c r="R24" s="119" t="s">
        <v>144</v>
      </c>
      <c r="T24" s="3"/>
      <c r="U24" s="3" t="s">
        <v>451</v>
      </c>
      <c r="V24" s="3" t="s">
        <v>89</v>
      </c>
      <c r="W24" s="3"/>
      <c r="X24" s="3" t="s">
        <v>263</v>
      </c>
      <c r="Y24" s="3" t="s">
        <v>204</v>
      </c>
      <c r="Z24" s="3"/>
      <c r="AA24" s="3"/>
      <c r="AB24" s="3"/>
      <c r="AC24" s="3"/>
    </row>
    <row r="25" spans="1:29" x14ac:dyDescent="0.3">
      <c r="A25" s="12" t="s">
        <v>235</v>
      </c>
      <c r="B25" s="12" t="s">
        <v>236</v>
      </c>
      <c r="C25" s="3" t="s">
        <v>85</v>
      </c>
      <c r="D25" s="3" t="s">
        <v>94</v>
      </c>
      <c r="G25" s="12" t="s">
        <v>242</v>
      </c>
      <c r="H25" s="12" t="s">
        <v>241</v>
      </c>
      <c r="I25" s="3" t="s">
        <v>88</v>
      </c>
      <c r="J25" s="3" t="s">
        <v>84</v>
      </c>
      <c r="Q25" s="118" t="s">
        <v>94</v>
      </c>
      <c r="R25" s="119" t="s">
        <v>144</v>
      </c>
    </row>
    <row r="26" spans="1:29" x14ac:dyDescent="0.3">
      <c r="A26" s="12" t="s">
        <v>235</v>
      </c>
      <c r="B26" s="12" t="s">
        <v>234</v>
      </c>
      <c r="C26" s="3" t="s">
        <v>85</v>
      </c>
      <c r="D26" s="3" t="s">
        <v>89</v>
      </c>
      <c r="G26" s="12" t="s">
        <v>242</v>
      </c>
      <c r="H26" s="12" t="s">
        <v>238</v>
      </c>
      <c r="I26" s="3" t="s">
        <v>88</v>
      </c>
      <c r="J26" s="3" t="s">
        <v>92</v>
      </c>
      <c r="Q26" s="118" t="s">
        <v>85</v>
      </c>
      <c r="R26" s="119" t="s">
        <v>144</v>
      </c>
    </row>
    <row r="27" spans="1:29" x14ac:dyDescent="0.3">
      <c r="A27" s="12" t="s">
        <v>241</v>
      </c>
      <c r="B27" s="12" t="s">
        <v>235</v>
      </c>
      <c r="C27" s="3" t="s">
        <v>84</v>
      </c>
      <c r="D27" s="3" t="s">
        <v>85</v>
      </c>
      <c r="G27" s="12" t="s">
        <v>242</v>
      </c>
      <c r="H27" s="12" t="s">
        <v>243</v>
      </c>
      <c r="I27" s="3" t="s">
        <v>88</v>
      </c>
      <c r="J27" s="3" t="s">
        <v>91</v>
      </c>
      <c r="Q27" s="118" t="s">
        <v>84</v>
      </c>
      <c r="R27" s="119" t="s">
        <v>144</v>
      </c>
    </row>
    <row r="28" spans="1:29" x14ac:dyDescent="0.3">
      <c r="A28" s="12" t="s">
        <v>241</v>
      </c>
      <c r="B28" s="12" t="s">
        <v>238</v>
      </c>
      <c r="C28" s="3" t="s">
        <v>84</v>
      </c>
      <c r="D28" s="3" t="s">
        <v>92</v>
      </c>
      <c r="G28" s="12" t="s">
        <v>237</v>
      </c>
      <c r="H28" s="12" t="s">
        <v>234</v>
      </c>
      <c r="I28" s="3" t="s">
        <v>95</v>
      </c>
      <c r="J28" s="3" t="s">
        <v>89</v>
      </c>
      <c r="Q28" s="118" t="s">
        <v>88</v>
      </c>
      <c r="R28" s="119" t="s">
        <v>144</v>
      </c>
    </row>
    <row r="29" spans="1:29" x14ac:dyDescent="0.3">
      <c r="A29" s="12" t="s">
        <v>241</v>
      </c>
      <c r="B29" s="12" t="s">
        <v>242</v>
      </c>
      <c r="C29" s="3" t="s">
        <v>84</v>
      </c>
      <c r="D29" s="3" t="s">
        <v>88</v>
      </c>
      <c r="G29" s="12" t="s">
        <v>240</v>
      </c>
      <c r="H29" s="12" t="s">
        <v>236</v>
      </c>
      <c r="I29" s="3" t="s">
        <v>96</v>
      </c>
      <c r="J29" s="3" t="s">
        <v>94</v>
      </c>
      <c r="Q29" s="118" t="s">
        <v>95</v>
      </c>
      <c r="R29" s="119" t="s">
        <v>144</v>
      </c>
    </row>
    <row r="30" spans="1:29" x14ac:dyDescent="0.3">
      <c r="A30" s="12" t="s">
        <v>242</v>
      </c>
      <c r="B30" s="12" t="s">
        <v>241</v>
      </c>
      <c r="C30" s="3" t="s">
        <v>88</v>
      </c>
      <c r="D30" s="3" t="s">
        <v>84</v>
      </c>
      <c r="G30" s="12" t="s">
        <v>239</v>
      </c>
      <c r="H30" s="12" t="s">
        <v>236</v>
      </c>
      <c r="I30" s="3" t="s">
        <v>93</v>
      </c>
      <c r="J30" s="3" t="s">
        <v>94</v>
      </c>
      <c r="Q30" s="118" t="s">
        <v>96</v>
      </c>
      <c r="R30" s="119" t="s">
        <v>144</v>
      </c>
    </row>
    <row r="31" spans="1:29" x14ac:dyDescent="0.3">
      <c r="A31" s="12" t="s">
        <v>242</v>
      </c>
      <c r="B31" s="12" t="s">
        <v>238</v>
      </c>
      <c r="C31" s="3" t="s">
        <v>88</v>
      </c>
      <c r="D31" s="3" t="s">
        <v>92</v>
      </c>
      <c r="G31" s="12" t="s">
        <v>239</v>
      </c>
      <c r="H31" s="12" t="s">
        <v>238</v>
      </c>
      <c r="I31" s="3" t="s">
        <v>93</v>
      </c>
      <c r="J31" s="3" t="s">
        <v>92</v>
      </c>
      <c r="Q31" s="118" t="s">
        <v>93</v>
      </c>
      <c r="R31" s="119" t="s">
        <v>144</v>
      </c>
    </row>
    <row r="32" spans="1:29" x14ac:dyDescent="0.3">
      <c r="A32" s="12" t="s">
        <v>242</v>
      </c>
      <c r="B32" s="12" t="s">
        <v>243</v>
      </c>
      <c r="C32" s="3" t="s">
        <v>88</v>
      </c>
      <c r="D32" s="3" t="s">
        <v>91</v>
      </c>
      <c r="G32" s="12" t="s">
        <v>238</v>
      </c>
      <c r="H32" s="12" t="s">
        <v>239</v>
      </c>
      <c r="I32" s="3" t="s">
        <v>92</v>
      </c>
      <c r="J32" s="3" t="s">
        <v>93</v>
      </c>
      <c r="Q32" s="118" t="s">
        <v>92</v>
      </c>
      <c r="R32" s="119" t="s">
        <v>144</v>
      </c>
    </row>
    <row r="33" spans="1:18" x14ac:dyDescent="0.3">
      <c r="A33" s="12" t="s">
        <v>237</v>
      </c>
      <c r="B33" s="12" t="s">
        <v>234</v>
      </c>
      <c r="C33" s="3" t="s">
        <v>95</v>
      </c>
      <c r="D33" s="3" t="s">
        <v>89</v>
      </c>
      <c r="G33" s="12" t="s">
        <v>238</v>
      </c>
      <c r="H33" s="12" t="s">
        <v>241</v>
      </c>
      <c r="I33" s="3" t="s">
        <v>92</v>
      </c>
      <c r="J33" s="3" t="s">
        <v>84</v>
      </c>
      <c r="Q33" s="118" t="s">
        <v>91</v>
      </c>
      <c r="R33" s="119" t="s">
        <v>144</v>
      </c>
    </row>
    <row r="34" spans="1:18" x14ac:dyDescent="0.3">
      <c r="A34" s="12" t="s">
        <v>237</v>
      </c>
      <c r="B34" s="12" t="s">
        <v>236</v>
      </c>
      <c r="C34" s="3" t="s">
        <v>95</v>
      </c>
      <c r="D34" s="3" t="s">
        <v>94</v>
      </c>
      <c r="G34" s="12" t="s">
        <v>238</v>
      </c>
      <c r="H34" s="12" t="s">
        <v>242</v>
      </c>
      <c r="I34" s="3" t="s">
        <v>92</v>
      </c>
      <c r="J34" s="3" t="s">
        <v>88</v>
      </c>
      <c r="Q34" s="118" t="s">
        <v>90</v>
      </c>
      <c r="R34" s="119" t="s">
        <v>130</v>
      </c>
    </row>
    <row r="35" spans="1:18" x14ac:dyDescent="0.3">
      <c r="A35" s="12" t="s">
        <v>237</v>
      </c>
      <c r="B35" s="12" t="s">
        <v>240</v>
      </c>
      <c r="C35" s="3" t="s">
        <v>95</v>
      </c>
      <c r="D35" s="3" t="s">
        <v>96</v>
      </c>
      <c r="G35" s="12" t="s">
        <v>243</v>
      </c>
      <c r="H35" s="12" t="s">
        <v>242</v>
      </c>
      <c r="I35" s="3" t="s">
        <v>91</v>
      </c>
      <c r="J35" s="3" t="s">
        <v>88</v>
      </c>
      <c r="Q35" s="118" t="s">
        <v>87</v>
      </c>
      <c r="R35" s="119" t="s">
        <v>130</v>
      </c>
    </row>
    <row r="36" spans="1:18" x14ac:dyDescent="0.3">
      <c r="A36" s="12" t="s">
        <v>240</v>
      </c>
      <c r="B36" s="12" t="s">
        <v>237</v>
      </c>
      <c r="C36" s="3" t="s">
        <v>96</v>
      </c>
      <c r="D36" s="3" t="s">
        <v>95</v>
      </c>
      <c r="Q36" s="118" t="s">
        <v>86</v>
      </c>
      <c r="R36" s="119" t="s">
        <v>130</v>
      </c>
    </row>
    <row r="37" spans="1:18" x14ac:dyDescent="0.3">
      <c r="A37" s="12" t="s">
        <v>240</v>
      </c>
      <c r="B37" s="12" t="s">
        <v>236</v>
      </c>
      <c r="C37" s="3" t="s">
        <v>96</v>
      </c>
      <c r="D37" s="3" t="s">
        <v>94</v>
      </c>
      <c r="Q37" s="118" t="s">
        <v>89</v>
      </c>
      <c r="R37" s="119" t="s">
        <v>130</v>
      </c>
    </row>
    <row r="38" spans="1:18" x14ac:dyDescent="0.3">
      <c r="A38" s="12" t="s">
        <v>240</v>
      </c>
      <c r="B38" s="12" t="s">
        <v>239</v>
      </c>
      <c r="C38" s="3" t="s">
        <v>96</v>
      </c>
      <c r="D38" s="3" t="s">
        <v>93</v>
      </c>
      <c r="Q38" s="118" t="s">
        <v>94</v>
      </c>
      <c r="R38" s="119" t="s">
        <v>130</v>
      </c>
    </row>
    <row r="39" spans="1:18" x14ac:dyDescent="0.3">
      <c r="A39" s="12" t="s">
        <v>239</v>
      </c>
      <c r="B39" s="12" t="s">
        <v>240</v>
      </c>
      <c r="C39" s="3" t="s">
        <v>93</v>
      </c>
      <c r="D39" s="3" t="s">
        <v>96</v>
      </c>
      <c r="Q39" s="118" t="s">
        <v>85</v>
      </c>
      <c r="R39" s="119" t="s">
        <v>130</v>
      </c>
    </row>
    <row r="40" spans="1:18" x14ac:dyDescent="0.3">
      <c r="A40" s="12" t="s">
        <v>239</v>
      </c>
      <c r="B40" s="12" t="s">
        <v>236</v>
      </c>
      <c r="C40" s="3" t="s">
        <v>93</v>
      </c>
      <c r="D40" s="3" t="s">
        <v>94</v>
      </c>
      <c r="Q40" s="118" t="s">
        <v>84</v>
      </c>
      <c r="R40" s="119" t="s">
        <v>130</v>
      </c>
    </row>
    <row r="41" spans="1:18" x14ac:dyDescent="0.3">
      <c r="A41" s="12" t="s">
        <v>239</v>
      </c>
      <c r="B41" s="12" t="s">
        <v>238</v>
      </c>
      <c r="C41" s="3" t="s">
        <v>93</v>
      </c>
      <c r="D41" s="3" t="s">
        <v>92</v>
      </c>
      <c r="Q41" s="118" t="s">
        <v>88</v>
      </c>
      <c r="R41" s="119" t="s">
        <v>130</v>
      </c>
    </row>
    <row r="42" spans="1:18" x14ac:dyDescent="0.3">
      <c r="A42" s="12" t="s">
        <v>238</v>
      </c>
      <c r="B42" s="12" t="s">
        <v>239</v>
      </c>
      <c r="C42" s="3" t="s">
        <v>92</v>
      </c>
      <c r="D42" s="3" t="s">
        <v>93</v>
      </c>
      <c r="Q42" s="118" t="s">
        <v>95</v>
      </c>
      <c r="R42" s="119" t="s">
        <v>130</v>
      </c>
    </row>
    <row r="43" spans="1:18" x14ac:dyDescent="0.3">
      <c r="A43" s="12" t="s">
        <v>238</v>
      </c>
      <c r="B43" s="12" t="s">
        <v>236</v>
      </c>
      <c r="C43" s="3" t="s">
        <v>92</v>
      </c>
      <c r="D43" s="3" t="s">
        <v>94</v>
      </c>
      <c r="Q43" s="118" t="s">
        <v>96</v>
      </c>
      <c r="R43" s="119" t="s">
        <v>130</v>
      </c>
    </row>
    <row r="44" spans="1:18" x14ac:dyDescent="0.3">
      <c r="A44" s="12" t="s">
        <v>238</v>
      </c>
      <c r="B44" s="12" t="s">
        <v>235</v>
      </c>
      <c r="C44" s="3" t="s">
        <v>92</v>
      </c>
      <c r="D44" s="3" t="s">
        <v>85</v>
      </c>
      <c r="Q44" s="118" t="s">
        <v>93</v>
      </c>
      <c r="R44" s="119" t="s">
        <v>130</v>
      </c>
    </row>
    <row r="45" spans="1:18" x14ac:dyDescent="0.3">
      <c r="A45" s="12" t="s">
        <v>238</v>
      </c>
      <c r="B45" s="12" t="s">
        <v>241</v>
      </c>
      <c r="C45" s="3" t="s">
        <v>92</v>
      </c>
      <c r="D45" s="3" t="s">
        <v>84</v>
      </c>
      <c r="Q45" s="118" t="s">
        <v>92</v>
      </c>
      <c r="R45" s="119" t="s">
        <v>130</v>
      </c>
    </row>
    <row r="46" spans="1:18" x14ac:dyDescent="0.3">
      <c r="A46" s="12" t="s">
        <v>238</v>
      </c>
      <c r="B46" s="12" t="s">
        <v>242</v>
      </c>
      <c r="C46" s="3" t="s">
        <v>92</v>
      </c>
      <c r="D46" s="3" t="s">
        <v>88</v>
      </c>
      <c r="Q46" s="118" t="s">
        <v>91</v>
      </c>
      <c r="R46" s="119" t="s">
        <v>130</v>
      </c>
    </row>
    <row r="47" spans="1:18" x14ac:dyDescent="0.3">
      <c r="A47" s="12" t="s">
        <v>238</v>
      </c>
      <c r="B47" s="12" t="s">
        <v>243</v>
      </c>
      <c r="C47" s="3" t="s">
        <v>92</v>
      </c>
      <c r="D47" s="3" t="s">
        <v>91</v>
      </c>
      <c r="Q47" s="118" t="s">
        <v>90</v>
      </c>
      <c r="R47" s="119" t="s">
        <v>131</v>
      </c>
    </row>
    <row r="48" spans="1:18" x14ac:dyDescent="0.3">
      <c r="A48" s="12" t="s">
        <v>243</v>
      </c>
      <c r="B48" s="12" t="s">
        <v>238</v>
      </c>
      <c r="C48" s="3" t="s">
        <v>91</v>
      </c>
      <c r="D48" s="3" t="s">
        <v>92</v>
      </c>
      <c r="Q48" s="118" t="s">
        <v>87</v>
      </c>
      <c r="R48" s="119" t="s">
        <v>131</v>
      </c>
    </row>
    <row r="49" spans="1:18" x14ac:dyDescent="0.3">
      <c r="A49" s="12" t="s">
        <v>243</v>
      </c>
      <c r="B49" s="12" t="s">
        <v>242</v>
      </c>
      <c r="C49" s="3" t="s">
        <v>91</v>
      </c>
      <c r="D49" s="3" t="s">
        <v>88</v>
      </c>
      <c r="Q49" s="118" t="s">
        <v>86</v>
      </c>
      <c r="R49" s="119" t="s">
        <v>131</v>
      </c>
    </row>
    <row r="50" spans="1:18" x14ac:dyDescent="0.3">
      <c r="Q50" s="118" t="s">
        <v>89</v>
      </c>
      <c r="R50" s="119" t="s">
        <v>131</v>
      </c>
    </row>
    <row r="51" spans="1:18" x14ac:dyDescent="0.3">
      <c r="Q51" s="118" t="s">
        <v>94</v>
      </c>
      <c r="R51" s="119" t="s">
        <v>131</v>
      </c>
    </row>
    <row r="52" spans="1:18" x14ac:dyDescent="0.3">
      <c r="Q52" s="118" t="s">
        <v>85</v>
      </c>
      <c r="R52" s="119" t="s">
        <v>131</v>
      </c>
    </row>
    <row r="53" spans="1:18" x14ac:dyDescent="0.3">
      <c r="Q53" s="118" t="s">
        <v>84</v>
      </c>
      <c r="R53" s="119" t="s">
        <v>131</v>
      </c>
    </row>
    <row r="54" spans="1:18" x14ac:dyDescent="0.3">
      <c r="Q54" s="118" t="s">
        <v>88</v>
      </c>
      <c r="R54" s="119" t="s">
        <v>131</v>
      </c>
    </row>
    <row r="55" spans="1:18" x14ac:dyDescent="0.3">
      <c r="Q55" s="118" t="s">
        <v>95</v>
      </c>
      <c r="R55" s="119" t="s">
        <v>131</v>
      </c>
    </row>
    <row r="56" spans="1:18" x14ac:dyDescent="0.3">
      <c r="Q56" s="118" t="s">
        <v>96</v>
      </c>
      <c r="R56" s="119" t="s">
        <v>131</v>
      </c>
    </row>
    <row r="57" spans="1:18" x14ac:dyDescent="0.3">
      <c r="Q57" s="118" t="s">
        <v>93</v>
      </c>
      <c r="R57" s="119" t="s">
        <v>131</v>
      </c>
    </row>
    <row r="58" spans="1:18" x14ac:dyDescent="0.3">
      <c r="Q58" s="118" t="s">
        <v>92</v>
      </c>
      <c r="R58" s="119" t="s">
        <v>131</v>
      </c>
    </row>
    <row r="59" spans="1:18" x14ac:dyDescent="0.3">
      <c r="Q59" s="118" t="s">
        <v>91</v>
      </c>
      <c r="R59" s="119" t="s">
        <v>131</v>
      </c>
    </row>
    <row r="60" spans="1:18" x14ac:dyDescent="0.3">
      <c r="Q60" s="118" t="s">
        <v>90</v>
      </c>
      <c r="R60" s="119" t="s">
        <v>213</v>
      </c>
    </row>
    <row r="61" spans="1:18" x14ac:dyDescent="0.3">
      <c r="Q61" s="118" t="s">
        <v>87</v>
      </c>
      <c r="R61" s="119" t="s">
        <v>213</v>
      </c>
    </row>
    <row r="62" spans="1:18" x14ac:dyDescent="0.3">
      <c r="Q62" s="118" t="s">
        <v>86</v>
      </c>
      <c r="R62" s="119" t="s">
        <v>213</v>
      </c>
    </row>
    <row r="63" spans="1:18" x14ac:dyDescent="0.3">
      <c r="Q63" s="118" t="s">
        <v>89</v>
      </c>
      <c r="R63" s="119" t="s">
        <v>213</v>
      </c>
    </row>
    <row r="64" spans="1:18" x14ac:dyDescent="0.3">
      <c r="Q64" s="118" t="s">
        <v>94</v>
      </c>
      <c r="R64" s="119" t="s">
        <v>213</v>
      </c>
    </row>
    <row r="65" spans="17:18" x14ac:dyDescent="0.3">
      <c r="Q65" s="118" t="s">
        <v>85</v>
      </c>
      <c r="R65" s="119" t="s">
        <v>213</v>
      </c>
    </row>
    <row r="66" spans="17:18" x14ac:dyDescent="0.3">
      <c r="Q66" s="118" t="s">
        <v>84</v>
      </c>
      <c r="R66" s="119" t="s">
        <v>213</v>
      </c>
    </row>
    <row r="67" spans="17:18" x14ac:dyDescent="0.3">
      <c r="Q67" s="118" t="s">
        <v>88</v>
      </c>
      <c r="R67" s="119" t="s">
        <v>213</v>
      </c>
    </row>
    <row r="68" spans="17:18" x14ac:dyDescent="0.3">
      <c r="Q68" s="118" t="s">
        <v>95</v>
      </c>
      <c r="R68" s="119" t="s">
        <v>213</v>
      </c>
    </row>
    <row r="69" spans="17:18" x14ac:dyDescent="0.3">
      <c r="Q69" s="118" t="s">
        <v>96</v>
      </c>
      <c r="R69" s="119" t="s">
        <v>213</v>
      </c>
    </row>
    <row r="70" spans="17:18" x14ac:dyDescent="0.3">
      <c r="Q70" s="118" t="s">
        <v>93</v>
      </c>
      <c r="R70" s="119" t="s">
        <v>213</v>
      </c>
    </row>
    <row r="71" spans="17:18" x14ac:dyDescent="0.3">
      <c r="Q71" s="118" t="s">
        <v>92</v>
      </c>
      <c r="R71" s="119" t="s">
        <v>213</v>
      </c>
    </row>
    <row r="72" spans="17:18" x14ac:dyDescent="0.3">
      <c r="Q72" s="118" t="s">
        <v>91</v>
      </c>
      <c r="R72" s="119" t="s">
        <v>213</v>
      </c>
    </row>
    <row r="73" spans="17:18" x14ac:dyDescent="0.3">
      <c r="Q73" s="118" t="s">
        <v>90</v>
      </c>
      <c r="R73" s="119" t="s">
        <v>133</v>
      </c>
    </row>
    <row r="74" spans="17:18" x14ac:dyDescent="0.3">
      <c r="Q74" s="118" t="s">
        <v>87</v>
      </c>
      <c r="R74" s="119" t="s">
        <v>133</v>
      </c>
    </row>
    <row r="75" spans="17:18" x14ac:dyDescent="0.3">
      <c r="Q75" s="118" t="s">
        <v>86</v>
      </c>
      <c r="R75" s="119" t="s">
        <v>133</v>
      </c>
    </row>
    <row r="76" spans="17:18" x14ac:dyDescent="0.3">
      <c r="Q76" s="118" t="s">
        <v>89</v>
      </c>
      <c r="R76" s="119" t="s">
        <v>133</v>
      </c>
    </row>
    <row r="77" spans="17:18" x14ac:dyDescent="0.3">
      <c r="Q77" s="118" t="s">
        <v>94</v>
      </c>
      <c r="R77" s="119" t="s">
        <v>133</v>
      </c>
    </row>
    <row r="78" spans="17:18" x14ac:dyDescent="0.3">
      <c r="Q78" s="118" t="s">
        <v>85</v>
      </c>
      <c r="R78" s="119" t="s">
        <v>133</v>
      </c>
    </row>
    <row r="79" spans="17:18" x14ac:dyDescent="0.3">
      <c r="Q79" s="118" t="s">
        <v>84</v>
      </c>
      <c r="R79" s="119" t="s">
        <v>133</v>
      </c>
    </row>
    <row r="80" spans="17:18" x14ac:dyDescent="0.3">
      <c r="Q80" s="118" t="s">
        <v>88</v>
      </c>
      <c r="R80" s="119" t="s">
        <v>133</v>
      </c>
    </row>
    <row r="81" spans="17:18" x14ac:dyDescent="0.3">
      <c r="Q81" s="118" t="s">
        <v>95</v>
      </c>
      <c r="R81" s="119" t="s">
        <v>133</v>
      </c>
    </row>
    <row r="82" spans="17:18" x14ac:dyDescent="0.3">
      <c r="Q82" s="118" t="s">
        <v>96</v>
      </c>
      <c r="R82" s="119" t="s">
        <v>133</v>
      </c>
    </row>
    <row r="83" spans="17:18" x14ac:dyDescent="0.3">
      <c r="Q83" s="118" t="s">
        <v>93</v>
      </c>
      <c r="R83" s="119" t="s">
        <v>133</v>
      </c>
    </row>
    <row r="84" spans="17:18" x14ac:dyDescent="0.3">
      <c r="Q84" s="118" t="s">
        <v>92</v>
      </c>
      <c r="R84" s="119" t="s">
        <v>133</v>
      </c>
    </row>
    <row r="85" spans="17:18" x14ac:dyDescent="0.3">
      <c r="Q85" s="118" t="s">
        <v>91</v>
      </c>
      <c r="R85" s="119" t="s">
        <v>133</v>
      </c>
    </row>
  </sheetData>
  <phoneticPr fontId="5" type="noConversion"/>
  <hyperlinks>
    <hyperlink ref="S2" location="References!B2" display="Ref" xr:uid="{4AC3C787-C48A-43E1-9DFF-0310E81DF8C2}"/>
    <hyperlink ref="Y2" location="References!B2" display="Ref" xr:uid="{09486461-0764-4EE6-9B96-465F02538FF7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EACA-DB64-42B7-9E34-B85200FFA305}">
  <dimension ref="A1:P5"/>
  <sheetViews>
    <sheetView workbookViewId="0">
      <selection activeCell="O1" sqref="O1"/>
    </sheetView>
  </sheetViews>
  <sheetFormatPr defaultRowHeight="14.4" x14ac:dyDescent="0.3"/>
  <cols>
    <col min="1" max="1" width="12.109375" customWidth="1"/>
  </cols>
  <sheetData>
    <row r="1" spans="1:16" x14ac:dyDescent="0.3">
      <c r="A1" s="1" t="s">
        <v>549</v>
      </c>
      <c r="O1" s="143" t="s">
        <v>826</v>
      </c>
      <c r="P1" s="134" t="s">
        <v>820</v>
      </c>
    </row>
    <row r="2" spans="1:16" x14ac:dyDescent="0.3">
      <c r="A2" s="29" t="s">
        <v>552</v>
      </c>
      <c r="B2" s="75" t="s">
        <v>84</v>
      </c>
      <c r="C2" s="75" t="s">
        <v>85</v>
      </c>
      <c r="D2" s="75" t="s">
        <v>86</v>
      </c>
      <c r="E2" s="75" t="s">
        <v>87</v>
      </c>
      <c r="F2" s="75" t="s">
        <v>88</v>
      </c>
      <c r="G2" s="75" t="s">
        <v>89</v>
      </c>
      <c r="H2" s="75" t="s">
        <v>90</v>
      </c>
      <c r="I2" s="75" t="s">
        <v>91</v>
      </c>
      <c r="J2" s="75" t="s">
        <v>92</v>
      </c>
      <c r="K2" s="75" t="s">
        <v>93</v>
      </c>
      <c r="L2" s="75" t="s">
        <v>94</v>
      </c>
      <c r="M2" s="75" t="s">
        <v>95</v>
      </c>
      <c r="N2" s="75" t="s">
        <v>96</v>
      </c>
    </row>
    <row r="3" spans="1:16" x14ac:dyDescent="0.3">
      <c r="A3" s="75" t="s">
        <v>97</v>
      </c>
      <c r="B3" s="3">
        <v>10948</v>
      </c>
      <c r="C3" s="3">
        <v>229857</v>
      </c>
      <c r="D3" s="3">
        <v>14195</v>
      </c>
      <c r="E3" s="3">
        <v>163302</v>
      </c>
      <c r="F3" s="3">
        <v>76262</v>
      </c>
      <c r="G3" s="3">
        <v>106080</v>
      </c>
      <c r="H3" s="3">
        <v>352920</v>
      </c>
      <c r="I3" s="3">
        <v>108341</v>
      </c>
      <c r="J3" s="3">
        <v>27642</v>
      </c>
      <c r="K3" s="3">
        <v>56695</v>
      </c>
      <c r="L3" s="3">
        <v>121516</v>
      </c>
      <c r="M3" s="3">
        <v>106080</v>
      </c>
      <c r="N3" s="3">
        <v>49606</v>
      </c>
    </row>
    <row r="4" spans="1:16" x14ac:dyDescent="0.3">
      <c r="A4" s="75" t="s">
        <v>98</v>
      </c>
      <c r="B4" s="3">
        <v>3701.8</v>
      </c>
      <c r="C4" s="3">
        <v>2871.8</v>
      </c>
      <c r="D4" s="3">
        <v>1477.4</v>
      </c>
      <c r="E4" s="3">
        <v>2158</v>
      </c>
      <c r="F4" s="3">
        <v>506.30000000000007</v>
      </c>
      <c r="G4" s="3">
        <v>2494.15</v>
      </c>
      <c r="H4" s="3">
        <v>6548.7000000000007</v>
      </c>
      <c r="I4" s="3">
        <v>1249.1500000000001</v>
      </c>
      <c r="J4" s="3">
        <v>1940.1250000000002</v>
      </c>
      <c r="K4" s="3">
        <v>4965.4750000000004</v>
      </c>
      <c r="L4" s="3">
        <v>2332.3000000000002</v>
      </c>
      <c r="M4" s="3">
        <v>2494.15</v>
      </c>
      <c r="N4" s="3">
        <v>2560.5500000000002</v>
      </c>
    </row>
    <row r="5" spans="1:16" x14ac:dyDescent="0.3">
      <c r="A5" s="75" t="s">
        <v>99</v>
      </c>
      <c r="B5" s="3">
        <v>6105</v>
      </c>
      <c r="C5" s="3">
        <v>10147.5</v>
      </c>
      <c r="D5" s="3">
        <v>4592.5</v>
      </c>
      <c r="E5" s="3">
        <v>12815</v>
      </c>
      <c r="F5" s="3">
        <v>0</v>
      </c>
      <c r="G5" s="3">
        <v>4372.5</v>
      </c>
      <c r="H5" s="3">
        <v>21213.5</v>
      </c>
      <c r="I5" s="3">
        <v>5596.25</v>
      </c>
      <c r="J5" s="3">
        <v>3422.375</v>
      </c>
      <c r="K5" s="3">
        <v>10096.625</v>
      </c>
      <c r="L5" s="3">
        <v>0</v>
      </c>
      <c r="M5" s="3">
        <v>4372.5</v>
      </c>
      <c r="N5" s="3">
        <v>2483.25</v>
      </c>
    </row>
  </sheetData>
  <hyperlinks>
    <hyperlink ref="O1" location="References!B2" display="Ref" xr:uid="{AF90B247-705C-45AB-84ED-DD8F8207270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6641-9193-481D-B8AF-A58A2440EEBC}">
  <sheetPr>
    <tabColor rgb="FFD4F4E4"/>
  </sheetPr>
  <dimension ref="A1:O29"/>
  <sheetViews>
    <sheetView zoomScale="95" zoomScaleNormal="95" workbookViewId="0">
      <selection activeCell="O2" sqref="O2"/>
    </sheetView>
  </sheetViews>
  <sheetFormatPr defaultRowHeight="14.4" x14ac:dyDescent="0.3"/>
  <cols>
    <col min="1" max="1" width="11.109375" customWidth="1"/>
    <col min="2" max="2" width="12" bestFit="1" customWidth="1"/>
  </cols>
  <sheetData>
    <row r="1" spans="1:14" x14ac:dyDescent="0.3">
      <c r="A1" s="81" t="s">
        <v>567</v>
      </c>
      <c r="B1" s="80"/>
    </row>
    <row r="2" spans="1:14" x14ac:dyDescent="0.3">
      <c r="A2" s="81" t="s">
        <v>568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92</v>
      </c>
      <c r="K2" s="3" t="s">
        <v>93</v>
      </c>
      <c r="L2" s="3" t="s">
        <v>94</v>
      </c>
      <c r="M2" s="3" t="s">
        <v>95</v>
      </c>
      <c r="N2" s="3" t="s">
        <v>96</v>
      </c>
    </row>
    <row r="3" spans="1:14" x14ac:dyDescent="0.3">
      <c r="A3" s="3" t="s">
        <v>581</v>
      </c>
      <c r="B3" s="3">
        <v>6</v>
      </c>
      <c r="C3" s="3">
        <v>13</v>
      </c>
      <c r="D3" s="3">
        <v>7</v>
      </c>
      <c r="E3" s="3">
        <v>1</v>
      </c>
      <c r="F3" s="3">
        <v>4</v>
      </c>
      <c r="G3" s="3">
        <v>7</v>
      </c>
      <c r="H3" s="3">
        <v>3</v>
      </c>
      <c r="I3" s="3">
        <v>8</v>
      </c>
      <c r="J3" s="3">
        <v>5</v>
      </c>
      <c r="K3" s="3">
        <v>5</v>
      </c>
      <c r="L3" s="3">
        <v>0</v>
      </c>
      <c r="M3" s="3">
        <v>0</v>
      </c>
      <c r="N3" s="3">
        <v>7</v>
      </c>
    </row>
    <row r="4" spans="1:14" x14ac:dyDescent="0.3">
      <c r="A4" s="3" t="s">
        <v>207</v>
      </c>
      <c r="B4" s="3">
        <v>2</v>
      </c>
      <c r="C4" s="3">
        <v>0</v>
      </c>
      <c r="D4" s="3">
        <v>0</v>
      </c>
      <c r="E4" s="3">
        <v>2</v>
      </c>
      <c r="F4" s="3">
        <v>0</v>
      </c>
      <c r="G4" s="3">
        <v>4</v>
      </c>
      <c r="H4" s="3">
        <v>2</v>
      </c>
      <c r="I4" s="3">
        <v>0</v>
      </c>
      <c r="J4" s="3">
        <v>0</v>
      </c>
      <c r="K4" s="3">
        <v>2</v>
      </c>
      <c r="L4" s="3">
        <v>0</v>
      </c>
      <c r="M4" s="3">
        <v>0</v>
      </c>
      <c r="N4" s="3">
        <v>0</v>
      </c>
    </row>
    <row r="5" spans="1:14" x14ac:dyDescent="0.3">
      <c r="A5" s="90" t="s">
        <v>208</v>
      </c>
      <c r="B5" s="3">
        <v>0</v>
      </c>
      <c r="C5" s="3">
        <v>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x14ac:dyDescent="0.3">
      <c r="A6" s="90" t="s">
        <v>288</v>
      </c>
      <c r="B6" s="3">
        <v>0</v>
      </c>
      <c r="C6" s="3">
        <v>0</v>
      </c>
      <c r="D6" s="3">
        <v>5</v>
      </c>
      <c r="E6" s="3">
        <v>1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9" spans="1:14" x14ac:dyDescent="0.3">
      <c r="A9" s="81" t="s">
        <v>762</v>
      </c>
      <c r="B9" s="80"/>
    </row>
    <row r="10" spans="1:14" x14ac:dyDescent="0.3">
      <c r="A10" s="81" t="s">
        <v>570</v>
      </c>
      <c r="B10" s="3" t="s">
        <v>84</v>
      </c>
      <c r="C10" s="3" t="s">
        <v>85</v>
      </c>
      <c r="D10" s="3" t="s">
        <v>86</v>
      </c>
      <c r="E10" s="3" t="s">
        <v>87</v>
      </c>
      <c r="F10" s="3" t="s">
        <v>88</v>
      </c>
      <c r="G10" s="3" t="s">
        <v>89</v>
      </c>
      <c r="H10" s="3" t="s">
        <v>90</v>
      </c>
      <c r="I10" s="3" t="s">
        <v>91</v>
      </c>
      <c r="J10" s="3" t="s">
        <v>92</v>
      </c>
      <c r="K10" s="3" t="s">
        <v>93</v>
      </c>
      <c r="L10" s="3" t="s">
        <v>94</v>
      </c>
      <c r="M10" s="3" t="s">
        <v>95</v>
      </c>
      <c r="N10" s="3" t="s">
        <v>96</v>
      </c>
    </row>
    <row r="11" spans="1:14" x14ac:dyDescent="0.3">
      <c r="A11" s="3" t="s">
        <v>98</v>
      </c>
      <c r="B11" s="89">
        <v>608.62757854167728</v>
      </c>
      <c r="C11" s="89">
        <v>874.30316913558192</v>
      </c>
      <c r="D11" s="89">
        <v>340.05317562119933</v>
      </c>
      <c r="E11" s="89">
        <v>828.08742782101092</v>
      </c>
      <c r="F11" s="89">
        <v>30.59098134600729</v>
      </c>
      <c r="G11" s="89">
        <v>318.19839207550797</v>
      </c>
      <c r="H11" s="89">
        <v>9852.3126125339404</v>
      </c>
      <c r="I11" s="89">
        <v>113.5668438271757</v>
      </c>
      <c r="J11" s="89">
        <v>2.4850512872467334</v>
      </c>
      <c r="K11" s="89">
        <v>349.57340710264162</v>
      </c>
      <c r="L11" s="89">
        <v>20.501673119785551</v>
      </c>
      <c r="M11" s="89">
        <v>454.28725571900088</v>
      </c>
      <c r="N11" s="89">
        <v>863.41243186922316</v>
      </c>
    </row>
    <row r="12" spans="1:14" x14ac:dyDescent="0.3">
      <c r="A12" s="3" t="s">
        <v>99</v>
      </c>
      <c r="B12" s="89">
        <v>2921.8</v>
      </c>
      <c r="C12" s="89">
        <v>926.4</v>
      </c>
      <c r="D12" s="89">
        <v>2504</v>
      </c>
      <c r="E12" s="89">
        <v>103.6</v>
      </c>
      <c r="F12" s="89">
        <v>0</v>
      </c>
      <c r="G12" s="89">
        <v>2003</v>
      </c>
      <c r="H12" s="89">
        <v>1838.8</v>
      </c>
      <c r="I12" s="89">
        <v>1656.7</v>
      </c>
      <c r="J12" s="89">
        <v>0</v>
      </c>
      <c r="K12" s="89">
        <v>0</v>
      </c>
      <c r="L12" s="89">
        <v>0</v>
      </c>
      <c r="M12" s="89">
        <v>726</v>
      </c>
      <c r="N12" s="89">
        <v>0</v>
      </c>
    </row>
    <row r="13" spans="1:14" x14ac:dyDescent="0.3">
      <c r="A13" s="3" t="s">
        <v>97</v>
      </c>
      <c r="B13" s="89">
        <v>2454.3721075316766</v>
      </c>
      <c r="C13" s="89">
        <v>1999.1817325528116</v>
      </c>
      <c r="D13" s="89">
        <v>125.00087722952296</v>
      </c>
      <c r="E13" s="89">
        <v>259.29523037076422</v>
      </c>
      <c r="F13" s="89">
        <v>125.52754206658615</v>
      </c>
      <c r="G13" s="89">
        <v>247.39433182309372</v>
      </c>
      <c r="H13" s="89">
        <v>119.18166247246407</v>
      </c>
      <c r="I13" s="89">
        <v>818.47859927518323</v>
      </c>
      <c r="J13" s="89">
        <v>2210.6592492581531</v>
      </c>
      <c r="K13" s="89">
        <v>3704.1926619015289</v>
      </c>
      <c r="L13" s="89">
        <v>553.96161655268406</v>
      </c>
      <c r="M13" s="89">
        <v>419.02145144730622</v>
      </c>
      <c r="N13" s="89">
        <v>1057.7329375182246</v>
      </c>
    </row>
    <row r="14" spans="1:14" x14ac:dyDescent="0.3">
      <c r="A14" s="3" t="s">
        <v>582</v>
      </c>
      <c r="B14" s="89">
        <v>0</v>
      </c>
      <c r="C14" s="89">
        <v>1.66</v>
      </c>
      <c r="D14" s="89">
        <v>0</v>
      </c>
      <c r="E14" s="89">
        <v>6.75</v>
      </c>
      <c r="F14" s="89">
        <v>0</v>
      </c>
      <c r="G14" s="89">
        <v>0</v>
      </c>
      <c r="H14" s="89">
        <v>1319.0619999999997</v>
      </c>
      <c r="I14" s="89">
        <v>0</v>
      </c>
      <c r="J14" s="89">
        <v>0</v>
      </c>
      <c r="K14" s="89">
        <v>0</v>
      </c>
      <c r="L14" s="89">
        <v>0</v>
      </c>
      <c r="M14" s="89">
        <v>134.72499999999999</v>
      </c>
      <c r="N14" s="89">
        <v>8.3000000000000007</v>
      </c>
    </row>
    <row r="15" spans="1:14" x14ac:dyDescent="0.3">
      <c r="A15" s="3" t="s">
        <v>212</v>
      </c>
      <c r="B15" s="89">
        <v>0</v>
      </c>
      <c r="C15" s="89">
        <v>0</v>
      </c>
      <c r="D15" s="89">
        <v>0</v>
      </c>
      <c r="E15" s="89">
        <v>0</v>
      </c>
      <c r="F15" s="89">
        <v>0</v>
      </c>
      <c r="G15" s="89">
        <v>0</v>
      </c>
      <c r="H15" s="89">
        <v>740</v>
      </c>
      <c r="I15" s="89">
        <v>0</v>
      </c>
      <c r="J15" s="89">
        <v>0</v>
      </c>
      <c r="K15" s="89">
        <v>0</v>
      </c>
      <c r="L15" s="89">
        <v>0</v>
      </c>
      <c r="M15" s="89">
        <v>2088</v>
      </c>
      <c r="N15" s="89">
        <v>0</v>
      </c>
    </row>
    <row r="16" spans="1:14" x14ac:dyDescent="0.3">
      <c r="A16" s="3" t="s">
        <v>211</v>
      </c>
      <c r="B16" s="89">
        <v>69.05</v>
      </c>
      <c r="C16" s="89">
        <v>0</v>
      </c>
      <c r="D16" s="89">
        <v>49.9</v>
      </c>
      <c r="E16" s="89">
        <v>127.5</v>
      </c>
      <c r="F16" s="89">
        <v>10.24</v>
      </c>
      <c r="G16" s="89">
        <v>20</v>
      </c>
      <c r="H16" s="89">
        <v>24.178000000000001</v>
      </c>
      <c r="I16" s="89">
        <v>60</v>
      </c>
      <c r="J16" s="89">
        <v>1.5</v>
      </c>
      <c r="K16" s="89">
        <v>19.055</v>
      </c>
      <c r="L16" s="89">
        <v>22</v>
      </c>
      <c r="M16" s="89">
        <v>0</v>
      </c>
      <c r="N16" s="89">
        <v>22.004999999999999</v>
      </c>
    </row>
    <row r="17" spans="1:15" x14ac:dyDescent="0.3">
      <c r="A17" s="3" t="s">
        <v>595</v>
      </c>
      <c r="B17" s="36">
        <v>11442.3144615</v>
      </c>
      <c r="C17" s="36">
        <v>14370.706635300001</v>
      </c>
      <c r="D17" s="36">
        <v>8584.7535800999995</v>
      </c>
      <c r="E17" s="36">
        <v>7176.2564247300006</v>
      </c>
      <c r="F17" s="36">
        <v>13328.896185900001</v>
      </c>
      <c r="G17" s="36">
        <v>15795.291065400001</v>
      </c>
      <c r="H17" s="36">
        <v>9104.8785966000014</v>
      </c>
      <c r="I17" s="36">
        <v>15341.248043999998</v>
      </c>
      <c r="J17" s="36">
        <v>10704.1118814</v>
      </c>
      <c r="K17" s="36">
        <v>8520.1757954999994</v>
      </c>
      <c r="L17" s="36">
        <v>11570.406160500001</v>
      </c>
      <c r="M17" s="36">
        <v>1406.15858088</v>
      </c>
      <c r="N17" s="36">
        <v>4953.7494874800004</v>
      </c>
    </row>
    <row r="20" spans="1:15" x14ac:dyDescent="0.3">
      <c r="A20" s="81" t="s">
        <v>761</v>
      </c>
      <c r="B20" s="80"/>
    </row>
    <row r="21" spans="1:15" x14ac:dyDescent="0.3">
      <c r="A21" s="81" t="s">
        <v>765</v>
      </c>
      <c r="B21" s="3"/>
      <c r="C21" s="3" t="s">
        <v>84</v>
      </c>
      <c r="D21" s="3" t="s">
        <v>85</v>
      </c>
      <c r="E21" s="3" t="s">
        <v>86</v>
      </c>
      <c r="F21" s="3" t="s">
        <v>87</v>
      </c>
      <c r="G21" s="3" t="s">
        <v>88</v>
      </c>
      <c r="H21" s="3" t="s">
        <v>89</v>
      </c>
      <c r="I21" s="3" t="s">
        <v>90</v>
      </c>
      <c r="J21" s="3" t="s">
        <v>91</v>
      </c>
      <c r="K21" s="3" t="s">
        <v>92</v>
      </c>
      <c r="L21" s="3" t="s">
        <v>93</v>
      </c>
      <c r="M21" s="3" t="s">
        <v>94</v>
      </c>
      <c r="N21" s="3" t="s">
        <v>95</v>
      </c>
      <c r="O21" s="3" t="s">
        <v>96</v>
      </c>
    </row>
    <row r="22" spans="1:15" x14ac:dyDescent="0.3">
      <c r="A22" s="3" t="s">
        <v>133</v>
      </c>
      <c r="B22" s="3">
        <v>2</v>
      </c>
      <c r="C22" s="3">
        <v>0</v>
      </c>
      <c r="D22" s="3">
        <v>0</v>
      </c>
      <c r="E22" s="3">
        <v>0</v>
      </c>
      <c r="F22" s="3">
        <v>2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3</v>
      </c>
    </row>
    <row r="23" spans="1:15" x14ac:dyDescent="0.3">
      <c r="A23" s="3" t="s">
        <v>764</v>
      </c>
      <c r="B23" s="3">
        <v>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6</v>
      </c>
      <c r="M23" s="3">
        <v>0</v>
      </c>
      <c r="N23" s="3">
        <v>0</v>
      </c>
      <c r="O23" s="3">
        <v>0</v>
      </c>
    </row>
    <row r="26" spans="1:15" x14ac:dyDescent="0.3">
      <c r="A26" s="81" t="s">
        <v>763</v>
      </c>
      <c r="B26" s="80"/>
    </row>
    <row r="27" spans="1:15" x14ac:dyDescent="0.3">
      <c r="A27" s="81" t="s">
        <v>766</v>
      </c>
      <c r="C27" s="3" t="s">
        <v>84</v>
      </c>
      <c r="D27" s="3" t="s">
        <v>85</v>
      </c>
      <c r="E27" s="3" t="s">
        <v>86</v>
      </c>
      <c r="F27" s="3" t="s">
        <v>87</v>
      </c>
      <c r="G27" s="3" t="s">
        <v>88</v>
      </c>
      <c r="H27" s="3" t="s">
        <v>89</v>
      </c>
      <c r="I27" s="3" t="s">
        <v>90</v>
      </c>
      <c r="J27" s="3" t="s">
        <v>91</v>
      </c>
      <c r="K27" s="3" t="s">
        <v>92</v>
      </c>
      <c r="L27" s="3" t="s">
        <v>93</v>
      </c>
      <c r="M27" s="3" t="s">
        <v>94</v>
      </c>
      <c r="N27" s="3" t="s">
        <v>95</v>
      </c>
      <c r="O27" s="3" t="s">
        <v>96</v>
      </c>
    </row>
    <row r="28" spans="1:15" x14ac:dyDescent="0.3">
      <c r="A28" t="s">
        <v>97</v>
      </c>
      <c r="B28" s="3">
        <v>2</v>
      </c>
      <c r="C28">
        <v>500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373</v>
      </c>
      <c r="K28">
        <v>840</v>
      </c>
      <c r="L28">
        <v>0</v>
      </c>
      <c r="M28">
        <v>740</v>
      </c>
      <c r="N28">
        <v>0</v>
      </c>
      <c r="O28">
        <v>0</v>
      </c>
    </row>
    <row r="29" spans="1:15" x14ac:dyDescent="0.3">
      <c r="A29" t="s">
        <v>99</v>
      </c>
      <c r="B29" s="3">
        <v>2</v>
      </c>
      <c r="C29">
        <v>4132</v>
      </c>
      <c r="D29">
        <v>0</v>
      </c>
      <c r="E29">
        <v>2700</v>
      </c>
      <c r="F29">
        <v>58</v>
      </c>
      <c r="G29">
        <v>0</v>
      </c>
      <c r="H29">
        <v>0</v>
      </c>
      <c r="I29">
        <v>6700</v>
      </c>
      <c r="J29">
        <v>0</v>
      </c>
      <c r="K29">
        <v>1200</v>
      </c>
      <c r="L29">
        <v>100</v>
      </c>
      <c r="M29">
        <v>0</v>
      </c>
      <c r="N29">
        <v>576</v>
      </c>
      <c r="O29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CFEC-1A95-4131-9A4A-25E80ED73A0B}">
  <sheetPr>
    <tabColor theme="0" tint="-0.499984740745262"/>
  </sheetPr>
  <dimension ref="A1:O50"/>
  <sheetViews>
    <sheetView topLeftCell="A25" workbookViewId="0">
      <selection activeCell="D48" sqref="D48"/>
    </sheetView>
  </sheetViews>
  <sheetFormatPr defaultRowHeight="14.4" x14ac:dyDescent="0.3"/>
  <sheetData>
    <row r="1" spans="1:1" x14ac:dyDescent="0.3">
      <c r="A1" s="1" t="s">
        <v>12</v>
      </c>
    </row>
    <row r="2" spans="1:1" x14ac:dyDescent="0.3">
      <c r="A2" s="26" t="s">
        <v>280</v>
      </c>
    </row>
    <row r="3" spans="1:1" x14ac:dyDescent="0.3">
      <c r="A3" s="3">
        <v>47</v>
      </c>
    </row>
    <row r="6" spans="1:1" x14ac:dyDescent="0.3">
      <c r="A6" s="1" t="s">
        <v>419</v>
      </c>
    </row>
    <row r="7" spans="1:1" x14ac:dyDescent="0.3">
      <c r="A7" s="26" t="s">
        <v>420</v>
      </c>
    </row>
    <row r="8" spans="1:1" x14ac:dyDescent="0.3">
      <c r="A8" s="3">
        <v>5</v>
      </c>
    </row>
    <row r="11" spans="1:1" x14ac:dyDescent="0.3">
      <c r="A11" s="1" t="s">
        <v>436</v>
      </c>
    </row>
    <row r="12" spans="1:1" x14ac:dyDescent="0.3">
      <c r="A12" s="26" t="s">
        <v>437</v>
      </c>
    </row>
    <row r="13" spans="1:1" x14ac:dyDescent="0.3">
      <c r="A13" s="3">
        <v>0.1</v>
      </c>
    </row>
    <row r="14" spans="1:1" x14ac:dyDescent="0.3">
      <c r="A14" s="1"/>
    </row>
    <row r="16" spans="1:1" x14ac:dyDescent="0.3">
      <c r="A16" s="1" t="s">
        <v>439</v>
      </c>
    </row>
    <row r="17" spans="1:15" x14ac:dyDescent="0.3">
      <c r="A17" s="26" t="s">
        <v>440</v>
      </c>
    </row>
    <row r="18" spans="1:15" x14ac:dyDescent="0.3">
      <c r="A18" s="3">
        <v>3.5000000000000003E-2</v>
      </c>
    </row>
    <row r="21" spans="1:15" x14ac:dyDescent="0.3">
      <c r="A21" s="1" t="s">
        <v>55</v>
      </c>
      <c r="N21" t="s">
        <v>84</v>
      </c>
      <c r="O21">
        <v>9.6000000000000002E-2</v>
      </c>
    </row>
    <row r="22" spans="1:15" x14ac:dyDescent="0.3">
      <c r="A22" s="26" t="s">
        <v>447</v>
      </c>
      <c r="N22" t="s">
        <v>85</v>
      </c>
      <c r="O22">
        <v>7.4999999999999997E-2</v>
      </c>
    </row>
    <row r="23" spans="1:15" x14ac:dyDescent="0.3">
      <c r="A23" s="3">
        <v>30</v>
      </c>
      <c r="N23" t="s">
        <v>86</v>
      </c>
      <c r="O23">
        <v>6.5000000000000002E-2</v>
      </c>
    </row>
    <row r="24" spans="1:15" x14ac:dyDescent="0.3">
      <c r="N24" t="s">
        <v>87</v>
      </c>
      <c r="O24">
        <v>0.05</v>
      </c>
    </row>
    <row r="25" spans="1:15" x14ac:dyDescent="0.3">
      <c r="N25" t="s">
        <v>88</v>
      </c>
      <c r="O25">
        <v>0.13900000000000001</v>
      </c>
    </row>
    <row r="26" spans="1:15" x14ac:dyDescent="0.3">
      <c r="A26" s="1" t="s">
        <v>450</v>
      </c>
      <c r="N26" t="s">
        <v>89</v>
      </c>
      <c r="O26">
        <v>0.121</v>
      </c>
    </row>
    <row r="27" spans="1:15" x14ac:dyDescent="0.3">
      <c r="A27" s="26" t="s">
        <v>458</v>
      </c>
      <c r="D27" s="143" t="s">
        <v>826</v>
      </c>
      <c r="N27" t="s">
        <v>90</v>
      </c>
      <c r="O27">
        <v>8.8999999999999996E-2</v>
      </c>
    </row>
    <row r="28" spans="1:15" x14ac:dyDescent="0.3">
      <c r="A28" s="3">
        <v>127.6</v>
      </c>
      <c r="D28" s="135" t="s">
        <v>870</v>
      </c>
      <c r="N28" t="s">
        <v>91</v>
      </c>
      <c r="O28">
        <v>2.9000000000000001E-2</v>
      </c>
    </row>
    <row r="29" spans="1:15" x14ac:dyDescent="0.3">
      <c r="N29" t="s">
        <v>92</v>
      </c>
      <c r="O29">
        <v>0.109</v>
      </c>
    </row>
    <row r="30" spans="1:15" x14ac:dyDescent="0.3">
      <c r="N30" t="s">
        <v>93</v>
      </c>
      <c r="O30">
        <v>8.5999999999999993E-2</v>
      </c>
    </row>
    <row r="31" spans="1:15" x14ac:dyDescent="0.3">
      <c r="A31" s="1" t="s">
        <v>544</v>
      </c>
      <c r="N31" t="s">
        <v>94</v>
      </c>
      <c r="O31">
        <v>8.6999999999999994E-2</v>
      </c>
    </row>
    <row r="32" spans="1:15" x14ac:dyDescent="0.3">
      <c r="A32" s="26" t="s">
        <v>84</v>
      </c>
      <c r="B32" s="26" t="s">
        <v>85</v>
      </c>
      <c r="C32" s="26" t="s">
        <v>86</v>
      </c>
      <c r="D32" s="26" t="s">
        <v>87</v>
      </c>
      <c r="E32" s="26" t="s">
        <v>88</v>
      </c>
      <c r="F32" s="26" t="s">
        <v>89</v>
      </c>
      <c r="G32" s="26" t="s">
        <v>90</v>
      </c>
      <c r="H32" s="26" t="s">
        <v>91</v>
      </c>
      <c r="I32" s="26" t="s">
        <v>92</v>
      </c>
      <c r="J32" s="26" t="s">
        <v>93</v>
      </c>
      <c r="K32" s="26" t="s">
        <v>94</v>
      </c>
      <c r="L32" s="26" t="s">
        <v>95</v>
      </c>
      <c r="M32" s="26" t="s">
        <v>96</v>
      </c>
      <c r="N32" s="26" t="s">
        <v>95</v>
      </c>
      <c r="O32">
        <v>1.4999999999999999E-2</v>
      </c>
    </row>
    <row r="33" spans="1:15" x14ac:dyDescent="0.3">
      <c r="A33" s="3">
        <v>9.6000000000000002E-2</v>
      </c>
      <c r="B33" s="3">
        <v>7.4999999999999997E-2</v>
      </c>
      <c r="C33" s="3">
        <v>6.5000000000000002E-2</v>
      </c>
      <c r="D33" s="3">
        <v>0.05</v>
      </c>
      <c r="E33" s="3">
        <v>0.13900000000000001</v>
      </c>
      <c r="F33" s="3">
        <v>0.121</v>
      </c>
      <c r="G33" s="3">
        <v>8.8999999999999996E-2</v>
      </c>
      <c r="H33" s="3">
        <v>2.9000000000000001E-2</v>
      </c>
      <c r="I33" s="3">
        <v>0.109</v>
      </c>
      <c r="J33" s="3">
        <v>8.5999999999999993E-2</v>
      </c>
      <c r="K33" s="3">
        <v>8.6999999999999994E-2</v>
      </c>
      <c r="L33" s="3">
        <v>1.4999999999999999E-2</v>
      </c>
      <c r="M33" s="3">
        <v>3.9E-2</v>
      </c>
      <c r="N33" t="s">
        <v>96</v>
      </c>
      <c r="O33" s="3">
        <v>3.9E-2</v>
      </c>
    </row>
    <row r="36" spans="1:15" x14ac:dyDescent="0.3">
      <c r="A36" s="1" t="s">
        <v>614</v>
      </c>
    </row>
    <row r="37" spans="1:15" x14ac:dyDescent="0.3">
      <c r="A37" s="26" t="s">
        <v>612</v>
      </c>
      <c r="D37" s="143" t="s">
        <v>826</v>
      </c>
    </row>
    <row r="38" spans="1:15" x14ac:dyDescent="0.3">
      <c r="A38" s="3">
        <v>18.7</v>
      </c>
      <c r="D38" s="135" t="s">
        <v>822</v>
      </c>
    </row>
    <row r="39" spans="1:15" x14ac:dyDescent="0.3">
      <c r="A39" t="s">
        <v>613</v>
      </c>
    </row>
    <row r="42" spans="1:15" x14ac:dyDescent="0.3">
      <c r="A42" s="1" t="s">
        <v>740</v>
      </c>
    </row>
    <row r="43" spans="1:15" x14ac:dyDescent="0.3">
      <c r="A43" s="26" t="s">
        <v>739</v>
      </c>
    </row>
    <row r="44" spans="1:15" x14ac:dyDescent="0.3">
      <c r="A44" s="3">
        <v>8.7999999999999995E-2</v>
      </c>
      <c r="B44" t="s">
        <v>756</v>
      </c>
    </row>
    <row r="47" spans="1:15" x14ac:dyDescent="0.3">
      <c r="A47" s="1" t="s">
        <v>741</v>
      </c>
    </row>
    <row r="48" spans="1:15" x14ac:dyDescent="0.3">
      <c r="A48" s="26" t="s">
        <v>742</v>
      </c>
      <c r="D48" s="143" t="s">
        <v>826</v>
      </c>
    </row>
    <row r="49" spans="1:6" x14ac:dyDescent="0.3">
      <c r="A49" s="109">
        <v>20109</v>
      </c>
      <c r="D49" s="135" t="s">
        <v>808</v>
      </c>
      <c r="E49" s="109"/>
      <c r="F49" s="4"/>
    </row>
    <row r="50" spans="1:6" x14ac:dyDescent="0.3">
      <c r="E50" s="109"/>
      <c r="F50" s="4"/>
    </row>
  </sheetData>
  <hyperlinks>
    <hyperlink ref="D27" location="References!B2" display="Ref" xr:uid="{409584BE-CE8B-45BB-AFCC-347A0CFAF286}"/>
    <hyperlink ref="D37" location="References!B2" display="Ref" xr:uid="{61A136D4-3BDC-4497-AFF4-497AA58EB64E}"/>
    <hyperlink ref="D48" location="References!B2" display="Ref" xr:uid="{42FAC582-36C0-4330-A786-E6A5AC97B60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F432-9DD6-4AF4-AB48-825E40ED500E}">
  <sheetPr>
    <tabColor theme="7" tint="0.79998168889431442"/>
  </sheetPr>
  <dimension ref="A1:T172"/>
  <sheetViews>
    <sheetView workbookViewId="0">
      <selection activeCell="F22" sqref="F22"/>
    </sheetView>
  </sheetViews>
  <sheetFormatPr defaultRowHeight="14.4" x14ac:dyDescent="0.3"/>
  <sheetData>
    <row r="1" spans="1:20" x14ac:dyDescent="0.3">
      <c r="A1" s="1" t="s">
        <v>18</v>
      </c>
      <c r="F1" s="4"/>
      <c r="O1" s="1" t="s">
        <v>43</v>
      </c>
    </row>
    <row r="2" spans="1:20" x14ac:dyDescent="0.3">
      <c r="A2" s="28" t="s">
        <v>17</v>
      </c>
      <c r="E2" s="143" t="s">
        <v>826</v>
      </c>
      <c r="O2" s="1" t="s">
        <v>442</v>
      </c>
    </row>
    <row r="3" spans="1:20" x14ac:dyDescent="0.3">
      <c r="A3" s="3">
        <v>247</v>
      </c>
      <c r="E3" s="134" t="s">
        <v>872</v>
      </c>
      <c r="O3" s="28" t="s">
        <v>129</v>
      </c>
      <c r="P3" s="28" t="s">
        <v>441</v>
      </c>
      <c r="T3" s="143" t="s">
        <v>826</v>
      </c>
    </row>
    <row r="4" spans="1:20" x14ac:dyDescent="0.3">
      <c r="O4" s="28" t="s">
        <v>84</v>
      </c>
      <c r="P4" s="28" t="s">
        <v>84</v>
      </c>
      <c r="Q4" s="3">
        <v>0</v>
      </c>
      <c r="T4" s="134" t="s">
        <v>371</v>
      </c>
    </row>
    <row r="5" spans="1:20" x14ac:dyDescent="0.3">
      <c r="A5" s="1" t="s">
        <v>42</v>
      </c>
      <c r="J5" s="142" t="s">
        <v>826</v>
      </c>
      <c r="O5" s="28" t="s">
        <v>84</v>
      </c>
      <c r="P5" s="28" t="s">
        <v>85</v>
      </c>
      <c r="Q5" s="3">
        <v>139</v>
      </c>
    </row>
    <row r="6" spans="1:20" x14ac:dyDescent="0.3">
      <c r="A6" s="28" t="s">
        <v>41</v>
      </c>
      <c r="B6" s="28"/>
      <c r="C6" s="28">
        <v>1</v>
      </c>
      <c r="D6" s="28">
        <v>2</v>
      </c>
      <c r="E6" s="28">
        <v>3</v>
      </c>
      <c r="F6" s="28">
        <v>4</v>
      </c>
      <c r="G6" s="28">
        <v>5</v>
      </c>
      <c r="H6" s="28">
        <v>6</v>
      </c>
      <c r="J6" s="142"/>
      <c r="O6" s="28" t="s">
        <v>84</v>
      </c>
      <c r="P6" s="28" t="s">
        <v>86</v>
      </c>
      <c r="Q6" s="3">
        <v>214</v>
      </c>
    </row>
    <row r="7" spans="1:20" x14ac:dyDescent="0.3">
      <c r="A7" s="28" t="s">
        <v>191</v>
      </c>
      <c r="B7" s="28" t="s">
        <v>91</v>
      </c>
      <c r="C7" s="41">
        <v>2000</v>
      </c>
      <c r="D7" s="41">
        <v>2000</v>
      </c>
      <c r="E7" s="41">
        <v>2000</v>
      </c>
      <c r="F7" s="41">
        <v>2000</v>
      </c>
      <c r="G7" s="41">
        <v>2000</v>
      </c>
      <c r="H7" s="41">
        <v>2000</v>
      </c>
      <c r="J7" s="134" t="s">
        <v>822</v>
      </c>
      <c r="O7" s="28" t="s">
        <v>84</v>
      </c>
      <c r="P7" s="28" t="s">
        <v>87</v>
      </c>
      <c r="Q7" s="3">
        <v>334</v>
      </c>
    </row>
    <row r="8" spans="1:20" x14ac:dyDescent="0.3">
      <c r="A8" s="28" t="s">
        <v>201</v>
      </c>
      <c r="B8" s="28" t="s">
        <v>90</v>
      </c>
      <c r="C8" s="3">
        <v>500</v>
      </c>
      <c r="D8" s="3">
        <v>500</v>
      </c>
      <c r="E8" s="3">
        <v>500</v>
      </c>
      <c r="F8" s="3">
        <v>500</v>
      </c>
      <c r="G8" s="3">
        <v>500</v>
      </c>
      <c r="H8" s="3">
        <v>500</v>
      </c>
      <c r="J8" s="134" t="s">
        <v>822</v>
      </c>
      <c r="O8" s="28" t="s">
        <v>84</v>
      </c>
      <c r="P8" s="28" t="s">
        <v>88</v>
      </c>
      <c r="Q8" s="3">
        <v>99</v>
      </c>
    </row>
    <row r="9" spans="1:20" x14ac:dyDescent="0.3">
      <c r="A9" s="28" t="s">
        <v>192</v>
      </c>
      <c r="B9" s="28" t="s">
        <v>91</v>
      </c>
      <c r="C9" s="41">
        <v>1000</v>
      </c>
      <c r="D9" s="41">
        <v>1000</v>
      </c>
      <c r="E9" s="41">
        <v>1000</v>
      </c>
      <c r="F9" s="41">
        <v>1000</v>
      </c>
      <c r="G9" s="41">
        <v>1000</v>
      </c>
      <c r="H9" s="41">
        <v>1000</v>
      </c>
      <c r="J9" s="134" t="s">
        <v>822</v>
      </c>
      <c r="O9" s="28" t="s">
        <v>84</v>
      </c>
      <c r="P9" s="28" t="s">
        <v>89</v>
      </c>
      <c r="Q9" s="3">
        <v>294</v>
      </c>
    </row>
    <row r="10" spans="1:20" x14ac:dyDescent="0.3">
      <c r="A10" s="28" t="s">
        <v>194</v>
      </c>
      <c r="B10" s="28" t="s">
        <v>95</v>
      </c>
      <c r="C10" s="3">
        <v>500</v>
      </c>
      <c r="D10" s="3">
        <v>500</v>
      </c>
      <c r="E10" s="3">
        <v>500</v>
      </c>
      <c r="F10" s="3">
        <v>500</v>
      </c>
      <c r="G10" s="3">
        <v>500</v>
      </c>
      <c r="H10" s="3">
        <v>500</v>
      </c>
      <c r="J10" s="134" t="s">
        <v>822</v>
      </c>
      <c r="O10" s="28" t="s">
        <v>84</v>
      </c>
      <c r="P10" s="28" t="s">
        <v>90</v>
      </c>
      <c r="Q10" s="3">
        <v>590</v>
      </c>
    </row>
    <row r="11" spans="1:20" x14ac:dyDescent="0.3">
      <c r="A11" s="28" t="s">
        <v>199</v>
      </c>
      <c r="B11" s="28" t="s">
        <v>91</v>
      </c>
      <c r="C11" s="41">
        <v>1000</v>
      </c>
      <c r="D11" s="41">
        <v>1000</v>
      </c>
      <c r="E11" s="41">
        <v>1000</v>
      </c>
      <c r="F11" s="41">
        <v>1000</v>
      </c>
      <c r="G11" s="41">
        <v>1000</v>
      </c>
      <c r="H11" s="41">
        <v>1000</v>
      </c>
      <c r="J11" s="134" t="s">
        <v>822</v>
      </c>
      <c r="O11" s="28" t="s">
        <v>84</v>
      </c>
      <c r="P11" s="28" t="s">
        <v>91</v>
      </c>
      <c r="Q11" s="3">
        <v>111</v>
      </c>
    </row>
    <row r="12" spans="1:20" x14ac:dyDescent="0.3">
      <c r="A12" s="28" t="s">
        <v>200</v>
      </c>
      <c r="B12" s="28" t="s">
        <v>91</v>
      </c>
      <c r="C12" s="41">
        <v>1000</v>
      </c>
      <c r="D12" s="41">
        <v>1000</v>
      </c>
      <c r="E12" s="41">
        <v>1000</v>
      </c>
      <c r="F12" s="41">
        <v>1000</v>
      </c>
      <c r="G12" s="41">
        <v>1000</v>
      </c>
      <c r="H12" s="41">
        <v>1000</v>
      </c>
      <c r="J12" s="134" t="s">
        <v>822</v>
      </c>
      <c r="O12" s="28" t="s">
        <v>84</v>
      </c>
      <c r="P12" s="28" t="s">
        <v>92</v>
      </c>
      <c r="Q12" s="3">
        <v>208</v>
      </c>
    </row>
    <row r="13" spans="1:20" x14ac:dyDescent="0.3">
      <c r="A13" s="28" t="s">
        <v>193</v>
      </c>
      <c r="B13" s="28" t="s">
        <v>92</v>
      </c>
      <c r="C13" s="41">
        <v>1000</v>
      </c>
      <c r="D13" s="41">
        <v>1000</v>
      </c>
      <c r="E13" s="41">
        <v>1000</v>
      </c>
      <c r="F13" s="41">
        <v>1000</v>
      </c>
      <c r="G13" s="41">
        <v>1000</v>
      </c>
      <c r="H13" s="41">
        <v>1000</v>
      </c>
      <c r="J13" s="134" t="s">
        <v>822</v>
      </c>
      <c r="O13" s="28" t="s">
        <v>84</v>
      </c>
      <c r="P13" s="28" t="s">
        <v>93</v>
      </c>
      <c r="Q13" s="3">
        <v>365</v>
      </c>
    </row>
    <row r="14" spans="1:20" x14ac:dyDescent="0.3">
      <c r="A14" s="28" t="s">
        <v>195</v>
      </c>
      <c r="B14" s="28" t="s">
        <v>87</v>
      </c>
      <c r="C14" s="41">
        <v>1400</v>
      </c>
      <c r="D14" s="41">
        <v>1400</v>
      </c>
      <c r="E14" s="41">
        <v>1400</v>
      </c>
      <c r="F14" s="41">
        <v>1400</v>
      </c>
      <c r="G14" s="41">
        <v>1400</v>
      </c>
      <c r="H14" s="41">
        <v>1400</v>
      </c>
      <c r="J14" s="134" t="s">
        <v>822</v>
      </c>
      <c r="O14" s="28" t="s">
        <v>84</v>
      </c>
      <c r="P14" s="28" t="s">
        <v>94</v>
      </c>
      <c r="Q14" s="3">
        <v>242</v>
      </c>
    </row>
    <row r="15" spans="1:20" x14ac:dyDescent="0.3">
      <c r="A15" s="28" t="s">
        <v>202</v>
      </c>
      <c r="B15" s="28" t="s">
        <v>96</v>
      </c>
      <c r="C15" s="41">
        <v>500</v>
      </c>
      <c r="D15" s="41">
        <v>500</v>
      </c>
      <c r="E15" s="41">
        <v>500</v>
      </c>
      <c r="F15" s="41">
        <v>500</v>
      </c>
      <c r="G15" s="41">
        <v>500</v>
      </c>
      <c r="H15" s="41">
        <v>500</v>
      </c>
      <c r="J15" s="134" t="s">
        <v>822</v>
      </c>
      <c r="O15" s="28" t="s">
        <v>84</v>
      </c>
      <c r="P15" s="28" t="s">
        <v>95</v>
      </c>
      <c r="Q15" s="3">
        <v>371</v>
      </c>
    </row>
    <row r="16" spans="1:20" x14ac:dyDescent="0.3">
      <c r="A16" s="28" t="s">
        <v>197</v>
      </c>
      <c r="B16" s="28" t="s">
        <v>93</v>
      </c>
      <c r="C16" s="41">
        <v>1400</v>
      </c>
      <c r="D16" s="41">
        <v>1400</v>
      </c>
      <c r="E16" s="41">
        <v>1400</v>
      </c>
      <c r="F16" s="41">
        <v>1400</v>
      </c>
      <c r="G16" s="41">
        <v>1400</v>
      </c>
      <c r="H16" s="41">
        <v>1400</v>
      </c>
      <c r="J16" s="134" t="s">
        <v>822</v>
      </c>
      <c r="O16" s="28" t="s">
        <v>84</v>
      </c>
      <c r="P16" s="28" t="s">
        <v>96</v>
      </c>
      <c r="Q16" s="3">
        <v>395</v>
      </c>
    </row>
    <row r="17" spans="1:17" x14ac:dyDescent="0.3">
      <c r="A17" s="28" t="s">
        <v>198</v>
      </c>
      <c r="B17" s="28" t="s">
        <v>85</v>
      </c>
      <c r="C17" s="41">
        <v>1000</v>
      </c>
      <c r="D17" s="41">
        <v>1000</v>
      </c>
      <c r="E17" s="41">
        <v>1000</v>
      </c>
      <c r="F17" s="41">
        <v>1000</v>
      </c>
      <c r="G17" s="41">
        <v>1000</v>
      </c>
      <c r="H17" s="41">
        <v>1000</v>
      </c>
      <c r="J17" s="134" t="s">
        <v>822</v>
      </c>
      <c r="O17" s="28" t="s">
        <v>85</v>
      </c>
      <c r="P17" s="28" t="s">
        <v>84</v>
      </c>
      <c r="Q17" s="3">
        <v>139</v>
      </c>
    </row>
    <row r="18" spans="1:17" x14ac:dyDescent="0.3">
      <c r="A18" s="28" t="s">
        <v>196</v>
      </c>
      <c r="B18" s="28" t="s">
        <v>90</v>
      </c>
      <c r="C18" s="41">
        <v>1400</v>
      </c>
      <c r="D18" s="41">
        <v>1400</v>
      </c>
      <c r="E18" s="41">
        <v>1400</v>
      </c>
      <c r="F18" s="41">
        <v>1400</v>
      </c>
      <c r="G18" s="41">
        <v>1400</v>
      </c>
      <c r="H18" s="41">
        <v>1400</v>
      </c>
      <c r="J18" s="134" t="s">
        <v>822</v>
      </c>
      <c r="O18" s="28" t="s">
        <v>85</v>
      </c>
      <c r="P18" s="28" t="s">
        <v>85</v>
      </c>
      <c r="Q18" s="3">
        <v>0</v>
      </c>
    </row>
    <row r="19" spans="1:17" x14ac:dyDescent="0.3">
      <c r="O19" s="28" t="s">
        <v>85</v>
      </c>
      <c r="P19" s="28" t="s">
        <v>86</v>
      </c>
      <c r="Q19" s="3">
        <v>97</v>
      </c>
    </row>
    <row r="20" spans="1:17" x14ac:dyDescent="0.3">
      <c r="O20" s="28" t="s">
        <v>85</v>
      </c>
      <c r="P20" s="28" t="s">
        <v>87</v>
      </c>
      <c r="Q20" s="3">
        <v>204</v>
      </c>
    </row>
    <row r="21" spans="1:17" x14ac:dyDescent="0.3">
      <c r="A21" s="1" t="s">
        <v>81</v>
      </c>
      <c r="O21" s="28" t="s">
        <v>85</v>
      </c>
      <c r="P21" s="28" t="s">
        <v>88</v>
      </c>
      <c r="Q21" s="3">
        <v>134</v>
      </c>
    </row>
    <row r="22" spans="1:17" x14ac:dyDescent="0.3">
      <c r="A22" s="28" t="s">
        <v>80</v>
      </c>
      <c r="B22" s="4"/>
      <c r="F22" s="143" t="s">
        <v>826</v>
      </c>
      <c r="O22" s="28" t="s">
        <v>85</v>
      </c>
      <c r="P22" s="28" t="s">
        <v>89</v>
      </c>
      <c r="Q22" s="3">
        <v>155</v>
      </c>
    </row>
    <row r="23" spans="1:17" x14ac:dyDescent="0.3">
      <c r="A23">
        <v>1500</v>
      </c>
      <c r="F23" s="134" t="s">
        <v>873</v>
      </c>
      <c r="O23" s="28" t="s">
        <v>85</v>
      </c>
      <c r="P23" s="28" t="s">
        <v>90</v>
      </c>
      <c r="Q23" s="3">
        <v>460</v>
      </c>
    </row>
    <row r="24" spans="1:17" x14ac:dyDescent="0.3">
      <c r="O24" s="28" t="s">
        <v>85</v>
      </c>
      <c r="P24" s="28" t="s">
        <v>91</v>
      </c>
      <c r="Q24" s="3">
        <v>198</v>
      </c>
    </row>
    <row r="25" spans="1:17" x14ac:dyDescent="0.3">
      <c r="O25" s="28" t="s">
        <v>85</v>
      </c>
      <c r="P25" s="28" t="s">
        <v>92</v>
      </c>
      <c r="Q25" s="3">
        <v>171</v>
      </c>
    </row>
    <row r="26" spans="1:17" x14ac:dyDescent="0.3">
      <c r="A26" s="28" t="s">
        <v>734</v>
      </c>
      <c r="B26" s="4"/>
      <c r="C26" s="143" t="s">
        <v>826</v>
      </c>
      <c r="O26" s="28" t="s">
        <v>85</v>
      </c>
      <c r="P26" s="28" t="s">
        <v>93</v>
      </c>
      <c r="Q26" s="3">
        <v>281</v>
      </c>
    </row>
    <row r="27" spans="1:17" x14ac:dyDescent="0.3">
      <c r="A27" s="28" t="s">
        <v>191</v>
      </c>
      <c r="B27" s="108">
        <v>0.62</v>
      </c>
      <c r="C27" s="134" t="s">
        <v>804</v>
      </c>
      <c r="O27" s="28" t="s">
        <v>85</v>
      </c>
      <c r="P27" s="28" t="s">
        <v>94</v>
      </c>
      <c r="Q27" s="3">
        <v>125</v>
      </c>
    </row>
    <row r="28" spans="1:17" x14ac:dyDescent="0.3">
      <c r="A28" s="28" t="s">
        <v>201</v>
      </c>
      <c r="B28" s="108">
        <v>0.54</v>
      </c>
      <c r="C28" s="134" t="s">
        <v>804</v>
      </c>
      <c r="O28" s="28" t="s">
        <v>85</v>
      </c>
      <c r="P28" s="28" t="s">
        <v>95</v>
      </c>
      <c r="Q28" s="3">
        <v>242</v>
      </c>
    </row>
    <row r="29" spans="1:17" x14ac:dyDescent="0.3">
      <c r="A29" t="s">
        <v>192</v>
      </c>
      <c r="B29" s="108">
        <v>0.66</v>
      </c>
      <c r="C29" s="134" t="s">
        <v>804</v>
      </c>
      <c r="O29" s="28" t="s">
        <v>85</v>
      </c>
      <c r="P29" s="28" t="s">
        <v>96</v>
      </c>
      <c r="Q29" s="3">
        <v>283</v>
      </c>
    </row>
    <row r="30" spans="1:17" x14ac:dyDescent="0.3">
      <c r="A30" s="28" t="s">
        <v>194</v>
      </c>
      <c r="B30" s="108">
        <v>0.54</v>
      </c>
      <c r="C30" s="134" t="s">
        <v>804</v>
      </c>
      <c r="O30" s="28" t="s">
        <v>86</v>
      </c>
      <c r="P30" s="28" t="s">
        <v>84</v>
      </c>
      <c r="Q30" s="3">
        <v>214</v>
      </c>
    </row>
    <row r="31" spans="1:17" x14ac:dyDescent="0.3">
      <c r="A31" s="28" t="s">
        <v>199</v>
      </c>
      <c r="B31" s="108">
        <v>0.67</v>
      </c>
      <c r="C31" s="134" t="s">
        <v>804</v>
      </c>
      <c r="O31" s="28" t="s">
        <v>86</v>
      </c>
      <c r="P31" s="28" t="s">
        <v>85</v>
      </c>
      <c r="Q31" s="3">
        <v>97</v>
      </c>
    </row>
    <row r="32" spans="1:17" x14ac:dyDescent="0.3">
      <c r="A32" s="28" t="s">
        <v>200</v>
      </c>
      <c r="B32" s="108">
        <v>0.67</v>
      </c>
      <c r="C32" s="134" t="s">
        <v>804</v>
      </c>
      <c r="O32" s="28" t="s">
        <v>86</v>
      </c>
      <c r="P32" s="28" t="s">
        <v>86</v>
      </c>
      <c r="Q32" s="3">
        <v>0</v>
      </c>
    </row>
    <row r="33" spans="1:17" x14ac:dyDescent="0.3">
      <c r="A33" s="28" t="s">
        <v>193</v>
      </c>
      <c r="B33" s="108">
        <v>0.63</v>
      </c>
      <c r="C33" s="134" t="s">
        <v>804</v>
      </c>
      <c r="O33" s="28" t="s">
        <v>86</v>
      </c>
      <c r="P33" s="28" t="s">
        <v>87</v>
      </c>
      <c r="Q33" s="3">
        <v>122</v>
      </c>
    </row>
    <row r="34" spans="1:17" x14ac:dyDescent="0.3">
      <c r="A34" s="28" t="s">
        <v>195</v>
      </c>
      <c r="B34" s="108">
        <v>0.75</v>
      </c>
      <c r="C34" s="134" t="s">
        <v>804</v>
      </c>
      <c r="O34" s="28" t="s">
        <v>86</v>
      </c>
      <c r="P34" s="28" t="s">
        <v>88</v>
      </c>
      <c r="Q34" s="3">
        <v>230</v>
      </c>
    </row>
    <row r="35" spans="1:17" x14ac:dyDescent="0.3">
      <c r="A35" t="s">
        <v>202</v>
      </c>
      <c r="B35" s="108">
        <v>0.54</v>
      </c>
      <c r="C35" s="134" t="s">
        <v>804</v>
      </c>
      <c r="O35" s="28" t="s">
        <v>86</v>
      </c>
      <c r="P35" s="28" t="s">
        <v>89</v>
      </c>
      <c r="Q35" s="3">
        <v>132</v>
      </c>
    </row>
    <row r="36" spans="1:17" x14ac:dyDescent="0.3">
      <c r="A36" t="s">
        <v>197</v>
      </c>
      <c r="B36" s="108">
        <v>0.66</v>
      </c>
      <c r="C36" s="134" t="s">
        <v>804</v>
      </c>
      <c r="O36" s="28" t="s">
        <v>86</v>
      </c>
      <c r="P36" s="28" t="s">
        <v>90</v>
      </c>
      <c r="Q36" s="3">
        <v>376</v>
      </c>
    </row>
    <row r="37" spans="1:17" x14ac:dyDescent="0.3">
      <c r="A37" t="s">
        <v>198</v>
      </c>
      <c r="B37" s="108">
        <v>0.6</v>
      </c>
      <c r="C37" s="134" t="s">
        <v>804</v>
      </c>
      <c r="O37" s="28" t="s">
        <v>86</v>
      </c>
      <c r="P37" s="28" t="s">
        <v>91</v>
      </c>
      <c r="Q37" s="3">
        <v>292</v>
      </c>
    </row>
    <row r="38" spans="1:17" x14ac:dyDescent="0.3">
      <c r="A38" t="s">
        <v>196</v>
      </c>
      <c r="B38" s="108">
        <v>0.6</v>
      </c>
      <c r="C38" s="134" t="s">
        <v>804</v>
      </c>
      <c r="O38" s="28" t="s">
        <v>86</v>
      </c>
      <c r="P38" s="28" t="s">
        <v>92</v>
      </c>
      <c r="Q38" s="3">
        <v>258</v>
      </c>
    </row>
    <row r="39" spans="1:17" x14ac:dyDescent="0.3">
      <c r="O39" s="28" t="s">
        <v>86</v>
      </c>
      <c r="P39" s="28" t="s">
        <v>93</v>
      </c>
      <c r="Q39" s="3">
        <v>332</v>
      </c>
    </row>
    <row r="40" spans="1:17" x14ac:dyDescent="0.3">
      <c r="O40" s="28" t="s">
        <v>86</v>
      </c>
      <c r="P40" s="28" t="s">
        <v>94</v>
      </c>
      <c r="Q40" s="3">
        <v>169</v>
      </c>
    </row>
    <row r="41" spans="1:17" x14ac:dyDescent="0.3">
      <c r="A41" s="28" t="s">
        <v>781</v>
      </c>
      <c r="B41" s="4"/>
      <c r="C41" s="143" t="s">
        <v>826</v>
      </c>
      <c r="O41" s="28" t="s">
        <v>86</v>
      </c>
      <c r="P41" s="28" t="s">
        <v>95</v>
      </c>
      <c r="Q41" s="3">
        <v>242</v>
      </c>
    </row>
    <row r="42" spans="1:17" x14ac:dyDescent="0.3">
      <c r="A42" s="28" t="s">
        <v>191</v>
      </c>
      <c r="B42">
        <v>1.17E-2</v>
      </c>
      <c r="C42" s="134" t="s">
        <v>794</v>
      </c>
      <c r="O42" s="28" t="s">
        <v>86</v>
      </c>
      <c r="P42" s="28" t="s">
        <v>96</v>
      </c>
      <c r="Q42" s="3">
        <v>308</v>
      </c>
    </row>
    <row r="43" spans="1:17" x14ac:dyDescent="0.3">
      <c r="A43" s="28" t="s">
        <v>201</v>
      </c>
      <c r="B43">
        <v>2.3599999999999999E-2</v>
      </c>
      <c r="C43" s="134" t="s">
        <v>794</v>
      </c>
      <c r="O43" s="28" t="s">
        <v>87</v>
      </c>
      <c r="P43" s="28" t="s">
        <v>84</v>
      </c>
      <c r="Q43" s="3">
        <v>334</v>
      </c>
    </row>
    <row r="44" spans="1:17" x14ac:dyDescent="0.3">
      <c r="A44" t="s">
        <v>192</v>
      </c>
      <c r="B44">
        <v>3.4500000000000003E-2</v>
      </c>
      <c r="C44" s="134" t="s">
        <v>794</v>
      </c>
      <c r="O44" s="28" t="s">
        <v>87</v>
      </c>
      <c r="P44" s="28" t="s">
        <v>85</v>
      </c>
      <c r="Q44" s="3">
        <v>204</v>
      </c>
    </row>
    <row r="45" spans="1:17" x14ac:dyDescent="0.3">
      <c r="A45" s="28" t="s">
        <v>194</v>
      </c>
      <c r="B45">
        <v>4.6800000000000001E-2</v>
      </c>
      <c r="C45" s="134" t="s">
        <v>794</v>
      </c>
      <c r="O45" s="28" t="s">
        <v>87</v>
      </c>
      <c r="P45" s="28" t="s">
        <v>86</v>
      </c>
      <c r="Q45" s="3">
        <v>122</v>
      </c>
    </row>
    <row r="46" spans="1:17" x14ac:dyDescent="0.3">
      <c r="A46" s="28" t="s">
        <v>199</v>
      </c>
      <c r="B46">
        <v>2.6700000000000002E-2</v>
      </c>
      <c r="C46" s="134" t="s">
        <v>794</v>
      </c>
      <c r="O46" s="28" t="s">
        <v>87</v>
      </c>
      <c r="P46" s="28" t="s">
        <v>87</v>
      </c>
      <c r="Q46" s="3">
        <v>0</v>
      </c>
    </row>
    <row r="47" spans="1:17" x14ac:dyDescent="0.3">
      <c r="A47" s="28" t="s">
        <v>200</v>
      </c>
      <c r="B47">
        <v>2.085E-2</v>
      </c>
      <c r="C47" s="134" t="s">
        <v>794</v>
      </c>
      <c r="O47" s="28" t="s">
        <v>87</v>
      </c>
      <c r="P47" s="28" t="s">
        <v>88</v>
      </c>
      <c r="Q47" s="3">
        <v>335</v>
      </c>
    </row>
    <row r="48" spans="1:17" x14ac:dyDescent="0.3">
      <c r="A48" s="28" t="s">
        <v>193</v>
      </c>
      <c r="B48">
        <v>3.6600000000000001E-2</v>
      </c>
      <c r="C48" s="134" t="s">
        <v>794</v>
      </c>
      <c r="O48" s="28" t="s">
        <v>87</v>
      </c>
      <c r="P48" s="28" t="s">
        <v>89</v>
      </c>
      <c r="Q48" s="3">
        <v>115</v>
      </c>
    </row>
    <row r="49" spans="1:17" x14ac:dyDescent="0.3">
      <c r="A49" s="28" t="s">
        <v>195</v>
      </c>
      <c r="B49">
        <v>7.9799999999999996E-2</v>
      </c>
      <c r="C49" s="134" t="s">
        <v>794</v>
      </c>
      <c r="O49" s="28" t="s">
        <v>87</v>
      </c>
      <c r="P49" s="28" t="s">
        <v>90</v>
      </c>
      <c r="Q49" s="3">
        <v>257</v>
      </c>
    </row>
    <row r="50" spans="1:17" x14ac:dyDescent="0.3">
      <c r="A50" t="s">
        <v>202</v>
      </c>
      <c r="B50">
        <v>3.3000000000000002E-2</v>
      </c>
      <c r="C50" s="134" t="s">
        <v>794</v>
      </c>
      <c r="O50" s="28" t="s">
        <v>87</v>
      </c>
      <c r="P50" s="28" t="s">
        <v>91</v>
      </c>
      <c r="Q50" s="3">
        <v>402</v>
      </c>
    </row>
    <row r="51" spans="1:17" x14ac:dyDescent="0.3">
      <c r="A51" t="s">
        <v>197</v>
      </c>
      <c r="B51">
        <v>3.4439999999999998E-2</v>
      </c>
      <c r="C51" s="134" t="s">
        <v>794</v>
      </c>
      <c r="O51" s="28" t="s">
        <v>87</v>
      </c>
      <c r="P51" s="28" t="s">
        <v>92</v>
      </c>
      <c r="Q51" s="3">
        <v>331</v>
      </c>
    </row>
    <row r="52" spans="1:17" x14ac:dyDescent="0.3">
      <c r="A52" t="s">
        <v>198</v>
      </c>
      <c r="B52">
        <v>6.9000000000000006E-2</v>
      </c>
      <c r="C52" s="134" t="s">
        <v>794</v>
      </c>
      <c r="O52" s="28" t="s">
        <v>87</v>
      </c>
      <c r="P52" s="28" t="s">
        <v>93</v>
      </c>
      <c r="Q52" s="3">
        <v>348</v>
      </c>
    </row>
    <row r="53" spans="1:17" x14ac:dyDescent="0.3">
      <c r="A53" t="s">
        <v>196</v>
      </c>
      <c r="B53">
        <v>7.3499999999999996E-2</v>
      </c>
      <c r="C53" s="134" t="s">
        <v>794</v>
      </c>
      <c r="O53" s="28" t="s">
        <v>87</v>
      </c>
      <c r="P53" s="28" t="s">
        <v>94</v>
      </c>
      <c r="Q53" s="3">
        <v>209</v>
      </c>
    </row>
    <row r="54" spans="1:17" x14ac:dyDescent="0.3">
      <c r="O54" s="28" t="s">
        <v>87</v>
      </c>
      <c r="P54" s="28" t="s">
        <v>95</v>
      </c>
      <c r="Q54" s="3">
        <v>209</v>
      </c>
    </row>
    <row r="55" spans="1:17" x14ac:dyDescent="0.3">
      <c r="O55" s="28" t="s">
        <v>87</v>
      </c>
      <c r="P55" s="28" t="s">
        <v>96</v>
      </c>
      <c r="Q55" s="3">
        <v>293</v>
      </c>
    </row>
    <row r="56" spans="1:17" x14ac:dyDescent="0.3">
      <c r="O56" s="28" t="s">
        <v>88</v>
      </c>
      <c r="P56" s="28" t="s">
        <v>84</v>
      </c>
      <c r="Q56" s="3">
        <v>99</v>
      </c>
    </row>
    <row r="57" spans="1:17" x14ac:dyDescent="0.3">
      <c r="A57" s="28" t="s">
        <v>785</v>
      </c>
      <c r="B57" s="28">
        <v>1</v>
      </c>
      <c r="C57" s="28">
        <v>2</v>
      </c>
      <c r="D57" s="28">
        <v>3</v>
      </c>
      <c r="E57" s="28">
        <v>4</v>
      </c>
      <c r="F57" s="28">
        <v>5</v>
      </c>
      <c r="G57" s="28">
        <v>6</v>
      </c>
      <c r="H57" s="143" t="s">
        <v>826</v>
      </c>
      <c r="O57" s="28" t="s">
        <v>88</v>
      </c>
      <c r="P57" s="28" t="s">
        <v>85</v>
      </c>
      <c r="Q57" s="3">
        <v>134</v>
      </c>
    </row>
    <row r="58" spans="1:17" x14ac:dyDescent="0.3">
      <c r="A58" s="28" t="s">
        <v>183</v>
      </c>
      <c r="B58" s="115">
        <v>0.8546491800882956</v>
      </c>
      <c r="C58" s="115">
        <v>0.86896222572280968</v>
      </c>
      <c r="D58" s="115">
        <v>0.89053221004926264</v>
      </c>
      <c r="E58" s="115">
        <v>0.91210219437571516</v>
      </c>
      <c r="F58" s="115">
        <v>0.91210219437571516</v>
      </c>
      <c r="G58" s="115">
        <v>0.91210219437571516</v>
      </c>
      <c r="H58" s="134" t="s">
        <v>873</v>
      </c>
      <c r="O58" s="28" t="s">
        <v>88</v>
      </c>
      <c r="P58" s="28" t="s">
        <v>86</v>
      </c>
      <c r="Q58" s="3">
        <v>230</v>
      </c>
    </row>
    <row r="59" spans="1:17" x14ac:dyDescent="0.3">
      <c r="A59" s="28" t="s">
        <v>203</v>
      </c>
      <c r="B59" s="115">
        <v>1.0108017288018976</v>
      </c>
      <c r="C59" s="115">
        <v>1.1812673231500139</v>
      </c>
      <c r="D59" s="115">
        <v>1.2010872446793766</v>
      </c>
      <c r="E59" s="115">
        <v>1.2209071662087392</v>
      </c>
      <c r="F59" s="115">
        <v>1.2209071662087392</v>
      </c>
      <c r="G59" s="115">
        <v>1.2209071662087392</v>
      </c>
      <c r="H59" s="134" t="s">
        <v>873</v>
      </c>
      <c r="O59" s="28" t="s">
        <v>88</v>
      </c>
      <c r="P59" s="28" t="s">
        <v>87</v>
      </c>
      <c r="Q59" s="3">
        <v>335</v>
      </c>
    </row>
    <row r="60" spans="1:17" x14ac:dyDescent="0.3">
      <c r="A60" s="28" t="s">
        <v>204</v>
      </c>
      <c r="B60" s="115">
        <v>0.84832752098128694</v>
      </c>
      <c r="C60" s="115">
        <v>0.85631890750879258</v>
      </c>
      <c r="D60" s="115">
        <v>0.91797386884942556</v>
      </c>
      <c r="E60" s="115">
        <v>0.97962883019005864</v>
      </c>
      <c r="F60" s="115">
        <v>0.97962883019005864</v>
      </c>
      <c r="G60" s="115">
        <v>0.97962883019005864</v>
      </c>
      <c r="H60" s="134" t="s">
        <v>873</v>
      </c>
      <c r="O60" s="28" t="s">
        <v>88</v>
      </c>
      <c r="P60" s="28" t="s">
        <v>88</v>
      </c>
      <c r="Q60" s="3">
        <v>0</v>
      </c>
    </row>
    <row r="61" spans="1:17" x14ac:dyDescent="0.3">
      <c r="A61" s="28" t="s">
        <v>87</v>
      </c>
      <c r="B61" s="115">
        <v>0.83081746746528051</v>
      </c>
      <c r="C61" s="115">
        <v>0.82129880047677961</v>
      </c>
      <c r="D61" s="115">
        <v>0.99910575728103079</v>
      </c>
      <c r="E61" s="115">
        <v>1.176912714085282</v>
      </c>
      <c r="F61" s="115">
        <v>1.176912714085282</v>
      </c>
      <c r="G61" s="115">
        <v>1.176912714085282</v>
      </c>
      <c r="H61" s="134" t="s">
        <v>873</v>
      </c>
      <c r="O61" s="28" t="s">
        <v>88</v>
      </c>
      <c r="P61" s="28" t="s">
        <v>89</v>
      </c>
      <c r="Q61" s="3">
        <v>263</v>
      </c>
    </row>
    <row r="62" spans="1:17" x14ac:dyDescent="0.3">
      <c r="A62" s="28" t="s">
        <v>205</v>
      </c>
      <c r="B62" s="115">
        <v>0.99641990504069267</v>
      </c>
      <c r="C62" s="115">
        <v>1.1525036756276037</v>
      </c>
      <c r="D62" s="115">
        <v>1.2208001897388692</v>
      </c>
      <c r="E62" s="115">
        <v>1.2890967038501344</v>
      </c>
      <c r="F62" s="115">
        <v>1.2890967038501344</v>
      </c>
      <c r="G62" s="115">
        <v>1.2890967038501344</v>
      </c>
      <c r="H62" s="134" t="s">
        <v>873</v>
      </c>
      <c r="O62" s="28" t="s">
        <v>88</v>
      </c>
      <c r="P62" s="28" t="s">
        <v>90</v>
      </c>
      <c r="Q62" s="3">
        <v>589</v>
      </c>
    </row>
    <row r="63" spans="1:17" x14ac:dyDescent="0.3">
      <c r="A63" s="28" t="s">
        <v>206</v>
      </c>
      <c r="B63" s="115">
        <v>1.0033299919363876</v>
      </c>
      <c r="C63" s="115">
        <v>1.1663238494189938</v>
      </c>
      <c r="D63" s="115">
        <v>1.259629757372513</v>
      </c>
      <c r="E63" s="115">
        <v>1.3529356653260325</v>
      </c>
      <c r="F63" s="115">
        <v>1.3529356653260325</v>
      </c>
      <c r="G63" s="115">
        <v>1.3529356653260325</v>
      </c>
      <c r="H63" s="134" t="s">
        <v>873</v>
      </c>
      <c r="O63" s="28" t="s">
        <v>88</v>
      </c>
      <c r="P63" s="28" t="s">
        <v>91</v>
      </c>
      <c r="Q63" s="3">
        <v>70</v>
      </c>
    </row>
    <row r="64" spans="1:17" x14ac:dyDescent="0.3">
      <c r="O64" s="28" t="s">
        <v>88</v>
      </c>
      <c r="P64" s="28" t="s">
        <v>92</v>
      </c>
      <c r="Q64" s="3">
        <v>112</v>
      </c>
    </row>
    <row r="65" spans="1:17" x14ac:dyDescent="0.3">
      <c r="B65" s="3">
        <v>1.8</v>
      </c>
      <c r="C65" s="3">
        <v>2.1</v>
      </c>
      <c r="D65" s="3">
        <v>2.2999999999999998</v>
      </c>
      <c r="E65" s="3">
        <v>2.2999999999999998</v>
      </c>
      <c r="F65" s="3">
        <v>2.2999999999999998</v>
      </c>
      <c r="G65" s="3">
        <v>2.2999999999999998</v>
      </c>
      <c r="O65" s="28" t="s">
        <v>88</v>
      </c>
      <c r="P65" s="28" t="s">
        <v>93</v>
      </c>
      <c r="Q65" s="3">
        <v>276</v>
      </c>
    </row>
    <row r="66" spans="1:17" x14ac:dyDescent="0.3">
      <c r="B66" s="3">
        <v>1.8</v>
      </c>
      <c r="C66" s="3">
        <v>2.2000000000000002</v>
      </c>
      <c r="D66" s="3">
        <v>2.4</v>
      </c>
      <c r="E66" s="3">
        <v>2.4</v>
      </c>
      <c r="F66" s="3">
        <v>2.4</v>
      </c>
      <c r="G66" s="3">
        <v>2.4</v>
      </c>
      <c r="O66" s="28" t="s">
        <v>88</v>
      </c>
      <c r="P66" s="28" t="s">
        <v>94</v>
      </c>
      <c r="Q66" s="3">
        <v>184</v>
      </c>
    </row>
    <row r="67" spans="1:17" x14ac:dyDescent="0.3">
      <c r="B67" s="3">
        <v>1.4</v>
      </c>
      <c r="C67" s="3">
        <v>1.6</v>
      </c>
      <c r="D67" s="3">
        <v>1.8</v>
      </c>
      <c r="E67" s="3">
        <v>1.8</v>
      </c>
      <c r="F67" s="3">
        <v>1.8</v>
      </c>
      <c r="G67" s="3">
        <v>1.8</v>
      </c>
      <c r="O67" s="28" t="s">
        <v>88</v>
      </c>
      <c r="P67" s="28" t="s">
        <v>95</v>
      </c>
      <c r="Q67" s="3">
        <v>314</v>
      </c>
    </row>
    <row r="68" spans="1:17" x14ac:dyDescent="0.3">
      <c r="B68" s="3">
        <v>1.8</v>
      </c>
      <c r="C68" s="3">
        <v>2.2000000000000002</v>
      </c>
      <c r="D68" s="3">
        <v>2.6</v>
      </c>
      <c r="E68" s="3">
        <v>2.6</v>
      </c>
      <c r="F68" s="3">
        <v>2.6</v>
      </c>
      <c r="G68" s="3">
        <v>2.6</v>
      </c>
      <c r="O68" s="28" t="s">
        <v>88</v>
      </c>
      <c r="P68" s="28" t="s">
        <v>96</v>
      </c>
      <c r="Q68" s="3">
        <v>319</v>
      </c>
    </row>
    <row r="69" spans="1:17" x14ac:dyDescent="0.3">
      <c r="B69" s="3">
        <v>2.8</v>
      </c>
      <c r="C69" s="3">
        <v>3.6</v>
      </c>
      <c r="D69" s="3">
        <v>4.7</v>
      </c>
      <c r="E69" s="3">
        <v>4.7</v>
      </c>
      <c r="F69" s="3">
        <v>4.7</v>
      </c>
      <c r="G69" s="3">
        <v>4.7</v>
      </c>
      <c r="O69" s="28" t="s">
        <v>89</v>
      </c>
      <c r="P69" s="28" t="s">
        <v>84</v>
      </c>
      <c r="Q69" s="3">
        <v>294</v>
      </c>
    </row>
    <row r="70" spans="1:17" x14ac:dyDescent="0.3">
      <c r="B70" s="3">
        <v>1.5</v>
      </c>
      <c r="C70" s="3">
        <v>1.7</v>
      </c>
      <c r="D70" s="3">
        <v>1.9</v>
      </c>
      <c r="E70" s="3">
        <v>1.9</v>
      </c>
      <c r="F70" s="3">
        <v>1.9</v>
      </c>
      <c r="G70" s="3">
        <v>1.9</v>
      </c>
      <c r="O70" s="28" t="s">
        <v>89</v>
      </c>
      <c r="P70" s="28" t="s">
        <v>85</v>
      </c>
      <c r="Q70" s="3">
        <v>155</v>
      </c>
    </row>
    <row r="71" spans="1:17" x14ac:dyDescent="0.3">
      <c r="O71" s="28" t="s">
        <v>89</v>
      </c>
      <c r="P71" s="28" t="s">
        <v>86</v>
      </c>
      <c r="Q71" s="3">
        <v>132</v>
      </c>
    </row>
    <row r="72" spans="1:17" x14ac:dyDescent="0.3">
      <c r="O72" s="28" t="s">
        <v>89</v>
      </c>
      <c r="P72" s="28" t="s">
        <v>87</v>
      </c>
      <c r="Q72" s="3">
        <v>115</v>
      </c>
    </row>
    <row r="73" spans="1:17" x14ac:dyDescent="0.3">
      <c r="B73" s="115">
        <v>0.8546491800882956</v>
      </c>
      <c r="C73" s="115">
        <v>0.86896222572280968</v>
      </c>
      <c r="D73" s="115">
        <v>0.89053221004926264</v>
      </c>
      <c r="E73" s="115">
        <v>0.91210219437571516</v>
      </c>
      <c r="F73" s="115">
        <v>0.91210219437571516</v>
      </c>
      <c r="G73" s="115">
        <v>0.91210219437571516</v>
      </c>
      <c r="O73" s="28" t="s">
        <v>89</v>
      </c>
      <c r="P73" s="28" t="s">
        <v>88</v>
      </c>
      <c r="Q73" s="3">
        <v>263</v>
      </c>
    </row>
    <row r="74" spans="1:17" x14ac:dyDescent="0.3">
      <c r="B74" s="115">
        <v>1.0108017288018976</v>
      </c>
      <c r="C74" s="115">
        <v>1.1812673231500139</v>
      </c>
      <c r="D74" s="115">
        <v>1.2010872446793766</v>
      </c>
      <c r="E74" s="115">
        <v>1.2209071662087392</v>
      </c>
      <c r="F74" s="115">
        <v>1.2209071662087392</v>
      </c>
      <c r="G74" s="115">
        <v>1.2209071662087392</v>
      </c>
      <c r="O74" s="28" t="s">
        <v>89</v>
      </c>
      <c r="P74" s="28" t="s">
        <v>89</v>
      </c>
      <c r="Q74" s="3">
        <v>0</v>
      </c>
    </row>
    <row r="75" spans="1:17" x14ac:dyDescent="0.3">
      <c r="B75" s="115">
        <v>0.84832752098128694</v>
      </c>
      <c r="C75" s="115">
        <v>0.85631890750879258</v>
      </c>
      <c r="D75" s="115">
        <v>0.91797386884942556</v>
      </c>
      <c r="E75" s="115">
        <v>0.97962883019005864</v>
      </c>
      <c r="F75" s="115">
        <v>0.97962883019005864</v>
      </c>
      <c r="G75" s="115">
        <v>0.97962883019005864</v>
      </c>
      <c r="O75" s="28" t="s">
        <v>89</v>
      </c>
      <c r="P75" s="28" t="s">
        <v>90</v>
      </c>
      <c r="Q75" s="3">
        <v>337</v>
      </c>
    </row>
    <row r="76" spans="1:17" x14ac:dyDescent="0.3">
      <c r="B76" s="115">
        <v>0.83081746746528051</v>
      </c>
      <c r="C76" s="115">
        <v>0.82129880047677961</v>
      </c>
      <c r="D76" s="115">
        <v>0.99910575728103079</v>
      </c>
      <c r="E76" s="115">
        <v>1.176912714085282</v>
      </c>
      <c r="F76" s="115">
        <v>1.176912714085282</v>
      </c>
      <c r="G76" s="115">
        <v>1.176912714085282</v>
      </c>
      <c r="O76" s="28" t="s">
        <v>89</v>
      </c>
      <c r="P76" s="28" t="s">
        <v>91</v>
      </c>
      <c r="Q76" s="3">
        <v>333</v>
      </c>
    </row>
    <row r="77" spans="1:17" x14ac:dyDescent="0.3">
      <c r="B77" s="115">
        <v>0.99641990504069267</v>
      </c>
      <c r="C77" s="115">
        <v>1.1525036756276037</v>
      </c>
      <c r="D77" s="115">
        <v>1.2208001897388692</v>
      </c>
      <c r="E77" s="115">
        <v>1.2890967038501344</v>
      </c>
      <c r="F77" s="115">
        <v>1.2890967038501344</v>
      </c>
      <c r="G77" s="115">
        <v>1.2890967038501344</v>
      </c>
      <c r="O77" s="28" t="s">
        <v>89</v>
      </c>
      <c r="P77" s="28" t="s">
        <v>92</v>
      </c>
      <c r="Q77" s="3">
        <v>230</v>
      </c>
    </row>
    <row r="78" spans="1:17" x14ac:dyDescent="0.3">
      <c r="B78" s="115">
        <v>1.0033299919363876</v>
      </c>
      <c r="C78" s="115">
        <v>1.1663238494189938</v>
      </c>
      <c r="D78" s="115">
        <v>1.259629757372513</v>
      </c>
      <c r="E78" s="115">
        <v>1.3529356653260325</v>
      </c>
      <c r="F78" s="115">
        <v>1.3529356653260325</v>
      </c>
      <c r="G78" s="115">
        <v>1.3529356653260325</v>
      </c>
      <c r="O78" s="28" t="s">
        <v>89</v>
      </c>
      <c r="P78" s="28" t="s">
        <v>93</v>
      </c>
      <c r="Q78" s="3">
        <v>233</v>
      </c>
    </row>
    <row r="79" spans="1:17" x14ac:dyDescent="0.3">
      <c r="O79" s="28" t="s">
        <v>89</v>
      </c>
      <c r="P79" s="28" t="s">
        <v>94</v>
      </c>
      <c r="Q79" s="3">
        <v>101</v>
      </c>
    </row>
    <row r="80" spans="1:17" x14ac:dyDescent="0.3">
      <c r="A80" t="s">
        <v>790</v>
      </c>
      <c r="B80" t="s">
        <v>84</v>
      </c>
      <c r="C80" t="s">
        <v>85</v>
      </c>
      <c r="D80" t="s">
        <v>86</v>
      </c>
      <c r="E80" t="s">
        <v>87</v>
      </c>
      <c r="F80" t="s">
        <v>88</v>
      </c>
      <c r="G80" t="s">
        <v>89</v>
      </c>
      <c r="H80" t="s">
        <v>92</v>
      </c>
      <c r="I80" t="s">
        <v>93</v>
      </c>
      <c r="J80" t="s">
        <v>94</v>
      </c>
      <c r="K80" t="s">
        <v>95</v>
      </c>
      <c r="L80" t="s">
        <v>96</v>
      </c>
      <c r="M80" t="s">
        <v>91</v>
      </c>
      <c r="N80" t="s">
        <v>90</v>
      </c>
      <c r="O80" s="28" t="s">
        <v>89</v>
      </c>
      <c r="P80" s="28" t="s">
        <v>95</v>
      </c>
      <c r="Q80" s="3">
        <v>112</v>
      </c>
    </row>
    <row r="81" spans="1:17" x14ac:dyDescent="0.3">
      <c r="A81" t="s">
        <v>84</v>
      </c>
      <c r="B81">
        <v>0</v>
      </c>
      <c r="C81">
        <v>11162</v>
      </c>
      <c r="D81">
        <v>0</v>
      </c>
      <c r="E81">
        <v>0</v>
      </c>
      <c r="F81">
        <v>9009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28" t="s">
        <v>89</v>
      </c>
      <c r="P81" s="28" t="s">
        <v>96</v>
      </c>
      <c r="Q81" s="3">
        <v>187</v>
      </c>
    </row>
    <row r="82" spans="1:17" x14ac:dyDescent="0.3">
      <c r="A82" t="s">
        <v>85</v>
      </c>
      <c r="B82">
        <v>11162</v>
      </c>
      <c r="C82">
        <v>0</v>
      </c>
      <c r="D82">
        <v>6056</v>
      </c>
      <c r="E82">
        <v>0</v>
      </c>
      <c r="F82">
        <v>2032</v>
      </c>
      <c r="G82">
        <v>4744</v>
      </c>
      <c r="H82">
        <v>2779</v>
      </c>
      <c r="I82">
        <v>0</v>
      </c>
      <c r="J82">
        <v>7161</v>
      </c>
      <c r="K82">
        <v>0</v>
      </c>
      <c r="L82">
        <v>0</v>
      </c>
      <c r="M82">
        <v>0</v>
      </c>
      <c r="N82">
        <v>0</v>
      </c>
      <c r="O82" s="28" t="s">
        <v>90</v>
      </c>
      <c r="P82" s="28" t="s">
        <v>84</v>
      </c>
      <c r="Q82" s="3">
        <v>590</v>
      </c>
    </row>
    <row r="83" spans="1:17" x14ac:dyDescent="0.3">
      <c r="A83" t="s">
        <v>86</v>
      </c>
      <c r="B83">
        <v>0</v>
      </c>
      <c r="C83">
        <v>6056</v>
      </c>
      <c r="D83">
        <v>0</v>
      </c>
      <c r="E83">
        <v>4427</v>
      </c>
      <c r="F83">
        <v>0</v>
      </c>
      <c r="G83">
        <v>3757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s="28" t="s">
        <v>90</v>
      </c>
      <c r="P83" s="28" t="s">
        <v>85</v>
      </c>
      <c r="Q83" s="3">
        <v>460</v>
      </c>
    </row>
    <row r="84" spans="1:17" x14ac:dyDescent="0.3">
      <c r="A84" t="s">
        <v>87</v>
      </c>
      <c r="B84">
        <v>0</v>
      </c>
      <c r="C84">
        <v>0</v>
      </c>
      <c r="D84">
        <v>4427</v>
      </c>
      <c r="E84">
        <v>0</v>
      </c>
      <c r="F84">
        <v>0</v>
      </c>
      <c r="G84">
        <v>6428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5244</v>
      </c>
      <c r="O84" s="28" t="s">
        <v>90</v>
      </c>
      <c r="P84" s="28" t="s">
        <v>86</v>
      </c>
      <c r="Q84" s="3">
        <v>376</v>
      </c>
    </row>
    <row r="85" spans="1:17" x14ac:dyDescent="0.3">
      <c r="A85" t="s">
        <v>88</v>
      </c>
      <c r="B85">
        <v>9009</v>
      </c>
      <c r="C85">
        <v>2032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8359</v>
      </c>
      <c r="N85">
        <v>0</v>
      </c>
      <c r="O85" s="28" t="s">
        <v>90</v>
      </c>
      <c r="P85" s="28" t="s">
        <v>87</v>
      </c>
      <c r="Q85" s="3">
        <v>257</v>
      </c>
    </row>
    <row r="86" spans="1:17" x14ac:dyDescent="0.3">
      <c r="A86" t="s">
        <v>89</v>
      </c>
      <c r="B86">
        <v>0</v>
      </c>
      <c r="C86">
        <v>4744</v>
      </c>
      <c r="D86">
        <v>3757</v>
      </c>
      <c r="E86">
        <v>6428</v>
      </c>
      <c r="F86">
        <v>0</v>
      </c>
      <c r="G86">
        <v>0</v>
      </c>
      <c r="H86">
        <v>0</v>
      </c>
      <c r="I86">
        <v>0</v>
      </c>
      <c r="J86">
        <v>0</v>
      </c>
      <c r="K86">
        <v>5616</v>
      </c>
      <c r="L86">
        <v>0</v>
      </c>
      <c r="M86">
        <v>0</v>
      </c>
      <c r="N86">
        <v>0</v>
      </c>
      <c r="O86" s="28" t="s">
        <v>90</v>
      </c>
      <c r="P86" s="28" t="s">
        <v>88</v>
      </c>
      <c r="Q86" s="3">
        <v>589</v>
      </c>
    </row>
    <row r="87" spans="1:17" x14ac:dyDescent="0.3">
      <c r="A87" t="s">
        <v>92</v>
      </c>
      <c r="B87">
        <v>0</v>
      </c>
      <c r="C87">
        <v>2779</v>
      </c>
      <c r="D87">
        <v>0</v>
      </c>
      <c r="E87">
        <v>0</v>
      </c>
      <c r="F87">
        <v>0</v>
      </c>
      <c r="G87">
        <v>0</v>
      </c>
      <c r="H87">
        <v>0</v>
      </c>
      <c r="I87">
        <v>5348</v>
      </c>
      <c r="J87">
        <v>0</v>
      </c>
      <c r="K87">
        <v>0</v>
      </c>
      <c r="L87">
        <v>0</v>
      </c>
      <c r="M87">
        <v>5301</v>
      </c>
      <c r="N87">
        <v>0</v>
      </c>
      <c r="O87" s="28" t="s">
        <v>90</v>
      </c>
      <c r="P87" s="28" t="s">
        <v>89</v>
      </c>
      <c r="Q87" s="3">
        <v>337</v>
      </c>
    </row>
    <row r="88" spans="1:17" x14ac:dyDescent="0.3">
      <c r="A88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5348</v>
      </c>
      <c r="I88">
        <v>0</v>
      </c>
      <c r="J88">
        <v>1967</v>
      </c>
      <c r="K88">
        <v>0</v>
      </c>
      <c r="L88">
        <v>4953</v>
      </c>
      <c r="M88">
        <v>0</v>
      </c>
      <c r="N88">
        <v>0</v>
      </c>
      <c r="O88" s="28" t="s">
        <v>90</v>
      </c>
      <c r="P88" s="28" t="s">
        <v>90</v>
      </c>
      <c r="Q88" s="3">
        <v>0</v>
      </c>
    </row>
    <row r="89" spans="1:17" x14ac:dyDescent="0.3">
      <c r="A89" t="s">
        <v>94</v>
      </c>
      <c r="B89">
        <v>0</v>
      </c>
      <c r="C89">
        <v>7161</v>
      </c>
      <c r="D89">
        <v>0</v>
      </c>
      <c r="E89">
        <v>0</v>
      </c>
      <c r="F89">
        <v>0</v>
      </c>
      <c r="G89">
        <v>0</v>
      </c>
      <c r="H89">
        <v>0</v>
      </c>
      <c r="I89">
        <v>1967</v>
      </c>
      <c r="J89">
        <v>0</v>
      </c>
      <c r="K89">
        <v>2002</v>
      </c>
      <c r="L89">
        <v>2217</v>
      </c>
      <c r="M89">
        <v>0</v>
      </c>
      <c r="N89">
        <v>0</v>
      </c>
      <c r="O89" s="28" t="s">
        <v>90</v>
      </c>
      <c r="P89" s="28" t="s">
        <v>91</v>
      </c>
      <c r="Q89" s="3">
        <v>657</v>
      </c>
    </row>
    <row r="90" spans="1:17" x14ac:dyDescent="0.3">
      <c r="A90" t="s">
        <v>95</v>
      </c>
      <c r="B90">
        <v>0</v>
      </c>
      <c r="C90">
        <v>0</v>
      </c>
      <c r="D90">
        <v>0</v>
      </c>
      <c r="E90">
        <v>0</v>
      </c>
      <c r="F90">
        <v>0</v>
      </c>
      <c r="G90">
        <v>5616</v>
      </c>
      <c r="H90">
        <v>0</v>
      </c>
      <c r="I90">
        <v>0</v>
      </c>
      <c r="J90">
        <v>2002</v>
      </c>
      <c r="K90">
        <v>0</v>
      </c>
      <c r="L90">
        <v>0</v>
      </c>
      <c r="M90">
        <v>0</v>
      </c>
      <c r="N90">
        <v>0</v>
      </c>
      <c r="O90" s="28" t="s">
        <v>90</v>
      </c>
      <c r="P90" s="28" t="s">
        <v>92</v>
      </c>
      <c r="Q90" s="3">
        <v>567</v>
      </c>
    </row>
    <row r="91" spans="1:17" x14ac:dyDescent="0.3">
      <c r="A91" t="s">
        <v>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4953</v>
      </c>
      <c r="J91">
        <v>2217</v>
      </c>
      <c r="K91">
        <v>0</v>
      </c>
      <c r="L91">
        <v>0</v>
      </c>
      <c r="M91">
        <v>0</v>
      </c>
      <c r="N91">
        <v>0</v>
      </c>
      <c r="O91" s="28" t="s">
        <v>90</v>
      </c>
      <c r="P91" s="28" t="s">
        <v>93</v>
      </c>
      <c r="Q91" s="3">
        <v>528</v>
      </c>
    </row>
    <row r="92" spans="1:17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8359</v>
      </c>
      <c r="G92">
        <v>0</v>
      </c>
      <c r="H92">
        <v>5301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s="28" t="s">
        <v>90</v>
      </c>
      <c r="P92" s="28" t="s">
        <v>94</v>
      </c>
      <c r="Q92" s="3">
        <v>437</v>
      </c>
    </row>
    <row r="93" spans="1:17" x14ac:dyDescent="0.3">
      <c r="A93" t="s">
        <v>90</v>
      </c>
      <c r="B93">
        <v>0</v>
      </c>
      <c r="C93">
        <v>0</v>
      </c>
      <c r="D93">
        <v>0</v>
      </c>
      <c r="E93">
        <v>5244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s="28" t="s">
        <v>90</v>
      </c>
      <c r="P93" s="28" t="s">
        <v>95</v>
      </c>
      <c r="Q93" s="3">
        <v>365</v>
      </c>
    </row>
    <row r="94" spans="1:17" x14ac:dyDescent="0.3">
      <c r="O94" s="28" t="s">
        <v>90</v>
      </c>
      <c r="P94" s="28" t="s">
        <v>96</v>
      </c>
      <c r="Q94" s="3">
        <v>445</v>
      </c>
    </row>
    <row r="95" spans="1:17" x14ac:dyDescent="0.3">
      <c r="O95" s="28" t="s">
        <v>91</v>
      </c>
      <c r="P95" s="28" t="s">
        <v>84</v>
      </c>
      <c r="Q95" s="3">
        <v>111</v>
      </c>
    </row>
    <row r="96" spans="1:17" x14ac:dyDescent="0.3">
      <c r="O96" s="28" t="s">
        <v>91</v>
      </c>
      <c r="P96" s="28" t="s">
        <v>85</v>
      </c>
      <c r="Q96" s="3">
        <v>198</v>
      </c>
    </row>
    <row r="97" spans="15:17" x14ac:dyDescent="0.3">
      <c r="O97" s="28" t="s">
        <v>91</v>
      </c>
      <c r="P97" s="28" t="s">
        <v>86</v>
      </c>
      <c r="Q97" s="3">
        <v>292</v>
      </c>
    </row>
    <row r="98" spans="15:17" x14ac:dyDescent="0.3">
      <c r="O98" s="28" t="s">
        <v>91</v>
      </c>
      <c r="P98" s="28" t="s">
        <v>87</v>
      </c>
      <c r="Q98" s="3">
        <v>402</v>
      </c>
    </row>
    <row r="99" spans="15:17" x14ac:dyDescent="0.3">
      <c r="O99" s="28" t="s">
        <v>91</v>
      </c>
      <c r="P99" s="28" t="s">
        <v>88</v>
      </c>
      <c r="Q99" s="3">
        <v>70</v>
      </c>
    </row>
    <row r="100" spans="15:17" x14ac:dyDescent="0.3">
      <c r="O100" s="28" t="s">
        <v>91</v>
      </c>
      <c r="P100" s="28" t="s">
        <v>89</v>
      </c>
      <c r="Q100" s="3">
        <v>333</v>
      </c>
    </row>
    <row r="101" spans="15:17" x14ac:dyDescent="0.3">
      <c r="O101" s="28" t="s">
        <v>91</v>
      </c>
      <c r="P101" s="28" t="s">
        <v>90</v>
      </c>
      <c r="Q101" s="3">
        <v>657</v>
      </c>
    </row>
    <row r="102" spans="15:17" x14ac:dyDescent="0.3">
      <c r="O102" s="28" t="s">
        <v>91</v>
      </c>
      <c r="P102" s="28" t="s">
        <v>91</v>
      </c>
      <c r="Q102" s="3">
        <v>0</v>
      </c>
    </row>
    <row r="103" spans="15:17" x14ac:dyDescent="0.3">
      <c r="O103" s="28" t="s">
        <v>91</v>
      </c>
      <c r="P103" s="28" t="s">
        <v>92</v>
      </c>
      <c r="Q103" s="3">
        <v>161</v>
      </c>
    </row>
    <row r="104" spans="15:17" x14ac:dyDescent="0.3">
      <c r="O104" s="28" t="s">
        <v>91</v>
      </c>
      <c r="P104" s="28" t="s">
        <v>93</v>
      </c>
      <c r="Q104" s="3">
        <v>327</v>
      </c>
    </row>
    <row r="105" spans="15:17" x14ac:dyDescent="0.3">
      <c r="O105" s="28" t="s">
        <v>91</v>
      </c>
      <c r="P105" s="28" t="s">
        <v>94</v>
      </c>
      <c r="Q105" s="3">
        <v>252</v>
      </c>
    </row>
    <row r="106" spans="15:17" x14ac:dyDescent="0.3">
      <c r="O106" s="28" t="s">
        <v>91</v>
      </c>
      <c r="P106" s="28" t="s">
        <v>95</v>
      </c>
      <c r="Q106" s="3">
        <v>381</v>
      </c>
    </row>
    <row r="107" spans="15:17" x14ac:dyDescent="0.3">
      <c r="O107" s="28" t="s">
        <v>91</v>
      </c>
      <c r="P107" s="28" t="s">
        <v>96</v>
      </c>
      <c r="Q107" s="3">
        <v>380</v>
      </c>
    </row>
    <row r="108" spans="15:17" x14ac:dyDescent="0.3">
      <c r="O108" s="28" t="s">
        <v>92</v>
      </c>
      <c r="P108" s="28" t="s">
        <v>84</v>
      </c>
      <c r="Q108" s="3">
        <v>208</v>
      </c>
    </row>
    <row r="109" spans="15:17" x14ac:dyDescent="0.3">
      <c r="O109" s="28" t="s">
        <v>92</v>
      </c>
      <c r="P109" s="28" t="s">
        <v>85</v>
      </c>
      <c r="Q109" s="3">
        <v>171</v>
      </c>
    </row>
    <row r="110" spans="15:17" x14ac:dyDescent="0.3">
      <c r="O110" s="28" t="s">
        <v>92</v>
      </c>
      <c r="P110" s="28" t="s">
        <v>86</v>
      </c>
      <c r="Q110" s="3">
        <v>258</v>
      </c>
    </row>
    <row r="111" spans="15:17" x14ac:dyDescent="0.3">
      <c r="O111" s="28" t="s">
        <v>92</v>
      </c>
      <c r="P111" s="28" t="s">
        <v>87</v>
      </c>
      <c r="Q111" s="3">
        <v>331</v>
      </c>
    </row>
    <row r="112" spans="15:17" x14ac:dyDescent="0.3">
      <c r="O112" s="28" t="s">
        <v>92</v>
      </c>
      <c r="P112" s="28" t="s">
        <v>88</v>
      </c>
      <c r="Q112" s="3">
        <v>112</v>
      </c>
    </row>
    <row r="113" spans="15:17" x14ac:dyDescent="0.3">
      <c r="O113" s="28" t="s">
        <v>92</v>
      </c>
      <c r="P113" s="28" t="s">
        <v>89</v>
      </c>
      <c r="Q113" s="3">
        <v>230</v>
      </c>
    </row>
    <row r="114" spans="15:17" x14ac:dyDescent="0.3">
      <c r="O114" s="28" t="s">
        <v>92</v>
      </c>
      <c r="P114" s="28" t="s">
        <v>90</v>
      </c>
      <c r="Q114" s="3">
        <v>567</v>
      </c>
    </row>
    <row r="115" spans="15:17" x14ac:dyDescent="0.3">
      <c r="O115" s="28" t="s">
        <v>92</v>
      </c>
      <c r="P115" s="28" t="s">
        <v>91</v>
      </c>
      <c r="Q115" s="3">
        <v>161</v>
      </c>
    </row>
    <row r="116" spans="15:17" x14ac:dyDescent="0.3">
      <c r="O116" s="28" t="s">
        <v>92</v>
      </c>
      <c r="P116" s="28" t="s">
        <v>92</v>
      </c>
      <c r="Q116" s="3">
        <v>0</v>
      </c>
    </row>
    <row r="117" spans="15:17" x14ac:dyDescent="0.3">
      <c r="O117" s="28" t="s">
        <v>92</v>
      </c>
      <c r="P117" s="28" t="s">
        <v>93</v>
      </c>
      <c r="Q117" s="3">
        <v>166</v>
      </c>
    </row>
    <row r="118" spans="15:17" x14ac:dyDescent="0.3">
      <c r="O118" s="28" t="s">
        <v>92</v>
      </c>
      <c r="P118" s="28" t="s">
        <v>94</v>
      </c>
      <c r="Q118" s="3">
        <v>130</v>
      </c>
    </row>
    <row r="119" spans="15:17" x14ac:dyDescent="0.3">
      <c r="O119" s="28" t="s">
        <v>92</v>
      </c>
      <c r="P119" s="28" t="s">
        <v>95</v>
      </c>
      <c r="Q119" s="3">
        <v>240</v>
      </c>
    </row>
    <row r="120" spans="15:17" x14ac:dyDescent="0.3">
      <c r="O120" s="28" t="s">
        <v>92</v>
      </c>
      <c r="P120" s="28" t="s">
        <v>96</v>
      </c>
      <c r="Q120" s="3">
        <v>223</v>
      </c>
    </row>
    <row r="121" spans="15:17" x14ac:dyDescent="0.3">
      <c r="O121" s="28" t="s">
        <v>93</v>
      </c>
      <c r="P121" s="28" t="s">
        <v>84</v>
      </c>
      <c r="Q121" s="3">
        <v>365</v>
      </c>
    </row>
    <row r="122" spans="15:17" x14ac:dyDescent="0.3">
      <c r="O122" s="28" t="s">
        <v>93</v>
      </c>
      <c r="P122" s="28" t="s">
        <v>85</v>
      </c>
      <c r="Q122" s="3">
        <v>281</v>
      </c>
    </row>
    <row r="123" spans="15:17" x14ac:dyDescent="0.3">
      <c r="O123" s="28" t="s">
        <v>93</v>
      </c>
      <c r="P123" s="28" t="s">
        <v>86</v>
      </c>
      <c r="Q123" s="3">
        <v>332</v>
      </c>
    </row>
    <row r="124" spans="15:17" x14ac:dyDescent="0.3">
      <c r="O124" s="28" t="s">
        <v>93</v>
      </c>
      <c r="P124" s="28" t="s">
        <v>87</v>
      </c>
      <c r="Q124" s="3">
        <v>348</v>
      </c>
    </row>
    <row r="125" spans="15:17" x14ac:dyDescent="0.3">
      <c r="O125" s="28" t="s">
        <v>93</v>
      </c>
      <c r="P125" s="28" t="s">
        <v>88</v>
      </c>
      <c r="Q125" s="3">
        <v>276</v>
      </c>
    </row>
    <row r="126" spans="15:17" x14ac:dyDescent="0.3">
      <c r="O126" s="28" t="s">
        <v>93</v>
      </c>
      <c r="P126" s="28" t="s">
        <v>89</v>
      </c>
      <c r="Q126" s="3">
        <v>233</v>
      </c>
    </row>
    <row r="127" spans="15:17" x14ac:dyDescent="0.3">
      <c r="O127" s="28" t="s">
        <v>93</v>
      </c>
      <c r="P127" s="28" t="s">
        <v>90</v>
      </c>
      <c r="Q127" s="3">
        <v>528</v>
      </c>
    </row>
    <row r="128" spans="15:17" x14ac:dyDescent="0.3">
      <c r="O128" s="28" t="s">
        <v>93</v>
      </c>
      <c r="P128" s="28" t="s">
        <v>91</v>
      </c>
      <c r="Q128" s="3">
        <v>327</v>
      </c>
    </row>
    <row r="129" spans="15:17" x14ac:dyDescent="0.3">
      <c r="O129" s="28" t="s">
        <v>93</v>
      </c>
      <c r="P129" s="28" t="s">
        <v>92</v>
      </c>
      <c r="Q129" s="3">
        <v>166</v>
      </c>
    </row>
    <row r="130" spans="15:17" x14ac:dyDescent="0.3">
      <c r="O130" s="28" t="s">
        <v>93</v>
      </c>
      <c r="P130" s="28" t="s">
        <v>93</v>
      </c>
      <c r="Q130" s="3">
        <v>0</v>
      </c>
    </row>
    <row r="131" spans="15:17" x14ac:dyDescent="0.3">
      <c r="O131" s="28" t="s">
        <v>93</v>
      </c>
      <c r="P131" s="28" t="s">
        <v>94</v>
      </c>
      <c r="Q131" s="3">
        <v>164</v>
      </c>
    </row>
    <row r="132" spans="15:17" x14ac:dyDescent="0.3">
      <c r="O132" s="28" t="s">
        <v>93</v>
      </c>
      <c r="P132" s="28" t="s">
        <v>95</v>
      </c>
      <c r="Q132" s="3">
        <v>164</v>
      </c>
    </row>
    <row r="133" spans="15:17" x14ac:dyDescent="0.3">
      <c r="O133" s="28" t="s">
        <v>93</v>
      </c>
      <c r="P133" s="28" t="s">
        <v>96</v>
      </c>
      <c r="Q133" s="3">
        <v>91</v>
      </c>
    </row>
    <row r="134" spans="15:17" x14ac:dyDescent="0.3">
      <c r="O134" s="28" t="s">
        <v>94</v>
      </c>
      <c r="P134" s="28" t="s">
        <v>84</v>
      </c>
      <c r="Q134" s="3">
        <v>242</v>
      </c>
    </row>
    <row r="135" spans="15:17" x14ac:dyDescent="0.3">
      <c r="O135" s="28" t="s">
        <v>94</v>
      </c>
      <c r="P135" s="28" t="s">
        <v>85</v>
      </c>
      <c r="Q135" s="3">
        <v>125</v>
      </c>
    </row>
    <row r="136" spans="15:17" x14ac:dyDescent="0.3">
      <c r="O136" s="28" t="s">
        <v>94</v>
      </c>
      <c r="P136" s="28" t="s">
        <v>86</v>
      </c>
      <c r="Q136" s="3">
        <v>169</v>
      </c>
    </row>
    <row r="137" spans="15:17" x14ac:dyDescent="0.3">
      <c r="O137" s="28" t="s">
        <v>94</v>
      </c>
      <c r="P137" s="28" t="s">
        <v>87</v>
      </c>
      <c r="Q137" s="3">
        <v>209</v>
      </c>
    </row>
    <row r="138" spans="15:17" x14ac:dyDescent="0.3">
      <c r="O138" s="28" t="s">
        <v>94</v>
      </c>
      <c r="P138" s="28" t="s">
        <v>88</v>
      </c>
      <c r="Q138" s="3">
        <v>184</v>
      </c>
    </row>
    <row r="139" spans="15:17" x14ac:dyDescent="0.3">
      <c r="O139" s="28" t="s">
        <v>94</v>
      </c>
      <c r="P139" s="28" t="s">
        <v>89</v>
      </c>
      <c r="Q139" s="3">
        <v>101</v>
      </c>
    </row>
    <row r="140" spans="15:17" x14ac:dyDescent="0.3">
      <c r="O140" s="28" t="s">
        <v>94</v>
      </c>
      <c r="P140" s="28" t="s">
        <v>90</v>
      </c>
      <c r="Q140" s="3">
        <v>437</v>
      </c>
    </row>
    <row r="141" spans="15:17" x14ac:dyDescent="0.3">
      <c r="O141" s="28" t="s">
        <v>94</v>
      </c>
      <c r="P141" s="28" t="s">
        <v>91</v>
      </c>
      <c r="Q141" s="3">
        <v>252</v>
      </c>
    </row>
    <row r="142" spans="15:17" x14ac:dyDescent="0.3">
      <c r="O142" s="28" t="s">
        <v>94</v>
      </c>
      <c r="P142" s="28" t="s">
        <v>92</v>
      </c>
      <c r="Q142" s="3">
        <v>130</v>
      </c>
    </row>
    <row r="143" spans="15:17" x14ac:dyDescent="0.3">
      <c r="O143" s="28" t="s">
        <v>94</v>
      </c>
      <c r="P143" s="28" t="s">
        <v>93</v>
      </c>
      <c r="Q143" s="3">
        <v>164</v>
      </c>
    </row>
    <row r="144" spans="15:17" x14ac:dyDescent="0.3">
      <c r="O144" s="28" t="s">
        <v>94</v>
      </c>
      <c r="P144" s="28" t="s">
        <v>94</v>
      </c>
      <c r="Q144" s="3">
        <v>0</v>
      </c>
    </row>
    <row r="145" spans="15:17" x14ac:dyDescent="0.3">
      <c r="O145" s="28" t="s">
        <v>94</v>
      </c>
      <c r="P145" s="28" t="s">
        <v>95</v>
      </c>
      <c r="Q145" s="3">
        <v>131</v>
      </c>
    </row>
    <row r="146" spans="15:17" x14ac:dyDescent="0.3">
      <c r="O146" s="28" t="s">
        <v>94</v>
      </c>
      <c r="P146" s="28" t="s">
        <v>96</v>
      </c>
      <c r="Q146" s="3">
        <v>159</v>
      </c>
    </row>
    <row r="147" spans="15:17" x14ac:dyDescent="0.3">
      <c r="O147" s="28" t="s">
        <v>95</v>
      </c>
      <c r="P147" s="28" t="s">
        <v>84</v>
      </c>
      <c r="Q147" s="3">
        <v>371</v>
      </c>
    </row>
    <row r="148" spans="15:17" x14ac:dyDescent="0.3">
      <c r="O148" s="28" t="s">
        <v>95</v>
      </c>
      <c r="P148" s="28" t="s">
        <v>85</v>
      </c>
      <c r="Q148" s="3">
        <v>242</v>
      </c>
    </row>
    <row r="149" spans="15:17" x14ac:dyDescent="0.3">
      <c r="O149" s="28" t="s">
        <v>95</v>
      </c>
      <c r="P149" s="28" t="s">
        <v>86</v>
      </c>
      <c r="Q149" s="3">
        <v>242</v>
      </c>
    </row>
    <row r="150" spans="15:17" x14ac:dyDescent="0.3">
      <c r="O150" s="28" t="s">
        <v>95</v>
      </c>
      <c r="P150" s="28" t="s">
        <v>87</v>
      </c>
      <c r="Q150" s="3">
        <v>209</v>
      </c>
    </row>
    <row r="151" spans="15:17" x14ac:dyDescent="0.3">
      <c r="O151" s="28" t="s">
        <v>95</v>
      </c>
      <c r="P151" s="28" t="s">
        <v>88</v>
      </c>
      <c r="Q151" s="3">
        <v>314</v>
      </c>
    </row>
    <row r="152" spans="15:17" x14ac:dyDescent="0.3">
      <c r="O152" s="28" t="s">
        <v>95</v>
      </c>
      <c r="P152" s="28" t="s">
        <v>89</v>
      </c>
      <c r="Q152" s="3">
        <v>112</v>
      </c>
    </row>
    <row r="153" spans="15:17" x14ac:dyDescent="0.3">
      <c r="O153" s="28" t="s">
        <v>95</v>
      </c>
      <c r="P153" s="28" t="s">
        <v>90</v>
      </c>
      <c r="Q153" s="3">
        <v>365</v>
      </c>
    </row>
    <row r="154" spans="15:17" x14ac:dyDescent="0.3">
      <c r="O154" s="28" t="s">
        <v>95</v>
      </c>
      <c r="P154" s="28" t="s">
        <v>91</v>
      </c>
      <c r="Q154" s="3">
        <v>381</v>
      </c>
    </row>
    <row r="155" spans="15:17" x14ac:dyDescent="0.3">
      <c r="O155" s="28" t="s">
        <v>95</v>
      </c>
      <c r="P155" s="28" t="s">
        <v>92</v>
      </c>
      <c r="Q155" s="3">
        <v>240</v>
      </c>
    </row>
    <row r="156" spans="15:17" x14ac:dyDescent="0.3">
      <c r="O156" s="28" t="s">
        <v>95</v>
      </c>
      <c r="P156" s="28" t="s">
        <v>93</v>
      </c>
      <c r="Q156" s="3">
        <v>164</v>
      </c>
    </row>
    <row r="157" spans="15:17" x14ac:dyDescent="0.3">
      <c r="O157" s="28" t="s">
        <v>95</v>
      </c>
      <c r="P157" s="28" t="s">
        <v>94</v>
      </c>
      <c r="Q157" s="3">
        <v>131</v>
      </c>
    </row>
    <row r="158" spans="15:17" x14ac:dyDescent="0.3">
      <c r="O158" s="28" t="s">
        <v>95</v>
      </c>
      <c r="P158" s="28" t="s">
        <v>95</v>
      </c>
      <c r="Q158" s="3">
        <v>0</v>
      </c>
    </row>
    <row r="159" spans="15:17" x14ac:dyDescent="0.3">
      <c r="O159" s="28" t="s">
        <v>95</v>
      </c>
      <c r="P159" s="28" t="s">
        <v>96</v>
      </c>
      <c r="Q159" s="3">
        <v>87</v>
      </c>
    </row>
    <row r="160" spans="15:17" x14ac:dyDescent="0.3">
      <c r="O160" s="28" t="s">
        <v>96</v>
      </c>
      <c r="P160" s="28" t="s">
        <v>84</v>
      </c>
      <c r="Q160" s="3">
        <v>395</v>
      </c>
    </row>
    <row r="161" spans="15:17" x14ac:dyDescent="0.3">
      <c r="O161" s="28" t="s">
        <v>96</v>
      </c>
      <c r="P161" s="28" t="s">
        <v>85</v>
      </c>
      <c r="Q161" s="3">
        <v>283</v>
      </c>
    </row>
    <row r="162" spans="15:17" x14ac:dyDescent="0.3">
      <c r="O162" s="28" t="s">
        <v>96</v>
      </c>
      <c r="P162" s="28" t="s">
        <v>86</v>
      </c>
      <c r="Q162" s="3">
        <v>308</v>
      </c>
    </row>
    <row r="163" spans="15:17" x14ac:dyDescent="0.3">
      <c r="O163" s="28" t="s">
        <v>96</v>
      </c>
      <c r="P163" s="28" t="s">
        <v>87</v>
      </c>
      <c r="Q163" s="3">
        <v>293</v>
      </c>
    </row>
    <row r="164" spans="15:17" x14ac:dyDescent="0.3">
      <c r="O164" s="28" t="s">
        <v>96</v>
      </c>
      <c r="P164" s="28" t="s">
        <v>88</v>
      </c>
      <c r="Q164" s="3">
        <v>319</v>
      </c>
    </row>
    <row r="165" spans="15:17" x14ac:dyDescent="0.3">
      <c r="O165" s="28" t="s">
        <v>96</v>
      </c>
      <c r="P165" s="28" t="s">
        <v>89</v>
      </c>
      <c r="Q165" s="3">
        <v>187</v>
      </c>
    </row>
    <row r="166" spans="15:17" x14ac:dyDescent="0.3">
      <c r="O166" s="28" t="s">
        <v>96</v>
      </c>
      <c r="P166" s="28" t="s">
        <v>90</v>
      </c>
      <c r="Q166" s="3">
        <v>445</v>
      </c>
    </row>
    <row r="167" spans="15:17" x14ac:dyDescent="0.3">
      <c r="O167" s="28" t="s">
        <v>96</v>
      </c>
      <c r="P167" s="28" t="s">
        <v>91</v>
      </c>
      <c r="Q167" s="3">
        <v>380</v>
      </c>
    </row>
    <row r="168" spans="15:17" x14ac:dyDescent="0.3">
      <c r="O168" s="28" t="s">
        <v>96</v>
      </c>
      <c r="P168" s="28" t="s">
        <v>92</v>
      </c>
      <c r="Q168" s="3">
        <v>223</v>
      </c>
    </row>
    <row r="169" spans="15:17" x14ac:dyDescent="0.3">
      <c r="O169" s="28" t="s">
        <v>96</v>
      </c>
      <c r="P169" s="28" t="s">
        <v>93</v>
      </c>
      <c r="Q169" s="3">
        <v>91</v>
      </c>
    </row>
    <row r="170" spans="15:17" x14ac:dyDescent="0.3">
      <c r="O170" s="28" t="s">
        <v>96</v>
      </c>
      <c r="P170" s="28" t="s">
        <v>94</v>
      </c>
      <c r="Q170" s="3">
        <v>159</v>
      </c>
    </row>
    <row r="171" spans="15:17" x14ac:dyDescent="0.3">
      <c r="O171" s="28" t="s">
        <v>96</v>
      </c>
      <c r="P171" s="28" t="s">
        <v>95</v>
      </c>
      <c r="Q171" s="3">
        <v>87</v>
      </c>
    </row>
    <row r="172" spans="15:17" x14ac:dyDescent="0.3">
      <c r="O172" s="28" t="s">
        <v>96</v>
      </c>
      <c r="P172" s="28" t="s">
        <v>96</v>
      </c>
      <c r="Q172" s="3">
        <v>0</v>
      </c>
    </row>
  </sheetData>
  <mergeCells count="1">
    <mergeCell ref="J5:J6"/>
  </mergeCells>
  <phoneticPr fontId="5" type="noConversion"/>
  <hyperlinks>
    <hyperlink ref="E2" location="References!B2" display="Ref" xr:uid="{32457879-BB94-425F-ACB2-E13042498B4B}"/>
    <hyperlink ref="F22" location="References!B2" display="Ref" xr:uid="{71E01620-BABC-49BF-B1A3-144404B1E69E}"/>
    <hyperlink ref="T3" location="References!B2" display="Ref" xr:uid="{FC7A0641-9809-4DE7-AA40-D113CD832430}"/>
    <hyperlink ref="C26" location="References!B2" display="Ref" xr:uid="{1C0F8A30-2649-453B-9F9E-1DC92C27CB0D}"/>
    <hyperlink ref="C41" location="References!B2" display="Ref" xr:uid="{A69AF0EB-0A04-401F-AA51-95D45222D62D}"/>
    <hyperlink ref="H57" location="References!B2" display="Ref" xr:uid="{A13C4C1B-DD5E-44BE-8F8C-4475046304EB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CCA0-A4D2-4BC9-ACD3-645B8C32E75F}">
  <sheetPr>
    <tabColor rgb="FFECB5ED"/>
  </sheetPr>
  <dimension ref="A1:DL146"/>
  <sheetViews>
    <sheetView zoomScale="69" zoomScaleNormal="69" workbookViewId="0">
      <selection activeCell="Q1" sqref="P1:Q1"/>
    </sheetView>
  </sheetViews>
  <sheetFormatPr defaultRowHeight="14.4" x14ac:dyDescent="0.3"/>
  <sheetData>
    <row r="1" spans="1:116" ht="18" x14ac:dyDescent="0.35">
      <c r="A1" s="51"/>
      <c r="B1" s="53" t="s">
        <v>492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3" t="s">
        <v>691</v>
      </c>
      <c r="N1" s="51"/>
      <c r="O1" s="51"/>
      <c r="P1" s="145" t="s">
        <v>826</v>
      </c>
      <c r="Q1" s="146" t="s">
        <v>815</v>
      </c>
      <c r="R1" s="51"/>
      <c r="S1" s="51"/>
      <c r="T1" s="51"/>
      <c r="U1" s="51"/>
      <c r="V1" s="51"/>
      <c r="W1" s="51"/>
      <c r="X1" s="51"/>
      <c r="Y1" s="51"/>
      <c r="Z1" s="51"/>
      <c r="AA1" s="51"/>
      <c r="AB1" s="53" t="s">
        <v>692</v>
      </c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3" t="s">
        <v>693</v>
      </c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49"/>
      <c r="BF1" s="49"/>
      <c r="BG1" s="50" t="s">
        <v>84</v>
      </c>
      <c r="BH1" s="50" t="s">
        <v>84</v>
      </c>
      <c r="BI1" s="50" t="s">
        <v>84</v>
      </c>
      <c r="BJ1" s="50" t="s">
        <v>591</v>
      </c>
      <c r="BK1" s="50" t="s">
        <v>85</v>
      </c>
      <c r="BL1" s="50" t="s">
        <v>85</v>
      </c>
      <c r="BM1" s="50" t="s">
        <v>86</v>
      </c>
      <c r="BN1" s="50" t="s">
        <v>86</v>
      </c>
      <c r="BO1" s="50" t="s">
        <v>86</v>
      </c>
      <c r="BP1" s="50" t="s">
        <v>87</v>
      </c>
      <c r="BQ1" s="50" t="s">
        <v>87</v>
      </c>
      <c r="BR1" s="50" t="s">
        <v>87</v>
      </c>
      <c r="BS1" s="50" t="s">
        <v>88</v>
      </c>
      <c r="BT1" s="50" t="s">
        <v>88</v>
      </c>
      <c r="BU1" s="50" t="s">
        <v>88</v>
      </c>
      <c r="BV1" s="50" t="s">
        <v>89</v>
      </c>
      <c r="BW1" s="50" t="s">
        <v>89</v>
      </c>
      <c r="BX1" s="50" t="s">
        <v>89</v>
      </c>
      <c r="BY1" s="50" t="s">
        <v>90</v>
      </c>
      <c r="BZ1" s="50" t="s">
        <v>90</v>
      </c>
      <c r="CA1" s="50" t="s">
        <v>90</v>
      </c>
      <c r="CB1" s="50" t="s">
        <v>91</v>
      </c>
      <c r="CC1" s="50" t="s">
        <v>91</v>
      </c>
      <c r="CD1" s="50" t="s">
        <v>91</v>
      </c>
      <c r="CE1" s="50" t="s">
        <v>92</v>
      </c>
      <c r="CF1" s="50" t="s">
        <v>92</v>
      </c>
      <c r="CG1" s="50" t="s">
        <v>92</v>
      </c>
      <c r="CH1" s="50" t="s">
        <v>93</v>
      </c>
      <c r="CI1" s="50" t="s">
        <v>93</v>
      </c>
      <c r="CJ1" s="50" t="s">
        <v>93</v>
      </c>
      <c r="CK1" s="50" t="s">
        <v>94</v>
      </c>
      <c r="CL1" s="50" t="s">
        <v>94</v>
      </c>
      <c r="CM1" s="50" t="s">
        <v>94</v>
      </c>
      <c r="CN1" s="50" t="s">
        <v>95</v>
      </c>
      <c r="CO1" s="50" t="s">
        <v>95</v>
      </c>
      <c r="CP1" s="50" t="s">
        <v>95</v>
      </c>
      <c r="CQ1" s="50" t="s">
        <v>96</v>
      </c>
      <c r="CR1" s="50" t="s">
        <v>96</v>
      </c>
      <c r="CS1" s="50" t="s">
        <v>96</v>
      </c>
      <c r="CT1" s="51"/>
      <c r="CU1" s="52" t="s">
        <v>490</v>
      </c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</row>
    <row r="2" spans="1:116" x14ac:dyDescent="0.3">
      <c r="A2" s="51"/>
      <c r="B2" s="51"/>
      <c r="C2" s="49" t="s">
        <v>204</v>
      </c>
      <c r="D2" s="49" t="s">
        <v>183</v>
      </c>
      <c r="E2" s="49" t="s">
        <v>203</v>
      </c>
      <c r="F2" s="49" t="s">
        <v>87</v>
      </c>
      <c r="G2" s="49" t="s">
        <v>205</v>
      </c>
      <c r="H2" s="49" t="s">
        <v>206</v>
      </c>
      <c r="I2" s="49"/>
      <c r="J2" s="49"/>
      <c r="K2" s="49" t="s">
        <v>186</v>
      </c>
      <c r="L2" s="49"/>
      <c r="M2" s="49"/>
      <c r="N2" s="49" t="s">
        <v>84</v>
      </c>
      <c r="O2" s="49" t="s">
        <v>85</v>
      </c>
      <c r="P2" s="49" t="s">
        <v>86</v>
      </c>
      <c r="Q2" s="49" t="s">
        <v>87</v>
      </c>
      <c r="R2" s="49" t="s">
        <v>88</v>
      </c>
      <c r="S2" s="49" t="s">
        <v>89</v>
      </c>
      <c r="T2" s="49" t="s">
        <v>90</v>
      </c>
      <c r="U2" s="49" t="s">
        <v>91</v>
      </c>
      <c r="V2" s="49" t="s">
        <v>92</v>
      </c>
      <c r="W2" s="49" t="s">
        <v>93</v>
      </c>
      <c r="X2" s="49" t="s">
        <v>94</v>
      </c>
      <c r="Y2" s="49" t="s">
        <v>95</v>
      </c>
      <c r="Z2" s="49" t="s">
        <v>96</v>
      </c>
      <c r="AA2" s="49"/>
      <c r="AB2" s="49"/>
      <c r="AC2" s="49" t="s">
        <v>84</v>
      </c>
      <c r="AD2" s="49" t="s">
        <v>85</v>
      </c>
      <c r="AE2" s="49" t="s">
        <v>86</v>
      </c>
      <c r="AF2" s="49" t="s">
        <v>87</v>
      </c>
      <c r="AG2" s="49" t="s">
        <v>88</v>
      </c>
      <c r="AH2" s="49" t="s">
        <v>89</v>
      </c>
      <c r="AI2" s="49" t="s">
        <v>90</v>
      </c>
      <c r="AJ2" s="49" t="s">
        <v>91</v>
      </c>
      <c r="AK2" s="49" t="s">
        <v>92</v>
      </c>
      <c r="AL2" s="49" t="s">
        <v>93</v>
      </c>
      <c r="AM2" s="49" t="s">
        <v>94</v>
      </c>
      <c r="AN2" s="49" t="s">
        <v>95</v>
      </c>
      <c r="AO2" s="49" t="s">
        <v>96</v>
      </c>
      <c r="AP2" s="49"/>
      <c r="AQ2" s="49"/>
      <c r="AR2" s="49" t="s">
        <v>84</v>
      </c>
      <c r="AS2" s="49" t="s">
        <v>85</v>
      </c>
      <c r="AT2" s="49" t="s">
        <v>86</v>
      </c>
      <c r="AU2" s="49" t="s">
        <v>87</v>
      </c>
      <c r="AV2" s="49" t="s">
        <v>88</v>
      </c>
      <c r="AW2" s="49" t="s">
        <v>89</v>
      </c>
      <c r="AX2" s="49" t="s">
        <v>90</v>
      </c>
      <c r="AY2" s="49" t="s">
        <v>91</v>
      </c>
      <c r="AZ2" s="49" t="s">
        <v>92</v>
      </c>
      <c r="BA2" s="49" t="s">
        <v>93</v>
      </c>
      <c r="BB2" s="49" t="s">
        <v>94</v>
      </c>
      <c r="BC2" s="49" t="s">
        <v>95</v>
      </c>
      <c r="BD2" s="49" t="s">
        <v>96</v>
      </c>
      <c r="BE2" s="51"/>
      <c r="BF2" s="51"/>
      <c r="BG2" s="50" t="s">
        <v>97</v>
      </c>
      <c r="BH2" s="50" t="s">
        <v>98</v>
      </c>
      <c r="BI2" s="50" t="s">
        <v>99</v>
      </c>
      <c r="BJ2" s="50" t="s">
        <v>97</v>
      </c>
      <c r="BK2" s="50" t="s">
        <v>98</v>
      </c>
      <c r="BL2" s="50" t="s">
        <v>99</v>
      </c>
      <c r="BM2" s="50" t="s">
        <v>97</v>
      </c>
      <c r="BN2" s="50" t="s">
        <v>98</v>
      </c>
      <c r="BO2" s="50" t="s">
        <v>99</v>
      </c>
      <c r="BP2" s="50" t="s">
        <v>97</v>
      </c>
      <c r="BQ2" s="50" t="s">
        <v>98</v>
      </c>
      <c r="BR2" s="50" t="s">
        <v>99</v>
      </c>
      <c r="BS2" s="50" t="s">
        <v>97</v>
      </c>
      <c r="BT2" s="50" t="s">
        <v>98</v>
      </c>
      <c r="BU2" s="50" t="s">
        <v>99</v>
      </c>
      <c r="BV2" s="50" t="s">
        <v>97</v>
      </c>
      <c r="BW2" s="50" t="s">
        <v>98</v>
      </c>
      <c r="BX2" s="50" t="s">
        <v>99</v>
      </c>
      <c r="BY2" s="50" t="s">
        <v>97</v>
      </c>
      <c r="BZ2" s="50" t="s">
        <v>98</v>
      </c>
      <c r="CA2" s="50" t="s">
        <v>99</v>
      </c>
      <c r="CB2" s="50" t="s">
        <v>97</v>
      </c>
      <c r="CC2" s="50" t="s">
        <v>98</v>
      </c>
      <c r="CD2" s="50" t="s">
        <v>99</v>
      </c>
      <c r="CE2" s="50" t="s">
        <v>97</v>
      </c>
      <c r="CF2" s="50" t="s">
        <v>98</v>
      </c>
      <c r="CG2" s="50" t="s">
        <v>99</v>
      </c>
      <c r="CH2" s="50" t="s">
        <v>97</v>
      </c>
      <c r="CI2" s="50" t="s">
        <v>98</v>
      </c>
      <c r="CJ2" s="50" t="s">
        <v>99</v>
      </c>
      <c r="CK2" s="50" t="s">
        <v>97</v>
      </c>
      <c r="CL2" s="50" t="s">
        <v>98</v>
      </c>
      <c r="CM2" s="50" t="s">
        <v>99</v>
      </c>
      <c r="CN2" s="50" t="s">
        <v>97</v>
      </c>
      <c r="CO2" s="50" t="s">
        <v>98</v>
      </c>
      <c r="CP2" s="50" t="s">
        <v>99</v>
      </c>
      <c r="CQ2" s="50" t="s">
        <v>97</v>
      </c>
      <c r="CR2" s="50" t="s">
        <v>98</v>
      </c>
      <c r="CS2" s="50" t="s">
        <v>99</v>
      </c>
      <c r="CT2" s="50"/>
      <c r="CU2" s="51"/>
      <c r="CV2" s="49" t="s">
        <v>84</v>
      </c>
      <c r="CW2" s="49" t="s">
        <v>85</v>
      </c>
      <c r="CX2" s="49" t="s">
        <v>86</v>
      </c>
      <c r="CY2" s="49" t="s">
        <v>87</v>
      </c>
      <c r="CZ2" s="49" t="s">
        <v>88</v>
      </c>
      <c r="DA2" s="49" t="s">
        <v>89</v>
      </c>
      <c r="DB2" s="49" t="s">
        <v>90</v>
      </c>
      <c r="DC2" s="49" t="s">
        <v>91</v>
      </c>
      <c r="DD2" s="49" t="s">
        <v>92</v>
      </c>
      <c r="DE2" s="49" t="s">
        <v>93</v>
      </c>
      <c r="DF2" s="49" t="s">
        <v>94</v>
      </c>
      <c r="DG2" s="49" t="s">
        <v>95</v>
      </c>
      <c r="DH2" s="49" t="s">
        <v>96</v>
      </c>
    </row>
    <row r="3" spans="1:116" x14ac:dyDescent="0.3">
      <c r="A3" s="48" t="s">
        <v>309</v>
      </c>
      <c r="B3" s="49" t="s">
        <v>324</v>
      </c>
      <c r="C3" s="3">
        <v>33.713935999999997</v>
      </c>
      <c r="D3" s="3">
        <v>26.74736</v>
      </c>
      <c r="E3" s="3">
        <v>26.74736</v>
      </c>
      <c r="F3" s="3">
        <v>26.4829905</v>
      </c>
      <c r="G3" s="3">
        <v>26.4829905</v>
      </c>
      <c r="H3" s="3">
        <v>26.74736</v>
      </c>
      <c r="I3" s="48" t="s">
        <v>309</v>
      </c>
      <c r="J3" s="49" t="s">
        <v>324</v>
      </c>
      <c r="K3" s="3">
        <v>31873</v>
      </c>
      <c r="L3" s="48" t="s">
        <v>309</v>
      </c>
      <c r="M3" s="49" t="s">
        <v>324</v>
      </c>
      <c r="N3" s="3">
        <v>1729.8147019999999</v>
      </c>
      <c r="O3" s="3">
        <v>1943.657514</v>
      </c>
      <c r="P3" s="3">
        <v>415.49104620000003</v>
      </c>
      <c r="Q3" s="3">
        <v>404.9566097</v>
      </c>
      <c r="R3" s="3">
        <v>3832.3871589999999</v>
      </c>
      <c r="S3" s="3">
        <v>2514.9321049999999</v>
      </c>
      <c r="T3" s="3">
        <v>2308.942517</v>
      </c>
      <c r="U3" s="3">
        <v>2724.6686159999999</v>
      </c>
      <c r="V3" s="3">
        <v>1263.0074239999999</v>
      </c>
      <c r="W3" s="3">
        <v>766.19003139999995</v>
      </c>
      <c r="X3" s="3">
        <v>2047.4294420000001</v>
      </c>
      <c r="Y3" s="3">
        <v>104.36810180000001</v>
      </c>
      <c r="Z3" s="3">
        <v>114.02381440000001</v>
      </c>
      <c r="AA3" s="48" t="s">
        <v>309</v>
      </c>
      <c r="AB3" s="49" t="s">
        <v>324</v>
      </c>
      <c r="AC3" s="3">
        <v>1629.5521590000001</v>
      </c>
      <c r="AD3" s="3">
        <v>1541.8438980000001</v>
      </c>
      <c r="AE3" s="3">
        <v>917.58865530000003</v>
      </c>
      <c r="AF3" s="3">
        <v>278.5842184</v>
      </c>
      <c r="AG3" s="3">
        <v>2651.7804759999999</v>
      </c>
      <c r="AH3" s="3">
        <v>2103.7673049999999</v>
      </c>
      <c r="AI3" s="3">
        <v>2026.687291</v>
      </c>
      <c r="AJ3" s="3">
        <v>2068.7253799999999</v>
      </c>
      <c r="AK3" s="3">
        <v>865.97082490000003</v>
      </c>
      <c r="AL3" s="3">
        <v>1257.7793240000001</v>
      </c>
      <c r="AM3" s="3">
        <v>2208.2509839999998</v>
      </c>
      <c r="AN3" s="3">
        <v>259.01723909999998</v>
      </c>
      <c r="AO3" s="3">
        <v>844.51466949999997</v>
      </c>
      <c r="AP3" s="48" t="s">
        <v>309</v>
      </c>
      <c r="AQ3" s="49" t="s">
        <v>324</v>
      </c>
      <c r="AR3" s="3">
        <v>696.06551679999995</v>
      </c>
      <c r="AS3" s="3">
        <v>1040.996046</v>
      </c>
      <c r="AT3" s="3">
        <v>903.26711360000002</v>
      </c>
      <c r="AU3" s="3">
        <v>869.79689599999995</v>
      </c>
      <c r="AV3" s="3">
        <v>335.66962560000002</v>
      </c>
      <c r="AW3" s="3">
        <v>1493.590608</v>
      </c>
      <c r="AX3" s="3">
        <v>827.81036919999997</v>
      </c>
      <c r="AY3" s="3">
        <v>1112.305691</v>
      </c>
      <c r="AZ3" s="3">
        <v>557.97686080000005</v>
      </c>
      <c r="BA3" s="3">
        <v>390.95521760000003</v>
      </c>
      <c r="BB3" s="3">
        <v>443.86301279999998</v>
      </c>
      <c r="BC3" s="3">
        <v>134.0208016</v>
      </c>
      <c r="BD3" s="3">
        <v>955.8951376</v>
      </c>
      <c r="BE3" s="48" t="s">
        <v>309</v>
      </c>
      <c r="BF3" s="49" t="s">
        <v>324</v>
      </c>
      <c r="BG3" s="3">
        <v>0</v>
      </c>
      <c r="BH3" s="3">
        <v>0.13900000000000001</v>
      </c>
      <c r="BI3" s="3">
        <v>0.40050000000000002</v>
      </c>
      <c r="BJ3" s="3">
        <v>0</v>
      </c>
      <c r="BK3" s="3">
        <v>0.30499999999999999</v>
      </c>
      <c r="BL3" s="3">
        <v>0.17949999999999999</v>
      </c>
      <c r="BM3" s="3">
        <v>0</v>
      </c>
      <c r="BN3" s="3">
        <v>0.35499999999999998</v>
      </c>
      <c r="BO3" s="3">
        <v>0.44</v>
      </c>
      <c r="BP3" s="3">
        <v>0</v>
      </c>
      <c r="BQ3" s="3">
        <v>0.34300000000000003</v>
      </c>
      <c r="BR3" s="3">
        <v>0.65633333299999996</v>
      </c>
      <c r="BS3" s="3">
        <v>0</v>
      </c>
      <c r="BT3" s="3">
        <v>0.214</v>
      </c>
      <c r="BU3" s="3">
        <v>0.47791666700000002</v>
      </c>
      <c r="BV3" s="3">
        <v>0</v>
      </c>
      <c r="BW3" s="3">
        <v>0.36099999999999999</v>
      </c>
      <c r="BX3" s="3">
        <v>0.61799999999999999</v>
      </c>
      <c r="BY3" s="3">
        <v>0</v>
      </c>
      <c r="BZ3" s="3">
        <v>0.25800000000000001</v>
      </c>
      <c r="CA3" s="3">
        <v>0.60799999999999998</v>
      </c>
      <c r="CB3" s="3">
        <v>0</v>
      </c>
      <c r="CC3" s="3">
        <v>0.30499999999999999</v>
      </c>
      <c r="CD3" s="3">
        <v>0.55533333299999998</v>
      </c>
      <c r="CE3" s="3">
        <v>0</v>
      </c>
      <c r="CF3" s="3">
        <v>0.34300000000000003</v>
      </c>
      <c r="CG3" s="3">
        <v>0.58399999999999996</v>
      </c>
      <c r="CH3" s="3">
        <v>0</v>
      </c>
      <c r="CI3" s="3">
        <v>0.34499999999999997</v>
      </c>
      <c r="CJ3" s="3">
        <v>0.89500000000000002</v>
      </c>
      <c r="CK3" s="3">
        <v>0</v>
      </c>
      <c r="CL3" s="3">
        <v>0.47699999999999998</v>
      </c>
      <c r="CM3" s="3">
        <v>0.1</v>
      </c>
      <c r="CN3" s="3">
        <v>0</v>
      </c>
      <c r="CO3" s="3">
        <v>0.32800000000000001</v>
      </c>
      <c r="CP3" s="3">
        <v>0.47566666699999999</v>
      </c>
      <c r="CQ3" s="3">
        <v>0</v>
      </c>
      <c r="CR3" s="3">
        <v>0.38800000000000001</v>
      </c>
      <c r="CS3" s="3">
        <v>0.76900000000000002</v>
      </c>
      <c r="CT3" s="48" t="s">
        <v>309</v>
      </c>
      <c r="CU3" s="49" t="s">
        <v>324</v>
      </c>
      <c r="CV3" s="3">
        <v>-0.82199999999999995</v>
      </c>
      <c r="CW3" s="3">
        <v>-3.2000000000000001E-2</v>
      </c>
      <c r="CX3" s="3">
        <v>-0.06</v>
      </c>
      <c r="CY3" s="3">
        <v>-1.171</v>
      </c>
      <c r="CZ3" s="3">
        <v>-0.65700000000000003</v>
      </c>
      <c r="DA3" s="3">
        <v>-1.4039999999999999</v>
      </c>
      <c r="DB3" s="3">
        <v>-5.673</v>
      </c>
      <c r="DC3" s="3">
        <v>-0.22</v>
      </c>
      <c r="DD3" s="3">
        <v>-0.499</v>
      </c>
      <c r="DE3" s="3">
        <v>-0.51600000000000001</v>
      </c>
      <c r="DF3" s="3">
        <v>-0.46800000000000003</v>
      </c>
      <c r="DG3" s="3">
        <v>-0.91900000000000004</v>
      </c>
      <c r="DH3" s="3">
        <v>-1.476</v>
      </c>
      <c r="DJ3" s="53" t="s">
        <v>496</v>
      </c>
      <c r="DK3" s="51"/>
      <c r="DL3" s="51"/>
    </row>
    <row r="4" spans="1:116" x14ac:dyDescent="0.3">
      <c r="A4" s="48" t="s">
        <v>309</v>
      </c>
      <c r="B4" s="49" t="s">
        <v>325</v>
      </c>
      <c r="C4" s="3">
        <v>34.112464000000003</v>
      </c>
      <c r="D4" s="3">
        <v>25.321856</v>
      </c>
      <c r="E4" s="3">
        <v>25.321856</v>
      </c>
      <c r="F4" s="3">
        <v>26.0588385</v>
      </c>
      <c r="G4" s="3">
        <v>26.0588385</v>
      </c>
      <c r="H4" s="3">
        <v>25.321856</v>
      </c>
      <c r="I4" s="48" t="s">
        <v>309</v>
      </c>
      <c r="J4" s="49" t="s">
        <v>325</v>
      </c>
      <c r="K4" s="3">
        <v>32145.5</v>
      </c>
      <c r="L4" s="48" t="s">
        <v>309</v>
      </c>
      <c r="M4" s="49" t="s">
        <v>325</v>
      </c>
      <c r="N4" s="3">
        <v>1027.597383</v>
      </c>
      <c r="O4" s="3">
        <v>1042.3025849999999</v>
      </c>
      <c r="P4" s="3">
        <v>962.38926819999995</v>
      </c>
      <c r="Q4" s="3">
        <v>1217.6842730000001</v>
      </c>
      <c r="R4" s="3">
        <v>2832.0002009999998</v>
      </c>
      <c r="S4" s="3">
        <v>1035.6929560000001</v>
      </c>
      <c r="T4" s="3">
        <v>1055.0019910000001</v>
      </c>
      <c r="U4" s="3">
        <v>1824.3838089999999</v>
      </c>
      <c r="V4" s="3">
        <v>701.6498709</v>
      </c>
      <c r="W4" s="3">
        <v>340.07126920000002</v>
      </c>
      <c r="X4" s="3">
        <v>1137.2420440000001</v>
      </c>
      <c r="Y4" s="3">
        <v>304.56844059999997</v>
      </c>
      <c r="Z4" s="3">
        <v>559.29926369999998</v>
      </c>
      <c r="AA4" s="48" t="s">
        <v>309</v>
      </c>
      <c r="AB4" s="49" t="s">
        <v>325</v>
      </c>
      <c r="AC4" s="3">
        <v>1644.4112970000001</v>
      </c>
      <c r="AD4" s="3">
        <v>1555.9032649999999</v>
      </c>
      <c r="AE4" s="3">
        <v>925.95572519999996</v>
      </c>
      <c r="AF4" s="3">
        <v>281.12450009999998</v>
      </c>
      <c r="AG4" s="3">
        <v>2675.9608450000001</v>
      </c>
      <c r="AH4" s="3">
        <v>2122.9505939999999</v>
      </c>
      <c r="AI4" s="3">
        <v>2050.1172019999999</v>
      </c>
      <c r="AJ4" s="3">
        <v>2087.5891369999999</v>
      </c>
      <c r="AK4" s="3">
        <v>873.86721539999996</v>
      </c>
      <c r="AL4" s="3">
        <v>1269.248437</v>
      </c>
      <c r="AM4" s="3">
        <v>2228.3870109999998</v>
      </c>
      <c r="AN4" s="3">
        <v>261.37909839999998</v>
      </c>
      <c r="AO4" s="3">
        <v>852.21541119999995</v>
      </c>
      <c r="AP4" s="48" t="s">
        <v>309</v>
      </c>
      <c r="AQ4" s="49" t="s">
        <v>325</v>
      </c>
      <c r="AR4" s="3">
        <v>728.12116560000004</v>
      </c>
      <c r="AS4" s="3">
        <v>1088.9366540000001</v>
      </c>
      <c r="AT4" s="3">
        <v>944.86494119999998</v>
      </c>
      <c r="AU4" s="3">
        <v>909.85333200000002</v>
      </c>
      <c r="AV4" s="3">
        <v>351.12809520000002</v>
      </c>
      <c r="AW4" s="3">
        <v>1562.374386</v>
      </c>
      <c r="AX4" s="3">
        <v>843.18765159999998</v>
      </c>
      <c r="AY4" s="3">
        <v>1163.530295</v>
      </c>
      <c r="AZ4" s="3">
        <v>583.67316359999995</v>
      </c>
      <c r="BA4" s="3">
        <v>408.95973420000001</v>
      </c>
      <c r="BB4" s="3">
        <v>464.30407259999998</v>
      </c>
      <c r="BC4" s="3">
        <v>140.19281219999999</v>
      </c>
      <c r="BD4" s="3">
        <v>999.9166242</v>
      </c>
      <c r="BE4" s="48" t="s">
        <v>309</v>
      </c>
      <c r="BF4" s="49" t="s">
        <v>325</v>
      </c>
      <c r="BG4" s="3">
        <v>0</v>
      </c>
      <c r="BH4" s="3">
        <v>0.13100000000000001</v>
      </c>
      <c r="BI4" s="3">
        <v>0.39350000000000002</v>
      </c>
      <c r="BJ4" s="3">
        <v>0</v>
      </c>
      <c r="BK4" s="3">
        <v>0.29399999999999998</v>
      </c>
      <c r="BL4" s="3">
        <v>0.217</v>
      </c>
      <c r="BM4" s="3">
        <v>0</v>
      </c>
      <c r="BN4" s="3">
        <v>0.35499999999999998</v>
      </c>
      <c r="BO4" s="3">
        <v>0.48849999999999999</v>
      </c>
      <c r="BP4" s="3">
        <v>0</v>
      </c>
      <c r="BQ4" s="3">
        <v>0.32500000000000001</v>
      </c>
      <c r="BR4" s="3">
        <v>0.63300000000000001</v>
      </c>
      <c r="BS4" s="3">
        <v>0</v>
      </c>
      <c r="BT4" s="3">
        <v>0.20100000000000001</v>
      </c>
      <c r="BU4" s="3">
        <v>0.47291666700000001</v>
      </c>
      <c r="BV4" s="3">
        <v>0</v>
      </c>
      <c r="BW4" s="3">
        <v>0.32800000000000001</v>
      </c>
      <c r="BX4" s="3">
        <v>0.57199999999999995</v>
      </c>
      <c r="BY4" s="3">
        <v>0</v>
      </c>
      <c r="BZ4" s="3">
        <v>0.222</v>
      </c>
      <c r="CA4" s="3">
        <v>0.5665</v>
      </c>
      <c r="CB4" s="3">
        <v>0</v>
      </c>
      <c r="CC4" s="3">
        <v>0.29099999999999998</v>
      </c>
      <c r="CD4" s="3">
        <v>0.55233333299999998</v>
      </c>
      <c r="CE4" s="3">
        <v>0</v>
      </c>
      <c r="CF4" s="3">
        <v>0.32900000000000001</v>
      </c>
      <c r="CG4" s="3">
        <v>0.57150000000000001</v>
      </c>
      <c r="CH4" s="3">
        <v>0</v>
      </c>
      <c r="CI4" s="3">
        <v>0.33200000000000002</v>
      </c>
      <c r="CJ4" s="3">
        <v>0.87533333300000005</v>
      </c>
      <c r="CK4" s="3">
        <v>0</v>
      </c>
      <c r="CL4" s="3">
        <v>0.45400000000000001</v>
      </c>
      <c r="CM4" s="3">
        <v>0.1</v>
      </c>
      <c r="CN4" s="3">
        <v>0</v>
      </c>
      <c r="CO4" s="3">
        <v>0.30499999999999999</v>
      </c>
      <c r="CP4" s="3">
        <v>0.45366666700000002</v>
      </c>
      <c r="CQ4" s="3">
        <v>0</v>
      </c>
      <c r="CR4" s="3">
        <v>0.36699999999999999</v>
      </c>
      <c r="CS4" s="3">
        <v>0.73</v>
      </c>
      <c r="CT4" s="48" t="s">
        <v>309</v>
      </c>
      <c r="CU4" s="49" t="s">
        <v>325</v>
      </c>
      <c r="CV4" s="3">
        <v>-0.97099999999999997</v>
      </c>
      <c r="CW4" s="3">
        <v>-0.307</v>
      </c>
      <c r="CX4" s="3">
        <v>-0.36099999999999999</v>
      </c>
      <c r="CY4" s="3">
        <v>-1.2609999999999999</v>
      </c>
      <c r="CZ4" s="3">
        <v>-0.77400000000000002</v>
      </c>
      <c r="DA4" s="3">
        <v>-1.601</v>
      </c>
      <c r="DB4" s="3">
        <v>-6.2320000000000002</v>
      </c>
      <c r="DC4" s="3">
        <v>-0.33900000000000002</v>
      </c>
      <c r="DD4" s="3">
        <v>-0.79200000000000004</v>
      </c>
      <c r="DE4" s="3">
        <v>-0.80900000000000005</v>
      </c>
      <c r="DF4" s="3">
        <v>-0.79100000000000004</v>
      </c>
      <c r="DG4" s="3">
        <v>-0.93600000000000005</v>
      </c>
      <c r="DH4" s="3">
        <v>-1.5740000000000001</v>
      </c>
      <c r="DJ4" s="53" t="s">
        <v>309</v>
      </c>
      <c r="DK4" s="3">
        <v>1</v>
      </c>
      <c r="DL4" s="3"/>
    </row>
    <row r="5" spans="1:116" x14ac:dyDescent="0.3">
      <c r="A5" s="48" t="s">
        <v>309</v>
      </c>
      <c r="B5" s="49" t="s">
        <v>326</v>
      </c>
      <c r="C5" s="3">
        <v>34.196767999999999</v>
      </c>
      <c r="D5" s="3">
        <v>22.631792000000001</v>
      </c>
      <c r="E5" s="3">
        <v>22.631792000000001</v>
      </c>
      <c r="F5" s="3">
        <v>26.120694</v>
      </c>
      <c r="G5" s="3">
        <v>26.120694</v>
      </c>
      <c r="H5" s="3">
        <v>22.631792000000001</v>
      </c>
      <c r="I5" s="48" t="s">
        <v>309</v>
      </c>
      <c r="J5" s="49" t="s">
        <v>326</v>
      </c>
      <c r="K5" s="3">
        <v>31885.5</v>
      </c>
      <c r="L5" s="48" t="s">
        <v>309</v>
      </c>
      <c r="M5" s="49" t="s">
        <v>326</v>
      </c>
      <c r="N5" s="3">
        <v>818.5987662</v>
      </c>
      <c r="O5" s="3">
        <v>849.10912819999999</v>
      </c>
      <c r="P5" s="3">
        <v>1509.2874899999999</v>
      </c>
      <c r="Q5" s="3">
        <v>1127.1492940000001</v>
      </c>
      <c r="R5" s="3">
        <v>2446.9458060000002</v>
      </c>
      <c r="S5" s="3">
        <v>594.53864599999997</v>
      </c>
      <c r="T5" s="3">
        <v>889.47428939999998</v>
      </c>
      <c r="U5" s="3">
        <v>1624.2693549999999</v>
      </c>
      <c r="V5" s="3">
        <v>639.54795479999996</v>
      </c>
      <c r="W5" s="3">
        <v>268.38986679999999</v>
      </c>
      <c r="X5" s="3">
        <v>1032.584998</v>
      </c>
      <c r="Y5" s="3">
        <v>269.02213840000002</v>
      </c>
      <c r="Z5" s="3">
        <v>494.90789369999999</v>
      </c>
      <c r="AA5" s="48" t="s">
        <v>309</v>
      </c>
      <c r="AB5" s="49" t="s">
        <v>326</v>
      </c>
      <c r="AC5" s="3">
        <v>1649.364343</v>
      </c>
      <c r="AD5" s="3">
        <v>1560.5897210000001</v>
      </c>
      <c r="AE5" s="3">
        <v>928.74474840000005</v>
      </c>
      <c r="AF5" s="3">
        <v>281.97126059999999</v>
      </c>
      <c r="AG5" s="3">
        <v>2684.0209679999998</v>
      </c>
      <c r="AH5" s="3">
        <v>2129.3450229999999</v>
      </c>
      <c r="AI5" s="3">
        <v>2009.114857</v>
      </c>
      <c r="AJ5" s="3">
        <v>2093.8770559999998</v>
      </c>
      <c r="AK5" s="3">
        <v>876.49934559999997</v>
      </c>
      <c r="AL5" s="3">
        <v>1273.0714740000001</v>
      </c>
      <c r="AM5" s="3">
        <v>2235.099021</v>
      </c>
      <c r="AN5" s="3">
        <v>262.1663848</v>
      </c>
      <c r="AO5" s="3">
        <v>854.78232509999998</v>
      </c>
      <c r="AP5" s="48" t="s">
        <v>309</v>
      </c>
      <c r="AQ5" s="49" t="s">
        <v>326</v>
      </c>
      <c r="AR5" s="3">
        <v>744.14899000000003</v>
      </c>
      <c r="AS5" s="3">
        <v>1112.906958</v>
      </c>
      <c r="AT5" s="3">
        <v>965.66385500000001</v>
      </c>
      <c r="AU5" s="3">
        <v>929.88154999999995</v>
      </c>
      <c r="AV5" s="3">
        <v>358.85732999999999</v>
      </c>
      <c r="AW5" s="3">
        <v>1596.766275</v>
      </c>
      <c r="AX5" s="3">
        <v>858.56493399999999</v>
      </c>
      <c r="AY5" s="3">
        <v>1189.1425979999999</v>
      </c>
      <c r="AZ5" s="3">
        <v>596.52131499999996</v>
      </c>
      <c r="BA5" s="3">
        <v>417.96199250000001</v>
      </c>
      <c r="BB5" s="3">
        <v>474.52460250000001</v>
      </c>
      <c r="BC5" s="3">
        <v>143.2788175</v>
      </c>
      <c r="BD5" s="3">
        <v>1021.927368</v>
      </c>
      <c r="BE5" s="48" t="s">
        <v>309</v>
      </c>
      <c r="BF5" s="49" t="s">
        <v>326</v>
      </c>
      <c r="BG5" s="3">
        <v>0</v>
      </c>
      <c r="BH5" s="3">
        <v>0.11600000000000001</v>
      </c>
      <c r="BI5" s="3">
        <v>0.36349999999999999</v>
      </c>
      <c r="BJ5" s="3">
        <v>0</v>
      </c>
      <c r="BK5" s="3">
        <v>0.27800000000000002</v>
      </c>
      <c r="BL5" s="3">
        <v>0.23350000000000001</v>
      </c>
      <c r="BM5" s="3">
        <v>0</v>
      </c>
      <c r="BN5" s="3">
        <v>0.35799999999999998</v>
      </c>
      <c r="BO5" s="3">
        <v>0.52549999999999997</v>
      </c>
      <c r="BP5" s="3">
        <v>0</v>
      </c>
      <c r="BQ5" s="3">
        <v>0.309</v>
      </c>
      <c r="BR5" s="3">
        <v>0.60633333300000003</v>
      </c>
      <c r="BS5" s="3">
        <v>0</v>
      </c>
      <c r="BT5" s="3">
        <v>0.17899999999999999</v>
      </c>
      <c r="BU5" s="3">
        <v>0.45858333400000001</v>
      </c>
      <c r="BV5" s="3">
        <v>0</v>
      </c>
      <c r="BW5" s="3">
        <v>0.28199999999999997</v>
      </c>
      <c r="BX5" s="3">
        <v>0.51900000000000002</v>
      </c>
      <c r="BY5" s="3">
        <v>0</v>
      </c>
      <c r="BZ5" s="3">
        <v>0.183</v>
      </c>
      <c r="CA5" s="3">
        <v>0.52049999999999996</v>
      </c>
      <c r="CB5" s="3">
        <v>0</v>
      </c>
      <c r="CC5" s="3">
        <v>0.28100000000000003</v>
      </c>
      <c r="CD5" s="3">
        <v>0.553666667</v>
      </c>
      <c r="CE5" s="3">
        <v>0</v>
      </c>
      <c r="CF5" s="3">
        <v>0.31</v>
      </c>
      <c r="CG5" s="3">
        <v>0.56999999999999995</v>
      </c>
      <c r="CH5" s="3">
        <v>0</v>
      </c>
      <c r="CI5" s="3">
        <v>0.311</v>
      </c>
      <c r="CJ5" s="3">
        <v>0.84399999999999997</v>
      </c>
      <c r="CK5" s="3">
        <v>0</v>
      </c>
      <c r="CL5" s="3">
        <v>0.43099999999999999</v>
      </c>
      <c r="CM5" s="3">
        <v>0.1</v>
      </c>
      <c r="CN5" s="3">
        <v>0</v>
      </c>
      <c r="CO5" s="3">
        <v>0.27400000000000002</v>
      </c>
      <c r="CP5" s="3">
        <v>0.41799999999999998</v>
      </c>
      <c r="CQ5" s="3">
        <v>0</v>
      </c>
      <c r="CR5" s="3">
        <v>0.33900000000000002</v>
      </c>
      <c r="CS5" s="3">
        <v>0.68500000000000005</v>
      </c>
      <c r="CT5" s="48" t="s">
        <v>309</v>
      </c>
      <c r="CU5" s="49" t="s">
        <v>326</v>
      </c>
      <c r="CV5" s="3">
        <v>-1.079</v>
      </c>
      <c r="CW5" s="3">
        <v>-0.65</v>
      </c>
      <c r="CX5" s="3">
        <v>-0.79800000000000004</v>
      </c>
      <c r="CY5" s="3">
        <v>-1.36</v>
      </c>
      <c r="CZ5" s="3">
        <v>-0.99299999999999999</v>
      </c>
      <c r="DA5" s="3">
        <v>-1.6719999999999999</v>
      </c>
      <c r="DB5" s="3">
        <v>-6.5330000000000004</v>
      </c>
      <c r="DC5" s="3">
        <v>-0.438</v>
      </c>
      <c r="DD5" s="3">
        <v>-1.077</v>
      </c>
      <c r="DE5" s="3">
        <v>-1.0920000000000001</v>
      </c>
      <c r="DF5" s="3">
        <v>-1.137</v>
      </c>
      <c r="DG5" s="3">
        <v>-0.98399999999999999</v>
      </c>
      <c r="DH5" s="3">
        <v>-1.601</v>
      </c>
      <c r="DJ5" s="53" t="s">
        <v>310</v>
      </c>
      <c r="DK5" s="3">
        <v>1</v>
      </c>
      <c r="DL5" s="3"/>
    </row>
    <row r="6" spans="1:116" x14ac:dyDescent="0.3">
      <c r="A6" s="48" t="s">
        <v>309</v>
      </c>
      <c r="B6" s="49" t="s">
        <v>327</v>
      </c>
      <c r="C6" s="3">
        <v>34.196767999999999</v>
      </c>
      <c r="D6" s="3">
        <v>21.512848000000002</v>
      </c>
      <c r="E6" s="3">
        <v>21.512848000000002</v>
      </c>
      <c r="F6" s="3">
        <v>26.527173000000001</v>
      </c>
      <c r="G6" s="3">
        <v>26.527173000000001</v>
      </c>
      <c r="H6" s="3">
        <v>21.512848000000002</v>
      </c>
      <c r="I6" s="48" t="s">
        <v>309</v>
      </c>
      <c r="J6" s="49" t="s">
        <v>327</v>
      </c>
      <c r="K6" s="3">
        <v>31439</v>
      </c>
      <c r="L6" s="48" t="s">
        <v>309</v>
      </c>
      <c r="M6" s="49" t="s">
        <v>327</v>
      </c>
      <c r="N6" s="3">
        <v>506.6748513</v>
      </c>
      <c r="O6" s="3">
        <v>343.34099279999998</v>
      </c>
      <c r="P6" s="3">
        <v>1430.179151</v>
      </c>
      <c r="Q6" s="3">
        <v>1074.8787339999999</v>
      </c>
      <c r="R6" s="3">
        <v>1962.694229</v>
      </c>
      <c r="S6" s="3">
        <v>3262.749757</v>
      </c>
      <c r="T6" s="3">
        <v>411.7490742</v>
      </c>
      <c r="U6" s="3">
        <v>1406.860725</v>
      </c>
      <c r="V6" s="3">
        <v>485.9902634</v>
      </c>
      <c r="W6" s="3">
        <v>97.309377530000006</v>
      </c>
      <c r="X6" s="3">
        <v>708.16235429999995</v>
      </c>
      <c r="Y6" s="3">
        <v>262.72269</v>
      </c>
      <c r="Z6" s="3">
        <v>556.30961739999998</v>
      </c>
      <c r="AA6" s="48" t="s">
        <v>309</v>
      </c>
      <c r="AB6" s="49" t="s">
        <v>327</v>
      </c>
      <c r="AC6" s="3">
        <v>1916.828831</v>
      </c>
      <c r="AD6" s="3">
        <v>1813.658324</v>
      </c>
      <c r="AE6" s="3">
        <v>1079.352005</v>
      </c>
      <c r="AF6" s="3">
        <v>327.69632990000002</v>
      </c>
      <c r="AG6" s="3">
        <v>3119.2676120000001</v>
      </c>
      <c r="AH6" s="3">
        <v>2474.6442160000001</v>
      </c>
      <c r="AI6" s="3">
        <v>2301.9887429999999</v>
      </c>
      <c r="AJ6" s="3">
        <v>2433.4246870000002</v>
      </c>
      <c r="AK6" s="3">
        <v>1018.634375</v>
      </c>
      <c r="AL6" s="3">
        <v>1479.5154970000001</v>
      </c>
      <c r="AM6" s="3">
        <v>2597.5475099999999</v>
      </c>
      <c r="AN6" s="3">
        <v>304.6798526</v>
      </c>
      <c r="AO6" s="3">
        <v>993.39567509999995</v>
      </c>
      <c r="AP6" s="48" t="s">
        <v>309</v>
      </c>
      <c r="AQ6" s="49" t="s">
        <v>327</v>
      </c>
      <c r="AR6" s="3">
        <v>789.94277399999999</v>
      </c>
      <c r="AS6" s="3">
        <v>1181.39354</v>
      </c>
      <c r="AT6" s="3">
        <v>1025.0893229999999</v>
      </c>
      <c r="AU6" s="3">
        <v>987.10503000000006</v>
      </c>
      <c r="AV6" s="3">
        <v>380.94085799999999</v>
      </c>
      <c r="AW6" s="3">
        <v>1695.0288149999999</v>
      </c>
      <c r="AX6" s="3">
        <v>922.63694399999997</v>
      </c>
      <c r="AY6" s="3">
        <v>1262.320604</v>
      </c>
      <c r="AZ6" s="3">
        <v>633.23031900000001</v>
      </c>
      <c r="BA6" s="3">
        <v>443.68273049999999</v>
      </c>
      <c r="BB6" s="3">
        <v>503.72611649999999</v>
      </c>
      <c r="BC6" s="3">
        <v>152.09597550000001</v>
      </c>
      <c r="BD6" s="3">
        <v>1084.815206</v>
      </c>
      <c r="BE6" s="48" t="s">
        <v>309</v>
      </c>
      <c r="BF6" s="49" t="s">
        <v>327</v>
      </c>
      <c r="BG6" s="3">
        <v>0</v>
      </c>
      <c r="BH6" s="3">
        <v>0.108</v>
      </c>
      <c r="BI6" s="3">
        <v>0.33550000000000002</v>
      </c>
      <c r="BJ6" s="3">
        <v>0</v>
      </c>
      <c r="BK6" s="3">
        <v>0.27</v>
      </c>
      <c r="BL6" s="3">
        <v>0.255</v>
      </c>
      <c r="BM6" s="3">
        <v>0</v>
      </c>
      <c r="BN6" s="3">
        <v>0.38800000000000001</v>
      </c>
      <c r="BO6" s="3">
        <v>0.56799999999999995</v>
      </c>
      <c r="BP6" s="3">
        <v>0</v>
      </c>
      <c r="BQ6" s="3">
        <v>0.309</v>
      </c>
      <c r="BR6" s="3">
        <v>0.58399999999999996</v>
      </c>
      <c r="BS6" s="3">
        <v>0</v>
      </c>
      <c r="BT6" s="3">
        <v>0.17100000000000001</v>
      </c>
      <c r="BU6" s="3">
        <v>0.44041666699999998</v>
      </c>
      <c r="BV6" s="3">
        <v>0</v>
      </c>
      <c r="BW6" s="3">
        <v>0.26400000000000001</v>
      </c>
      <c r="BX6" s="3">
        <v>0.48</v>
      </c>
      <c r="BY6" s="3">
        <v>0</v>
      </c>
      <c r="BZ6" s="3">
        <v>0.152</v>
      </c>
      <c r="CA6" s="3">
        <v>0.47099999999999997</v>
      </c>
      <c r="CB6" s="3">
        <v>0</v>
      </c>
      <c r="CC6" s="3">
        <v>0.26600000000000001</v>
      </c>
      <c r="CD6" s="3">
        <v>0.54533333299999998</v>
      </c>
      <c r="CE6" s="3">
        <v>0</v>
      </c>
      <c r="CF6" s="3">
        <v>0.27800000000000002</v>
      </c>
      <c r="CG6" s="3">
        <v>0.55249999999999999</v>
      </c>
      <c r="CH6" s="3">
        <v>0</v>
      </c>
      <c r="CI6" s="3">
        <v>0.28000000000000003</v>
      </c>
      <c r="CJ6" s="3">
        <v>0.79100000000000004</v>
      </c>
      <c r="CK6" s="3">
        <v>0</v>
      </c>
      <c r="CL6" s="3">
        <v>0.39500000000000002</v>
      </c>
      <c r="CM6" s="3">
        <v>0.1</v>
      </c>
      <c r="CN6" s="3">
        <v>0</v>
      </c>
      <c r="CO6" s="3">
        <v>0.249</v>
      </c>
      <c r="CP6" s="3">
        <v>0.37333333299999999</v>
      </c>
      <c r="CQ6" s="3">
        <v>0</v>
      </c>
      <c r="CR6" s="3">
        <v>0.3</v>
      </c>
      <c r="CS6" s="3">
        <v>0.60599999999999998</v>
      </c>
      <c r="CT6" s="48" t="s">
        <v>309</v>
      </c>
      <c r="CU6" s="49" t="s">
        <v>327</v>
      </c>
      <c r="CV6" s="3">
        <v>-1.173</v>
      </c>
      <c r="CW6" s="3">
        <v>-0.95699999999999996</v>
      </c>
      <c r="CX6" s="3">
        <v>-1.125</v>
      </c>
      <c r="CY6" s="3">
        <v>-1.4219999999999999</v>
      </c>
      <c r="CZ6" s="3">
        <v>-1.165</v>
      </c>
      <c r="DA6" s="3">
        <v>-1.6779999999999999</v>
      </c>
      <c r="DB6" s="3">
        <v>-6.76</v>
      </c>
      <c r="DC6" s="3">
        <v>-0.57499999999999996</v>
      </c>
      <c r="DD6" s="3">
        <v>-1.296</v>
      </c>
      <c r="DE6" s="3">
        <v>-1.3069999999999999</v>
      </c>
      <c r="DF6" s="3">
        <v>-1.403</v>
      </c>
      <c r="DG6" s="3">
        <v>-1.069</v>
      </c>
      <c r="DH6" s="3">
        <v>-1.593</v>
      </c>
      <c r="DJ6" s="53" t="s">
        <v>311</v>
      </c>
      <c r="DK6" s="3">
        <v>88</v>
      </c>
      <c r="DL6" s="3" t="s">
        <v>683</v>
      </c>
    </row>
    <row r="7" spans="1:116" x14ac:dyDescent="0.3">
      <c r="A7" s="48" t="s">
        <v>309</v>
      </c>
      <c r="B7" s="49" t="s">
        <v>328</v>
      </c>
      <c r="C7" s="3">
        <v>34.196767999999999</v>
      </c>
      <c r="D7" s="3">
        <v>23.888687999999998</v>
      </c>
      <c r="E7" s="3">
        <v>23.888687999999998</v>
      </c>
      <c r="F7" s="3">
        <v>28.064723999999998</v>
      </c>
      <c r="G7" s="3">
        <v>28.064723999999998</v>
      </c>
      <c r="H7" s="3">
        <v>23.888687999999998</v>
      </c>
      <c r="I7" s="48" t="s">
        <v>309</v>
      </c>
      <c r="J7" s="49" t="s">
        <v>328</v>
      </c>
      <c r="K7" s="3">
        <v>31444.5</v>
      </c>
      <c r="L7" s="48" t="s">
        <v>309</v>
      </c>
      <c r="M7" s="49" t="s">
        <v>328</v>
      </c>
      <c r="N7" s="3">
        <v>280.9602878</v>
      </c>
      <c r="O7" s="3">
        <v>3337.0133209999999</v>
      </c>
      <c r="P7" s="3">
        <v>1514.9710299999999</v>
      </c>
      <c r="Q7" s="3">
        <v>1112.3861320000001</v>
      </c>
      <c r="R7" s="3">
        <v>1593.0068719999999</v>
      </c>
      <c r="S7" s="3">
        <v>3275.2466429999999</v>
      </c>
      <c r="T7" s="3">
        <v>122.4234622</v>
      </c>
      <c r="U7" s="3">
        <v>1358.148447</v>
      </c>
      <c r="V7" s="3">
        <v>305.51193230000001</v>
      </c>
      <c r="W7" s="3">
        <v>1542.5027</v>
      </c>
      <c r="X7" s="3">
        <v>275.55321850000001</v>
      </c>
      <c r="Y7" s="3">
        <v>246.7812696</v>
      </c>
      <c r="Z7" s="3">
        <v>633.90471539999999</v>
      </c>
      <c r="AA7" s="48" t="s">
        <v>309</v>
      </c>
      <c r="AB7" s="49" t="s">
        <v>328</v>
      </c>
      <c r="AC7" s="3">
        <v>2268.4951030000002</v>
      </c>
      <c r="AD7" s="3">
        <v>2146.3966730000002</v>
      </c>
      <c r="AE7" s="3">
        <v>1277.3726569999999</v>
      </c>
      <c r="AF7" s="3">
        <v>387.81632839999997</v>
      </c>
      <c r="AG7" s="3">
        <v>3691.5363470000002</v>
      </c>
      <c r="AH7" s="3">
        <v>2928.6487109999998</v>
      </c>
      <c r="AI7" s="3">
        <v>2530.430374</v>
      </c>
      <c r="AJ7" s="3">
        <v>2879.8669420000001</v>
      </c>
      <c r="AK7" s="3">
        <v>1205.5156159999999</v>
      </c>
      <c r="AL7" s="3">
        <v>1750.951157</v>
      </c>
      <c r="AM7" s="3">
        <v>3074.1001540000002</v>
      </c>
      <c r="AN7" s="3">
        <v>360.57718990000001</v>
      </c>
      <c r="AO7" s="3">
        <v>1175.646561</v>
      </c>
      <c r="AP7" s="48" t="s">
        <v>309</v>
      </c>
      <c r="AQ7" s="49" t="s">
        <v>328</v>
      </c>
      <c r="AR7" s="3">
        <v>838.02624719999994</v>
      </c>
      <c r="AS7" s="3">
        <v>1253.304451</v>
      </c>
      <c r="AT7" s="3">
        <v>1087.4860639999999</v>
      </c>
      <c r="AU7" s="3">
        <v>1047.1896839999999</v>
      </c>
      <c r="AV7" s="3">
        <v>404.12856240000002</v>
      </c>
      <c r="AW7" s="3">
        <v>1798.2044820000001</v>
      </c>
      <c r="AX7" s="3">
        <v>948.26574800000003</v>
      </c>
      <c r="AY7" s="3">
        <v>1339.15751</v>
      </c>
      <c r="AZ7" s="3">
        <v>671.77477320000003</v>
      </c>
      <c r="BA7" s="3">
        <v>470.68950539999997</v>
      </c>
      <c r="BB7" s="3">
        <v>534.38770620000003</v>
      </c>
      <c r="BC7" s="3">
        <v>161.35399140000001</v>
      </c>
      <c r="BD7" s="3">
        <v>1150.8474349999999</v>
      </c>
      <c r="BE7" s="48" t="s">
        <v>309</v>
      </c>
      <c r="BF7" s="49" t="s">
        <v>328</v>
      </c>
      <c r="BG7" s="3">
        <v>0</v>
      </c>
      <c r="BH7" s="3">
        <v>0.105</v>
      </c>
      <c r="BI7" s="3">
        <v>0.309</v>
      </c>
      <c r="BJ7" s="3">
        <v>0</v>
      </c>
      <c r="BK7" s="3">
        <v>0.255</v>
      </c>
      <c r="BL7" s="3">
        <v>0.27900000000000003</v>
      </c>
      <c r="BM7" s="3">
        <v>0</v>
      </c>
      <c r="BN7" s="3">
        <v>0.4</v>
      </c>
      <c r="BO7" s="3">
        <v>0.59850000000000003</v>
      </c>
      <c r="BP7" s="3">
        <v>0</v>
      </c>
      <c r="BQ7" s="3">
        <v>0.32800000000000001</v>
      </c>
      <c r="BR7" s="3">
        <v>0.55900000000000005</v>
      </c>
      <c r="BS7" s="3">
        <v>0</v>
      </c>
      <c r="BT7" s="3">
        <v>0.16400000000000001</v>
      </c>
      <c r="BU7" s="3">
        <v>0.418333334</v>
      </c>
      <c r="BV7" s="3">
        <v>0</v>
      </c>
      <c r="BW7" s="3">
        <v>0.22</v>
      </c>
      <c r="BX7" s="3">
        <v>0.42499999999999999</v>
      </c>
      <c r="BY7" s="3">
        <v>0</v>
      </c>
      <c r="BZ7" s="3">
        <v>0.121</v>
      </c>
      <c r="CA7" s="3">
        <v>0.41</v>
      </c>
      <c r="CB7" s="3">
        <v>0</v>
      </c>
      <c r="CC7" s="3">
        <v>0.249</v>
      </c>
      <c r="CD7" s="3">
        <v>0.52766666699999998</v>
      </c>
      <c r="CE7" s="3">
        <v>0</v>
      </c>
      <c r="CF7" s="3">
        <v>0.26400000000000001</v>
      </c>
      <c r="CG7" s="3">
        <v>0.52549999999999997</v>
      </c>
      <c r="CH7" s="3">
        <v>0</v>
      </c>
      <c r="CI7" s="3">
        <v>0.26600000000000001</v>
      </c>
      <c r="CJ7" s="3">
        <v>0.70833333300000001</v>
      </c>
      <c r="CK7" s="3">
        <v>0</v>
      </c>
      <c r="CL7" s="3">
        <v>0.35099999999999998</v>
      </c>
      <c r="CM7" s="3">
        <v>0.1</v>
      </c>
      <c r="CN7" s="3">
        <v>0</v>
      </c>
      <c r="CO7" s="3">
        <v>0.22500000000000001</v>
      </c>
      <c r="CP7" s="3">
        <v>0.33233333300000001</v>
      </c>
      <c r="CQ7" s="3">
        <v>0</v>
      </c>
      <c r="CR7" s="3">
        <v>0.26400000000000001</v>
      </c>
      <c r="CS7" s="3">
        <v>0.504</v>
      </c>
      <c r="CT7" s="48" t="s">
        <v>309</v>
      </c>
      <c r="CU7" s="49" t="s">
        <v>328</v>
      </c>
      <c r="CV7" s="3">
        <v>-1.236</v>
      </c>
      <c r="CW7" s="3">
        <v>-1.153</v>
      </c>
      <c r="CX7" s="3">
        <v>-1.357</v>
      </c>
      <c r="CY7" s="3">
        <v>-1.2869999999999999</v>
      </c>
      <c r="CZ7" s="3">
        <v>-1.1639999999999999</v>
      </c>
      <c r="DA7" s="3">
        <v>-1.792</v>
      </c>
      <c r="DB7" s="3">
        <v>-7.0030000000000001</v>
      </c>
      <c r="DC7" s="3">
        <v>-0.65200000000000002</v>
      </c>
      <c r="DD7" s="3">
        <v>-1.409</v>
      </c>
      <c r="DE7" s="3">
        <v>-1.417</v>
      </c>
      <c r="DF7" s="3">
        <v>-1.5309999999999999</v>
      </c>
      <c r="DG7" s="3">
        <v>-1.1259999999999999</v>
      </c>
      <c r="DH7" s="3">
        <v>-1.575</v>
      </c>
      <c r="DJ7" s="53" t="s">
        <v>312</v>
      </c>
      <c r="DK7" s="3">
        <v>92</v>
      </c>
      <c r="DL7" s="3" t="s">
        <v>684</v>
      </c>
    </row>
    <row r="8" spans="1:116" x14ac:dyDescent="0.3">
      <c r="A8" s="48" t="s">
        <v>309</v>
      </c>
      <c r="B8" s="49" t="s">
        <v>329</v>
      </c>
      <c r="C8" s="3">
        <v>34.411360000000002</v>
      </c>
      <c r="D8" s="3">
        <v>32.855567999999998</v>
      </c>
      <c r="E8" s="3">
        <v>32.855567999999998</v>
      </c>
      <c r="F8" s="3">
        <v>34.232601000000003</v>
      </c>
      <c r="G8" s="3">
        <v>35.363672999999999</v>
      </c>
      <c r="H8" s="3">
        <v>32.855567999999998</v>
      </c>
      <c r="I8" s="48" t="s">
        <v>309</v>
      </c>
      <c r="J8" s="49" t="s">
        <v>329</v>
      </c>
      <c r="K8" s="3">
        <v>32411</v>
      </c>
      <c r="L8" s="48" t="s">
        <v>309</v>
      </c>
      <c r="M8" s="49" t="s">
        <v>329</v>
      </c>
      <c r="N8" s="3">
        <v>1136.950315</v>
      </c>
      <c r="O8" s="3">
        <v>851.73922589999995</v>
      </c>
      <c r="P8" s="3">
        <v>1931.8311329999999</v>
      </c>
      <c r="Q8" s="3">
        <v>1419.089074</v>
      </c>
      <c r="R8" s="3">
        <v>2780.43406</v>
      </c>
      <c r="S8" s="3">
        <v>287.4952035</v>
      </c>
      <c r="T8" s="3">
        <v>531.00711209999997</v>
      </c>
      <c r="U8" s="3">
        <v>2458.1600920000001</v>
      </c>
      <c r="V8" s="3">
        <v>978.40012909999996</v>
      </c>
      <c r="W8" s="3">
        <v>310.97700350000002</v>
      </c>
      <c r="X8" s="3">
        <v>1168.228106</v>
      </c>
      <c r="Y8" s="3">
        <v>339.5225825</v>
      </c>
      <c r="Z8" s="3">
        <v>798.11459939999997</v>
      </c>
      <c r="AA8" s="48" t="s">
        <v>309</v>
      </c>
      <c r="AB8" s="49" t="s">
        <v>329</v>
      </c>
      <c r="AC8" s="3">
        <v>2278.4011949999999</v>
      </c>
      <c r="AD8" s="3">
        <v>2155.7695840000001</v>
      </c>
      <c r="AE8" s="3">
        <v>1282.9507040000001</v>
      </c>
      <c r="AF8" s="3">
        <v>389.50984949999997</v>
      </c>
      <c r="AG8" s="3">
        <v>3707.6565930000002</v>
      </c>
      <c r="AH8" s="3">
        <v>2941.4375700000001</v>
      </c>
      <c r="AI8" s="3">
        <v>2624.1500179999998</v>
      </c>
      <c r="AJ8" s="3">
        <v>2892.4427799999999</v>
      </c>
      <c r="AK8" s="3">
        <v>1210.7798769999999</v>
      </c>
      <c r="AL8" s="3">
        <v>1758.5972320000001</v>
      </c>
      <c r="AM8" s="3">
        <v>3087.5241729999998</v>
      </c>
      <c r="AN8" s="3">
        <v>362.15176279999997</v>
      </c>
      <c r="AO8" s="3">
        <v>1180.780389</v>
      </c>
      <c r="AP8" s="48" t="s">
        <v>309</v>
      </c>
      <c r="AQ8" s="49" t="s">
        <v>329</v>
      </c>
      <c r="AR8" s="3">
        <v>1032.649829</v>
      </c>
      <c r="AS8" s="3">
        <v>1544.3724239999999</v>
      </c>
      <c r="AT8" s="3">
        <v>1340.0443029999999</v>
      </c>
      <c r="AU8" s="3">
        <v>1290.3894740000001</v>
      </c>
      <c r="AV8" s="3">
        <v>497.9835564</v>
      </c>
      <c r="AW8" s="3">
        <v>2215.8202769999998</v>
      </c>
      <c r="AX8" s="3">
        <v>1143.044658</v>
      </c>
      <c r="AY8" s="3">
        <v>1650.164035</v>
      </c>
      <c r="AZ8" s="3">
        <v>827.78804019999995</v>
      </c>
      <c r="BA8" s="3">
        <v>580.00264189999996</v>
      </c>
      <c r="BB8" s="3">
        <v>658.4941407</v>
      </c>
      <c r="BC8" s="3">
        <v>198.8269129</v>
      </c>
      <c r="BD8" s="3">
        <v>1418.1207469999999</v>
      </c>
      <c r="BE8" s="48" t="s">
        <v>309</v>
      </c>
      <c r="BF8" s="49" t="s">
        <v>329</v>
      </c>
      <c r="BG8" s="3">
        <v>0</v>
      </c>
      <c r="BH8" s="3">
        <v>0.108</v>
      </c>
      <c r="BI8" s="3">
        <v>0.27900000000000003</v>
      </c>
      <c r="BJ8" s="3">
        <v>0</v>
      </c>
      <c r="BK8" s="3">
        <v>0.23699999999999999</v>
      </c>
      <c r="BL8" s="3">
        <v>0.28799999999999998</v>
      </c>
      <c r="BM8" s="3">
        <v>0</v>
      </c>
      <c r="BN8" s="3">
        <v>0.39100000000000001</v>
      </c>
      <c r="BO8" s="3">
        <v>0.59950000000000003</v>
      </c>
      <c r="BP8" s="3">
        <v>0</v>
      </c>
      <c r="BQ8" s="3">
        <v>0.307</v>
      </c>
      <c r="BR8" s="3">
        <v>0.52333333299999996</v>
      </c>
      <c r="BS8" s="3">
        <v>0</v>
      </c>
      <c r="BT8" s="3">
        <v>0.16400000000000001</v>
      </c>
      <c r="BU8" s="3">
        <v>0.38750000000000001</v>
      </c>
      <c r="BV8" s="3">
        <v>0</v>
      </c>
      <c r="BW8" s="3">
        <v>0.185</v>
      </c>
      <c r="BX8" s="3">
        <v>0.36199999999999999</v>
      </c>
      <c r="BY8" s="3">
        <v>0</v>
      </c>
      <c r="BZ8" s="3">
        <v>9.1999999999999998E-2</v>
      </c>
      <c r="CA8" s="3">
        <v>0.33</v>
      </c>
      <c r="CB8" s="3">
        <v>0</v>
      </c>
      <c r="CC8" s="3">
        <v>0.23300000000000001</v>
      </c>
      <c r="CD8" s="3">
        <v>0.496</v>
      </c>
      <c r="CE8" s="3">
        <v>0</v>
      </c>
      <c r="CF8" s="3">
        <v>0.253</v>
      </c>
      <c r="CG8" s="3">
        <v>0.48499999999999999</v>
      </c>
      <c r="CH8" s="3">
        <v>0</v>
      </c>
      <c r="CI8" s="3">
        <v>0.255</v>
      </c>
      <c r="CJ8" s="3">
        <v>0.59833333300000002</v>
      </c>
      <c r="CK8" s="3">
        <v>0</v>
      </c>
      <c r="CL8" s="3">
        <v>0.30499999999999999</v>
      </c>
      <c r="CM8" s="3">
        <v>0.1</v>
      </c>
      <c r="CN8" s="3">
        <v>0</v>
      </c>
      <c r="CO8" s="3">
        <v>0.19600000000000001</v>
      </c>
      <c r="CP8" s="3">
        <v>0.28766666699999999</v>
      </c>
      <c r="CQ8" s="3">
        <v>0</v>
      </c>
      <c r="CR8" s="3">
        <v>0.22</v>
      </c>
      <c r="CS8" s="3">
        <v>0.39800000000000002</v>
      </c>
      <c r="CT8" s="48" t="s">
        <v>309</v>
      </c>
      <c r="CU8" s="49" t="s">
        <v>329</v>
      </c>
      <c r="CV8" s="3">
        <v>-1.3120000000000001</v>
      </c>
      <c r="CW8" s="3">
        <v>-1.367</v>
      </c>
      <c r="CX8" s="3">
        <v>-1.464</v>
      </c>
      <c r="CY8" s="3">
        <v>-1.2929999999999999</v>
      </c>
      <c r="CZ8" s="3">
        <v>-1.1919999999999999</v>
      </c>
      <c r="DA8" s="3">
        <v>-1.85</v>
      </c>
      <c r="DB8" s="3">
        <v>-7.2549999999999999</v>
      </c>
      <c r="DC8" s="3">
        <v>-0.71199999999999997</v>
      </c>
      <c r="DD8" s="3">
        <v>-1.4650000000000001</v>
      </c>
      <c r="DE8" s="3">
        <v>-1.472</v>
      </c>
      <c r="DF8" s="3">
        <v>-1.569</v>
      </c>
      <c r="DG8" s="3">
        <v>-1.202</v>
      </c>
      <c r="DH8" s="3">
        <v>-1.575</v>
      </c>
      <c r="DJ8" s="53" t="s">
        <v>313</v>
      </c>
      <c r="DK8" s="3">
        <v>92</v>
      </c>
      <c r="DL8" s="3" t="s">
        <v>685</v>
      </c>
    </row>
    <row r="9" spans="1:116" x14ac:dyDescent="0.3">
      <c r="A9" s="48" t="s">
        <v>309</v>
      </c>
      <c r="B9" s="49" t="s">
        <v>330</v>
      </c>
      <c r="C9" s="3">
        <v>30.418416000000001</v>
      </c>
      <c r="D9" s="3">
        <v>39.906447999999997</v>
      </c>
      <c r="E9" s="3">
        <v>39.906447999999997</v>
      </c>
      <c r="F9" s="3">
        <v>44.049952500000003</v>
      </c>
      <c r="G9" s="3">
        <v>43.263503999999998</v>
      </c>
      <c r="H9" s="3">
        <v>39.906447999999997</v>
      </c>
      <c r="I9" s="48" t="s">
        <v>309</v>
      </c>
      <c r="J9" s="49" t="s">
        <v>330</v>
      </c>
      <c r="K9" s="3">
        <v>37323.5</v>
      </c>
      <c r="L9" s="48" t="s">
        <v>309</v>
      </c>
      <c r="M9" s="49" t="s">
        <v>330</v>
      </c>
      <c r="N9" s="3">
        <v>3227.0930050000002</v>
      </c>
      <c r="O9" s="3">
        <v>2962.723105</v>
      </c>
      <c r="P9" s="3">
        <v>647.44904580000002</v>
      </c>
      <c r="Q9" s="3">
        <v>481.21026289999998</v>
      </c>
      <c r="R9" s="3">
        <v>5666.4596330000004</v>
      </c>
      <c r="S9" s="3">
        <v>2250.5239150000002</v>
      </c>
      <c r="T9" s="3">
        <v>1732.7775489999999</v>
      </c>
      <c r="U9" s="3">
        <v>5345.054333</v>
      </c>
      <c r="V9" s="3">
        <v>2994.602719</v>
      </c>
      <c r="W9" s="3">
        <v>1630.6457129999999</v>
      </c>
      <c r="X9" s="3">
        <v>3145.475539</v>
      </c>
      <c r="Y9" s="3">
        <v>475.5541953</v>
      </c>
      <c r="Z9" s="3">
        <v>97.585625379999996</v>
      </c>
      <c r="AA9" s="48" t="s">
        <v>309</v>
      </c>
      <c r="AB9" s="49" t="s">
        <v>330</v>
      </c>
      <c r="AC9" s="3">
        <v>2689.504019</v>
      </c>
      <c r="AD9" s="3">
        <v>2544.7453999999998</v>
      </c>
      <c r="AE9" s="3">
        <v>1514.439635</v>
      </c>
      <c r="AF9" s="3">
        <v>459.7909745</v>
      </c>
      <c r="AG9" s="3">
        <v>4376.646804</v>
      </c>
      <c r="AH9" s="3">
        <v>3472.1752179999999</v>
      </c>
      <c r="AI9" s="3">
        <v>3034.1734580000002</v>
      </c>
      <c r="AJ9" s="3">
        <v>3414.3400649999999</v>
      </c>
      <c r="AK9" s="3">
        <v>1429.2466810000001</v>
      </c>
      <c r="AL9" s="3">
        <v>2075.909341</v>
      </c>
      <c r="AM9" s="3">
        <v>3644.6209250000002</v>
      </c>
      <c r="AN9" s="3">
        <v>427.49653740000002</v>
      </c>
      <c r="AO9" s="3">
        <v>1393.8342419999999</v>
      </c>
      <c r="AP9" s="48" t="s">
        <v>309</v>
      </c>
      <c r="AQ9" s="49" t="s">
        <v>330</v>
      </c>
      <c r="AR9" s="3">
        <v>1188.3486949999999</v>
      </c>
      <c r="AS9" s="3">
        <v>1777.226803</v>
      </c>
      <c r="AT9" s="3">
        <v>1542.090895</v>
      </c>
      <c r="AU9" s="3">
        <v>1484.949306</v>
      </c>
      <c r="AV9" s="3">
        <v>573.0675516</v>
      </c>
      <c r="AW9" s="3">
        <v>2549.9129130000001</v>
      </c>
      <c r="AX9" s="3">
        <v>1335.2606880000001</v>
      </c>
      <c r="AY9" s="3">
        <v>1898.9692560000001</v>
      </c>
      <c r="AZ9" s="3">
        <v>952.59865379999997</v>
      </c>
      <c r="BA9" s="3">
        <v>667.45315110000001</v>
      </c>
      <c r="BB9" s="3">
        <v>757.77928829999996</v>
      </c>
      <c r="BC9" s="3">
        <v>228.80525009999999</v>
      </c>
      <c r="BD9" s="3">
        <v>1631.939396</v>
      </c>
      <c r="BE9" s="48" t="s">
        <v>309</v>
      </c>
      <c r="BF9" s="49" t="s">
        <v>330</v>
      </c>
      <c r="BG9" s="3">
        <v>0</v>
      </c>
      <c r="BH9" s="3">
        <v>0.113</v>
      </c>
      <c r="BI9" s="3">
        <v>0.24149999999999999</v>
      </c>
      <c r="BJ9" s="3">
        <v>0</v>
      </c>
      <c r="BK9" s="3">
        <v>0.21099999999999999</v>
      </c>
      <c r="BL9" s="3">
        <v>0.29449999999999998</v>
      </c>
      <c r="BM9" s="3">
        <v>0</v>
      </c>
      <c r="BN9" s="3">
        <v>0.36399999999999999</v>
      </c>
      <c r="BO9" s="3">
        <v>0.56699999999999995</v>
      </c>
      <c r="BP9" s="3">
        <v>0</v>
      </c>
      <c r="BQ9" s="3">
        <v>0.30399999999999999</v>
      </c>
      <c r="BR9" s="3">
        <v>0.48166666699999999</v>
      </c>
      <c r="BS9" s="3">
        <v>0</v>
      </c>
      <c r="BT9" s="3">
        <v>0.157</v>
      </c>
      <c r="BU9" s="3">
        <v>0.35391666700000002</v>
      </c>
      <c r="BV9" s="3">
        <v>0</v>
      </c>
      <c r="BW9" s="3">
        <v>0.14099999999999999</v>
      </c>
      <c r="BX9" s="3">
        <v>0.28699999999999998</v>
      </c>
      <c r="BY9" s="3">
        <v>0</v>
      </c>
      <c r="BZ9" s="3">
        <v>6.7000000000000004E-2</v>
      </c>
      <c r="CA9" s="3">
        <v>0.2505</v>
      </c>
      <c r="CB9" s="3">
        <v>0</v>
      </c>
      <c r="CC9" s="3">
        <v>0.216</v>
      </c>
      <c r="CD9" s="3">
        <v>0.46633333300000002</v>
      </c>
      <c r="CE9" s="3">
        <v>0</v>
      </c>
      <c r="CF9" s="3">
        <v>0.23400000000000001</v>
      </c>
      <c r="CG9" s="3">
        <v>0.439</v>
      </c>
      <c r="CH9" s="3">
        <v>0</v>
      </c>
      <c r="CI9" s="3">
        <v>0.23599999999999999</v>
      </c>
      <c r="CJ9" s="3">
        <v>0.45666666700000003</v>
      </c>
      <c r="CK9" s="3">
        <v>0</v>
      </c>
      <c r="CL9" s="3">
        <v>0.23599999999999999</v>
      </c>
      <c r="CM9" s="3">
        <v>0.1</v>
      </c>
      <c r="CN9" s="3">
        <v>0</v>
      </c>
      <c r="CO9" s="3">
        <v>0.16300000000000001</v>
      </c>
      <c r="CP9" s="3">
        <v>0.23</v>
      </c>
      <c r="CQ9" s="3">
        <v>0</v>
      </c>
      <c r="CR9" s="3">
        <v>0.16800000000000001</v>
      </c>
      <c r="CS9" s="3">
        <v>0.28499999999999998</v>
      </c>
      <c r="CT9" s="48" t="s">
        <v>309</v>
      </c>
      <c r="CU9" s="49" t="s">
        <v>330</v>
      </c>
      <c r="CV9" s="3">
        <v>-1.36</v>
      </c>
      <c r="CW9" s="3">
        <v>-1.617</v>
      </c>
      <c r="CX9" s="3">
        <v>-1.2270000000000001</v>
      </c>
      <c r="CY9" s="3">
        <v>-1.3240000000000001</v>
      </c>
      <c r="CZ9" s="3">
        <v>-1.238</v>
      </c>
      <c r="DA9" s="3">
        <v>-1.9</v>
      </c>
      <c r="DB9" s="3">
        <v>-7.5149999999999997</v>
      </c>
      <c r="DC9" s="3">
        <v>-0.751</v>
      </c>
      <c r="DD9" s="3">
        <v>-1.466</v>
      </c>
      <c r="DE9" s="3">
        <v>-1.4830000000000001</v>
      </c>
      <c r="DF9" s="3">
        <v>-1.613</v>
      </c>
      <c r="DG9" s="3">
        <v>-1.429</v>
      </c>
      <c r="DH9" s="3">
        <v>-1.548</v>
      </c>
      <c r="DJ9" s="53" t="s">
        <v>314</v>
      </c>
      <c r="DK9" s="3">
        <v>91</v>
      </c>
      <c r="DL9" s="3" t="s">
        <v>686</v>
      </c>
    </row>
    <row r="10" spans="1:116" x14ac:dyDescent="0.3">
      <c r="A10" s="48" t="s">
        <v>309</v>
      </c>
      <c r="B10" s="49" t="s">
        <v>331</v>
      </c>
      <c r="C10" s="3">
        <v>33.200448000000002</v>
      </c>
      <c r="D10" s="3">
        <v>43.293936000000002</v>
      </c>
      <c r="E10" s="3">
        <v>43.293936000000002</v>
      </c>
      <c r="F10" s="3">
        <v>45.896780999999997</v>
      </c>
      <c r="G10" s="3">
        <v>45.896780999999997</v>
      </c>
      <c r="H10" s="3">
        <v>43.293936000000002</v>
      </c>
      <c r="I10" s="48" t="s">
        <v>309</v>
      </c>
      <c r="J10" s="49" t="s">
        <v>331</v>
      </c>
      <c r="K10" s="3">
        <v>45237.5</v>
      </c>
      <c r="L10" s="48" t="s">
        <v>309</v>
      </c>
      <c r="M10" s="49" t="s">
        <v>331</v>
      </c>
      <c r="N10" s="3">
        <v>7905.2571399999997</v>
      </c>
      <c r="O10" s="3">
        <v>8622.984735</v>
      </c>
      <c r="P10" s="3">
        <v>4195.2756060000002</v>
      </c>
      <c r="Q10" s="3">
        <v>3144.454988</v>
      </c>
      <c r="R10" s="3">
        <v>10190.14912</v>
      </c>
      <c r="S10" s="3">
        <v>8359.0343969999994</v>
      </c>
      <c r="T10" s="3">
        <v>6067.3534529999997</v>
      </c>
      <c r="U10" s="3">
        <v>12260.27745</v>
      </c>
      <c r="V10" s="3">
        <v>8241.520767</v>
      </c>
      <c r="W10" s="3">
        <v>5889.3836670000001</v>
      </c>
      <c r="X10" s="3">
        <v>7836.4547080000002</v>
      </c>
      <c r="Y10" s="3">
        <v>515.23722529999998</v>
      </c>
      <c r="Z10" s="3">
        <v>1864.734598</v>
      </c>
      <c r="AA10" s="48" t="s">
        <v>309</v>
      </c>
      <c r="AB10" s="49" t="s">
        <v>331</v>
      </c>
      <c r="AC10" s="3">
        <v>2768.7527559999999</v>
      </c>
      <c r="AD10" s="3">
        <v>2619.7286899999999</v>
      </c>
      <c r="AE10" s="3">
        <v>1559.0640069999999</v>
      </c>
      <c r="AF10" s="3">
        <v>473.33914320000002</v>
      </c>
      <c r="AG10" s="3">
        <v>4505.6087719999996</v>
      </c>
      <c r="AH10" s="3">
        <v>3574.4860899999999</v>
      </c>
      <c r="AI10" s="3">
        <v>3163.0379680000001</v>
      </c>
      <c r="AJ10" s="3">
        <v>3514.94677</v>
      </c>
      <c r="AK10" s="3">
        <v>1471.3607629999999</v>
      </c>
      <c r="AL10" s="3">
        <v>2137.0779400000001</v>
      </c>
      <c r="AM10" s="3">
        <v>3752.0130709999999</v>
      </c>
      <c r="AN10" s="3">
        <v>440.0931205</v>
      </c>
      <c r="AO10" s="3">
        <v>1434.9048640000001</v>
      </c>
      <c r="AP10" s="48" t="s">
        <v>309</v>
      </c>
      <c r="AQ10" s="49" t="s">
        <v>331</v>
      </c>
      <c r="AR10" s="3">
        <v>1250.1703030000001</v>
      </c>
      <c r="AS10" s="3">
        <v>1869.683689</v>
      </c>
      <c r="AT10" s="3">
        <v>1622.315276</v>
      </c>
      <c r="AU10" s="3">
        <v>1562.201004</v>
      </c>
      <c r="AV10" s="3">
        <v>602.88031439999997</v>
      </c>
      <c r="AW10" s="3">
        <v>2682.5673419999998</v>
      </c>
      <c r="AX10" s="3">
        <v>1360.889492</v>
      </c>
      <c r="AY10" s="3">
        <v>1997.759564</v>
      </c>
      <c r="AZ10" s="3">
        <v>1002.155809</v>
      </c>
      <c r="BA10" s="3">
        <v>702.17614739999999</v>
      </c>
      <c r="BB10" s="3">
        <v>797.20133220000002</v>
      </c>
      <c r="BC10" s="3">
        <v>240.70841340000001</v>
      </c>
      <c r="BD10" s="3">
        <v>1716.8379769999999</v>
      </c>
      <c r="BE10" s="48" t="s">
        <v>309</v>
      </c>
      <c r="BF10" s="49" t="s">
        <v>331</v>
      </c>
      <c r="BG10" s="3">
        <v>0</v>
      </c>
      <c r="BH10" s="3">
        <v>0.111</v>
      </c>
      <c r="BI10" s="3">
        <v>0.187</v>
      </c>
      <c r="BJ10" s="3">
        <v>0</v>
      </c>
      <c r="BK10" s="3">
        <v>0.17899999999999999</v>
      </c>
      <c r="BL10" s="3">
        <v>0.27850000000000003</v>
      </c>
      <c r="BM10" s="3">
        <v>0</v>
      </c>
      <c r="BN10" s="3">
        <v>0.33400000000000002</v>
      </c>
      <c r="BO10" s="3">
        <v>0.51500000000000001</v>
      </c>
      <c r="BP10" s="3">
        <v>0</v>
      </c>
      <c r="BQ10" s="3">
        <v>0.28399999999999997</v>
      </c>
      <c r="BR10" s="3">
        <v>0.426666667</v>
      </c>
      <c r="BS10" s="3">
        <v>0</v>
      </c>
      <c r="BT10" s="3">
        <v>0.14499999999999999</v>
      </c>
      <c r="BU10" s="3">
        <v>0.3105</v>
      </c>
      <c r="BV10" s="3">
        <v>0</v>
      </c>
      <c r="BW10" s="3">
        <v>0.10100000000000001</v>
      </c>
      <c r="BX10" s="3">
        <v>0.20300000000000001</v>
      </c>
      <c r="BY10" s="3">
        <v>0</v>
      </c>
      <c r="BZ10" s="3">
        <v>4.5999999999999999E-2</v>
      </c>
      <c r="CA10" s="3">
        <v>0.1875</v>
      </c>
      <c r="CB10" s="3">
        <v>0</v>
      </c>
      <c r="CC10" s="3">
        <v>0.19500000000000001</v>
      </c>
      <c r="CD10" s="3">
        <v>0.434</v>
      </c>
      <c r="CE10" s="3">
        <v>0</v>
      </c>
      <c r="CF10" s="3">
        <v>0.20300000000000001</v>
      </c>
      <c r="CG10" s="3">
        <v>0.38250000000000001</v>
      </c>
      <c r="CH10" s="3">
        <v>0</v>
      </c>
      <c r="CI10" s="3">
        <v>0.20399999999999999</v>
      </c>
      <c r="CJ10" s="3">
        <v>0.30333333299999998</v>
      </c>
      <c r="CK10" s="3">
        <v>0</v>
      </c>
      <c r="CL10" s="3">
        <v>0.17699999999999999</v>
      </c>
      <c r="CM10" s="3">
        <v>0.1</v>
      </c>
      <c r="CN10" s="3">
        <v>0</v>
      </c>
      <c r="CO10" s="3">
        <v>0.11799999999999999</v>
      </c>
      <c r="CP10" s="3">
        <v>0.16466666699999999</v>
      </c>
      <c r="CQ10" s="3">
        <v>0</v>
      </c>
      <c r="CR10" s="3">
        <v>0.113</v>
      </c>
      <c r="CS10" s="3">
        <v>0.18099999999999999</v>
      </c>
      <c r="CT10" s="48" t="s">
        <v>309</v>
      </c>
      <c r="CU10" s="49" t="s">
        <v>331</v>
      </c>
      <c r="CV10" s="3">
        <v>-1.2390000000000001</v>
      </c>
      <c r="CW10" s="3">
        <v>-1.89</v>
      </c>
      <c r="CX10" s="3">
        <v>-0.52600000000000002</v>
      </c>
      <c r="CY10" s="3">
        <v>-1.302</v>
      </c>
      <c r="CZ10" s="3">
        <v>-1.2250000000000001</v>
      </c>
      <c r="DA10" s="3">
        <v>-1.8180000000000001</v>
      </c>
      <c r="DB10" s="3">
        <v>-7.7720000000000002</v>
      </c>
      <c r="DC10" s="3">
        <v>-0.76900000000000002</v>
      </c>
      <c r="DD10" s="3">
        <v>-1.57</v>
      </c>
      <c r="DE10" s="3">
        <v>-1.597</v>
      </c>
      <c r="DF10" s="3">
        <v>-1.5049999999999999</v>
      </c>
      <c r="DG10" s="3">
        <v>-1.4970000000000001</v>
      </c>
      <c r="DH10" s="3">
        <v>-1.369</v>
      </c>
    </row>
    <row r="11" spans="1:116" x14ac:dyDescent="0.3">
      <c r="A11" s="48" t="s">
        <v>309</v>
      </c>
      <c r="B11" s="49" t="s">
        <v>332</v>
      </c>
      <c r="C11" s="3">
        <v>41.753472000000002</v>
      </c>
      <c r="D11" s="3">
        <v>40.144032000000003</v>
      </c>
      <c r="E11" s="3">
        <v>40.144032000000003</v>
      </c>
      <c r="F11" s="3">
        <v>44.500613999999999</v>
      </c>
      <c r="G11" s="3">
        <v>44.500613999999999</v>
      </c>
      <c r="H11" s="3">
        <v>40.144032000000003</v>
      </c>
      <c r="I11" s="48" t="s">
        <v>309</v>
      </c>
      <c r="J11" s="49" t="s">
        <v>332</v>
      </c>
      <c r="K11" s="3">
        <v>47840</v>
      </c>
      <c r="L11" s="48" t="s">
        <v>309</v>
      </c>
      <c r="M11" s="49" t="s">
        <v>332</v>
      </c>
      <c r="N11" s="3">
        <v>10111.582539999999</v>
      </c>
      <c r="O11" s="3">
        <v>11935.0816</v>
      </c>
      <c r="P11" s="3">
        <v>6225.7055339999997</v>
      </c>
      <c r="Q11" s="3">
        <v>4810.9046820000003</v>
      </c>
      <c r="R11" s="3">
        <v>12418.18066</v>
      </c>
      <c r="S11" s="3">
        <v>12112.726839999999</v>
      </c>
      <c r="T11" s="3">
        <v>8484.2110379999995</v>
      </c>
      <c r="U11" s="3">
        <v>14999.63472</v>
      </c>
      <c r="V11" s="3">
        <v>10168.2078</v>
      </c>
      <c r="W11" s="3">
        <v>7857.2808070000001</v>
      </c>
      <c r="X11" s="3">
        <v>10668.25491</v>
      </c>
      <c r="Y11" s="3">
        <v>993.62887579999995</v>
      </c>
      <c r="Z11" s="3">
        <v>3145.0134889999999</v>
      </c>
      <c r="AA11" s="48" t="s">
        <v>309</v>
      </c>
      <c r="AB11" s="49" t="s">
        <v>332</v>
      </c>
      <c r="AC11" s="3">
        <v>2669.6918350000001</v>
      </c>
      <c r="AD11" s="3">
        <v>2525.9995779999999</v>
      </c>
      <c r="AE11" s="3">
        <v>1503.2835419999999</v>
      </c>
      <c r="AF11" s="3">
        <v>456.40393230000001</v>
      </c>
      <c r="AG11" s="3">
        <v>4344.4063120000001</v>
      </c>
      <c r="AH11" s="3">
        <v>3446.5974999999999</v>
      </c>
      <c r="AI11" s="3">
        <v>3122.0356240000001</v>
      </c>
      <c r="AJ11" s="3">
        <v>3389.188388</v>
      </c>
      <c r="AK11" s="3">
        <v>1418.7181599999999</v>
      </c>
      <c r="AL11" s="3">
        <v>2060.6171909999998</v>
      </c>
      <c r="AM11" s="3">
        <v>3617.7728889999999</v>
      </c>
      <c r="AN11" s="3">
        <v>424.3473917</v>
      </c>
      <c r="AO11" s="3">
        <v>1383.5665859999999</v>
      </c>
      <c r="AP11" s="48" t="s">
        <v>309</v>
      </c>
      <c r="AQ11" s="49" t="s">
        <v>332</v>
      </c>
      <c r="AR11" s="3">
        <v>1231.8527899999999</v>
      </c>
      <c r="AS11" s="3">
        <v>1842.2890560000001</v>
      </c>
      <c r="AT11" s="3">
        <v>1598.545089</v>
      </c>
      <c r="AU11" s="3">
        <v>1539.311612</v>
      </c>
      <c r="AV11" s="3">
        <v>594.04690319999997</v>
      </c>
      <c r="AW11" s="3">
        <v>2643.262326</v>
      </c>
      <c r="AX11" s="3">
        <v>1327.5720470000001</v>
      </c>
      <c r="AY11" s="3">
        <v>1968.4883609999999</v>
      </c>
      <c r="AZ11" s="3">
        <v>987.47220760000005</v>
      </c>
      <c r="BA11" s="3">
        <v>691.8878522</v>
      </c>
      <c r="BB11" s="3">
        <v>785.52072659999999</v>
      </c>
      <c r="BC11" s="3">
        <v>237.1815502</v>
      </c>
      <c r="BD11" s="3">
        <v>1691.6828419999999</v>
      </c>
      <c r="BE11" s="48" t="s">
        <v>309</v>
      </c>
      <c r="BF11" s="49" t="s">
        <v>332</v>
      </c>
      <c r="BG11" s="3">
        <v>1.7999999999999999E-2</v>
      </c>
      <c r="BH11" s="3">
        <v>9.5000000000000001E-2</v>
      </c>
      <c r="BI11" s="3">
        <v>0.13750000000000001</v>
      </c>
      <c r="BJ11" s="3">
        <v>1.7999999999999999E-2</v>
      </c>
      <c r="BK11" s="3">
        <v>0.14899999999999999</v>
      </c>
      <c r="BL11" s="3">
        <v>0.25900000000000001</v>
      </c>
      <c r="BM11" s="3">
        <v>5.0000000000000001E-3</v>
      </c>
      <c r="BN11" s="3">
        <v>0.315</v>
      </c>
      <c r="BO11" s="3">
        <v>0.44500000000000001</v>
      </c>
      <c r="BP11" s="3">
        <v>2E-3</v>
      </c>
      <c r="BQ11" s="3">
        <v>0.27</v>
      </c>
      <c r="BR11" s="3">
        <v>0.368666667</v>
      </c>
      <c r="BS11" s="3">
        <v>2.1999999999999999E-2</v>
      </c>
      <c r="BT11" s="3">
        <v>0.115</v>
      </c>
      <c r="BU11" s="3">
        <v>0.256083334</v>
      </c>
      <c r="BV11" s="3">
        <v>2.1999999999999999E-2</v>
      </c>
      <c r="BW11" s="3">
        <v>7.1999999999999995E-2</v>
      </c>
      <c r="BX11" s="3">
        <v>0.13600000000000001</v>
      </c>
      <c r="BY11" s="3">
        <v>0</v>
      </c>
      <c r="BZ11" s="3">
        <v>2.7E-2</v>
      </c>
      <c r="CA11" s="3">
        <v>0.14549999999999999</v>
      </c>
      <c r="CB11" s="3">
        <v>7.4999999999999997E-2</v>
      </c>
      <c r="CC11" s="3">
        <v>0.16</v>
      </c>
      <c r="CD11" s="3">
        <v>0.37466666700000001</v>
      </c>
      <c r="CE11" s="3">
        <v>2.8000000000000001E-2</v>
      </c>
      <c r="CF11" s="3">
        <v>0.16400000000000001</v>
      </c>
      <c r="CG11" s="3">
        <v>0.307</v>
      </c>
      <c r="CH11" s="3">
        <v>2.9000000000000001E-2</v>
      </c>
      <c r="CI11" s="3">
        <v>0.16700000000000001</v>
      </c>
      <c r="CJ11" s="3">
        <v>0.18133333300000001</v>
      </c>
      <c r="CK11" s="3">
        <v>6.3E-2</v>
      </c>
      <c r="CL11" s="3">
        <v>0.11899999999999999</v>
      </c>
      <c r="CM11" s="3">
        <v>0.1</v>
      </c>
      <c r="CN11" s="3">
        <v>3.5000000000000003E-2</v>
      </c>
      <c r="CO11" s="3">
        <v>7.3999999999999996E-2</v>
      </c>
      <c r="CP11" s="3">
        <v>0.111</v>
      </c>
      <c r="CQ11" s="3">
        <v>5.3999999999999999E-2</v>
      </c>
      <c r="CR11" s="3">
        <v>6.6000000000000003E-2</v>
      </c>
      <c r="CS11" s="3">
        <v>0.10100000000000001</v>
      </c>
      <c r="CT11" s="48" t="s">
        <v>309</v>
      </c>
      <c r="CU11" s="49" t="s">
        <v>332</v>
      </c>
      <c r="CV11" s="3">
        <v>-0.79300000000000004</v>
      </c>
      <c r="CW11" s="3">
        <v>-1.952</v>
      </c>
      <c r="CX11" s="3">
        <v>0.16500000000000001</v>
      </c>
      <c r="CY11" s="3">
        <v>-1.113</v>
      </c>
      <c r="CZ11" s="3">
        <v>-0.81100000000000005</v>
      </c>
      <c r="DA11" s="3">
        <v>-1.4419999999999999</v>
      </c>
      <c r="DB11" s="3">
        <v>-7.87</v>
      </c>
      <c r="DC11" s="3">
        <v>-0.29799999999999999</v>
      </c>
      <c r="DD11" s="3">
        <v>-1.1519999999999999</v>
      </c>
      <c r="DE11" s="3">
        <v>-1.1719999999999999</v>
      </c>
      <c r="DF11" s="3">
        <v>-0.66700000000000004</v>
      </c>
      <c r="DG11" s="3">
        <v>-1.1259999999999999</v>
      </c>
      <c r="DH11" s="3">
        <v>-0.72099999999999997</v>
      </c>
    </row>
    <row r="12" spans="1:116" x14ac:dyDescent="0.3">
      <c r="A12" s="48" t="s">
        <v>309</v>
      </c>
      <c r="B12" s="49" t="s">
        <v>333</v>
      </c>
      <c r="C12" s="3">
        <v>35.438336</v>
      </c>
      <c r="D12" s="3">
        <v>40.113376000000002</v>
      </c>
      <c r="E12" s="3">
        <v>37.430976000000001</v>
      </c>
      <c r="F12" s="3">
        <v>43.811366999999997</v>
      </c>
      <c r="G12" s="3">
        <v>43.811366999999997</v>
      </c>
      <c r="H12" s="3">
        <v>40.113376000000002</v>
      </c>
      <c r="I12" s="48" t="s">
        <v>309</v>
      </c>
      <c r="J12" s="49" t="s">
        <v>333</v>
      </c>
      <c r="K12" s="3">
        <v>48910.5</v>
      </c>
      <c r="L12" s="48" t="s">
        <v>309</v>
      </c>
      <c r="M12" s="49" t="s">
        <v>333</v>
      </c>
      <c r="N12" s="3">
        <v>8193.3964510000005</v>
      </c>
      <c r="O12" s="3">
        <v>10273.67643</v>
      </c>
      <c r="P12" s="3">
        <v>5358.9211409999998</v>
      </c>
      <c r="Q12" s="3">
        <v>4380.4463930000002</v>
      </c>
      <c r="R12" s="3">
        <v>10658.707280000001</v>
      </c>
      <c r="S12" s="3">
        <v>11191.100930000001</v>
      </c>
      <c r="T12" s="3">
        <v>8124.5036790000004</v>
      </c>
      <c r="U12" s="3">
        <v>12298.38999</v>
      </c>
      <c r="V12" s="3">
        <v>8066.0008239999997</v>
      </c>
      <c r="W12" s="3">
        <v>6435.3225510000002</v>
      </c>
      <c r="X12" s="3">
        <v>9627.615092</v>
      </c>
      <c r="Y12" s="3">
        <v>898.05355199999997</v>
      </c>
      <c r="Z12" s="3">
        <v>3095.6129059999998</v>
      </c>
      <c r="AA12" s="48" t="s">
        <v>309</v>
      </c>
      <c r="AB12" s="49" t="s">
        <v>333</v>
      </c>
      <c r="AC12" s="3">
        <v>2550.8187290000001</v>
      </c>
      <c r="AD12" s="3">
        <v>2413.5246430000002</v>
      </c>
      <c r="AE12" s="3">
        <v>1436.3469829999999</v>
      </c>
      <c r="AF12" s="3">
        <v>436.08167930000002</v>
      </c>
      <c r="AG12" s="3">
        <v>4150.9633590000003</v>
      </c>
      <c r="AH12" s="3">
        <v>3293.1311919999998</v>
      </c>
      <c r="AI12" s="3">
        <v>2940.4538149999998</v>
      </c>
      <c r="AJ12" s="3">
        <v>3238.2783300000001</v>
      </c>
      <c r="AK12" s="3">
        <v>1355.5470359999999</v>
      </c>
      <c r="AL12" s="3">
        <v>1968.864292</v>
      </c>
      <c r="AM12" s="3">
        <v>3456.684671</v>
      </c>
      <c r="AN12" s="3">
        <v>405.45251710000002</v>
      </c>
      <c r="AO12" s="3">
        <v>1321.9606530000001</v>
      </c>
      <c r="AP12" s="48" t="s">
        <v>309</v>
      </c>
      <c r="AQ12" s="49" t="s">
        <v>333</v>
      </c>
      <c r="AR12" s="3">
        <v>1188.3486949999999</v>
      </c>
      <c r="AS12" s="3">
        <v>1777.226803</v>
      </c>
      <c r="AT12" s="3">
        <v>1542.090895</v>
      </c>
      <c r="AU12" s="3">
        <v>1484.949306</v>
      </c>
      <c r="AV12" s="3">
        <v>573.0675516</v>
      </c>
      <c r="AW12" s="3">
        <v>2549.9129130000001</v>
      </c>
      <c r="AX12" s="3">
        <v>1258.374276</v>
      </c>
      <c r="AY12" s="3">
        <v>1898.9692560000001</v>
      </c>
      <c r="AZ12" s="3">
        <v>952.59865379999997</v>
      </c>
      <c r="BA12" s="3">
        <v>667.45315110000001</v>
      </c>
      <c r="BB12" s="3">
        <v>757.77928829999996</v>
      </c>
      <c r="BC12" s="3">
        <v>228.80525009999999</v>
      </c>
      <c r="BD12" s="3">
        <v>1631.939396</v>
      </c>
      <c r="BE12" s="48" t="s">
        <v>309</v>
      </c>
      <c r="BF12" s="49" t="s">
        <v>333</v>
      </c>
      <c r="BG12" s="3">
        <v>6.7000000000000004E-2</v>
      </c>
      <c r="BH12" s="3">
        <v>7.4999999999999997E-2</v>
      </c>
      <c r="BI12" s="3">
        <v>0.1065</v>
      </c>
      <c r="BJ12" s="3">
        <v>9.2999999999999999E-2</v>
      </c>
      <c r="BK12" s="3">
        <v>0.11799999999999999</v>
      </c>
      <c r="BL12" s="3">
        <v>0.23949999999999999</v>
      </c>
      <c r="BM12" s="3">
        <v>4.3999999999999997E-2</v>
      </c>
      <c r="BN12" s="3">
        <v>0.245</v>
      </c>
      <c r="BO12" s="3">
        <v>0.33400000000000002</v>
      </c>
      <c r="BP12" s="3">
        <v>3.6999999999999998E-2</v>
      </c>
      <c r="BQ12" s="3">
        <v>0.22900000000000001</v>
      </c>
      <c r="BR12" s="3">
        <v>0.307</v>
      </c>
      <c r="BS12" s="3">
        <v>8.7999999999999995E-2</v>
      </c>
      <c r="BT12" s="3">
        <v>7.5999999999999998E-2</v>
      </c>
      <c r="BU12" s="3">
        <v>0.18991666700000001</v>
      </c>
      <c r="BV12" s="3">
        <v>0.161</v>
      </c>
      <c r="BW12" s="3">
        <v>4.8000000000000001E-2</v>
      </c>
      <c r="BX12" s="3">
        <v>8.8999999999999996E-2</v>
      </c>
      <c r="BY12" s="3">
        <v>7.5999999999999998E-2</v>
      </c>
      <c r="BZ12" s="3">
        <v>1.7000000000000001E-2</v>
      </c>
      <c r="CA12" s="3">
        <v>0.13550000000000001</v>
      </c>
      <c r="CB12" s="3">
        <v>0.219</v>
      </c>
      <c r="CC12" s="3">
        <v>0.112</v>
      </c>
      <c r="CD12" s="3">
        <v>0.27333333300000001</v>
      </c>
      <c r="CE12" s="3">
        <v>0.11600000000000001</v>
      </c>
      <c r="CF12" s="3">
        <v>0.10199999999999999</v>
      </c>
      <c r="CG12" s="3">
        <v>0.20300000000000001</v>
      </c>
      <c r="CH12" s="3">
        <v>0.11700000000000001</v>
      </c>
      <c r="CI12" s="3">
        <v>0.10299999999999999</v>
      </c>
      <c r="CJ12" s="3">
        <v>9.4666666999999996E-2</v>
      </c>
      <c r="CK12" s="3">
        <v>0.219</v>
      </c>
      <c r="CL12" s="3">
        <v>6.2E-2</v>
      </c>
      <c r="CM12" s="3">
        <v>0.1</v>
      </c>
      <c r="CN12" s="3">
        <v>0.17399999999999999</v>
      </c>
      <c r="CO12" s="3">
        <v>4.4999999999999998E-2</v>
      </c>
      <c r="CP12" s="3">
        <v>8.0333333000000007E-2</v>
      </c>
      <c r="CQ12" s="3">
        <v>0.253</v>
      </c>
      <c r="CR12" s="3">
        <v>3.6999999999999998E-2</v>
      </c>
      <c r="CS12" s="3">
        <v>5.8999999999999997E-2</v>
      </c>
      <c r="CT12" s="48" t="s">
        <v>309</v>
      </c>
      <c r="CU12" s="49" t="s">
        <v>333</v>
      </c>
      <c r="CV12" s="3">
        <v>4.2000000000000003E-2</v>
      </c>
      <c r="CW12" s="3">
        <v>-1.2290000000000001</v>
      </c>
      <c r="CX12" s="3">
        <v>1.091</v>
      </c>
      <c r="CY12" s="3">
        <v>-0.46500000000000002</v>
      </c>
      <c r="CZ12" s="3">
        <v>-4.9000000000000002E-2</v>
      </c>
      <c r="DA12" s="3">
        <v>-0.23699999999999999</v>
      </c>
      <c r="DB12" s="3">
        <v>-7.8040000000000003</v>
      </c>
      <c r="DC12" s="3">
        <v>0.69099999999999995</v>
      </c>
      <c r="DD12" s="3">
        <v>-0.16600000000000001</v>
      </c>
      <c r="DE12" s="3">
        <v>-0.17499999999999999</v>
      </c>
      <c r="DF12" s="3">
        <v>1.3460000000000001</v>
      </c>
      <c r="DG12" s="3">
        <v>0.38</v>
      </c>
      <c r="DH12" s="3">
        <v>0.77100000000000002</v>
      </c>
    </row>
    <row r="13" spans="1:116" x14ac:dyDescent="0.3">
      <c r="A13" s="48" t="s">
        <v>309</v>
      </c>
      <c r="B13" s="49" t="s">
        <v>334</v>
      </c>
      <c r="C13" s="3">
        <v>45.738751999999998</v>
      </c>
      <c r="D13" s="3">
        <v>38.841152000000001</v>
      </c>
      <c r="E13" s="3">
        <v>36.74888</v>
      </c>
      <c r="F13" s="3">
        <v>41.425511999999998</v>
      </c>
      <c r="G13" s="3">
        <v>41.425511999999998</v>
      </c>
      <c r="H13" s="3">
        <v>38.841152000000001</v>
      </c>
      <c r="I13" s="48" t="s">
        <v>309</v>
      </c>
      <c r="J13" s="49" t="s">
        <v>334</v>
      </c>
      <c r="K13" s="3">
        <v>48821.5</v>
      </c>
      <c r="L13" s="48" t="s">
        <v>309</v>
      </c>
      <c r="M13" s="49" t="s">
        <v>334</v>
      </c>
      <c r="N13" s="3">
        <v>5919.0306799999998</v>
      </c>
      <c r="O13" s="3">
        <v>8053.4176150000003</v>
      </c>
      <c r="P13" s="3">
        <v>4183.5684979999996</v>
      </c>
      <c r="Q13" s="3">
        <v>3463.6744629999998</v>
      </c>
      <c r="R13" s="3">
        <v>8284.6901159999998</v>
      </c>
      <c r="S13" s="3">
        <v>9117.3313249999992</v>
      </c>
      <c r="T13" s="3">
        <v>6323.6411959999996</v>
      </c>
      <c r="U13" s="3">
        <v>9645.1019529999994</v>
      </c>
      <c r="V13" s="3">
        <v>5833.6379150000002</v>
      </c>
      <c r="W13" s="3">
        <v>4539.1470829999998</v>
      </c>
      <c r="X13" s="3">
        <v>7713.6090029999996</v>
      </c>
      <c r="Y13" s="3">
        <v>711.4155068</v>
      </c>
      <c r="Z13" s="3">
        <v>2437.6733530000001</v>
      </c>
      <c r="AA13" s="48" t="s">
        <v>309</v>
      </c>
      <c r="AB13" s="49" t="s">
        <v>334</v>
      </c>
      <c r="AC13" s="3">
        <v>2626.1050289999998</v>
      </c>
      <c r="AD13" s="3">
        <v>2484.7587680000001</v>
      </c>
      <c r="AE13" s="3">
        <v>1478.740137</v>
      </c>
      <c r="AF13" s="3">
        <v>448.95243959999999</v>
      </c>
      <c r="AG13" s="3">
        <v>4273.4772290000001</v>
      </c>
      <c r="AH13" s="3">
        <v>3390.326521</v>
      </c>
      <c r="AI13" s="3">
        <v>3189.3966180000002</v>
      </c>
      <c r="AJ13" s="3">
        <v>3333.8546999999999</v>
      </c>
      <c r="AK13" s="3">
        <v>1395.5554139999999</v>
      </c>
      <c r="AL13" s="3">
        <v>2026.974461</v>
      </c>
      <c r="AM13" s="3">
        <v>3558.7072090000001</v>
      </c>
      <c r="AN13" s="3">
        <v>417.41927099999998</v>
      </c>
      <c r="AO13" s="3">
        <v>1360.977744</v>
      </c>
      <c r="AP13" s="48" t="s">
        <v>309</v>
      </c>
      <c r="AQ13" s="49" t="s">
        <v>334</v>
      </c>
      <c r="AR13" s="3">
        <v>1117.36833</v>
      </c>
      <c r="AS13" s="3">
        <v>1671.0726010000001</v>
      </c>
      <c r="AT13" s="3">
        <v>1449.981419</v>
      </c>
      <c r="AU13" s="3">
        <v>1396.2529119999999</v>
      </c>
      <c r="AV13" s="3">
        <v>538.83808320000003</v>
      </c>
      <c r="AW13" s="3">
        <v>2397.6059759999998</v>
      </c>
      <c r="AX13" s="3">
        <v>1189.176506</v>
      </c>
      <c r="AY13" s="3">
        <v>1785.5433459999999</v>
      </c>
      <c r="AZ13" s="3">
        <v>895.69969760000004</v>
      </c>
      <c r="BA13" s="3">
        <v>627.58600720000004</v>
      </c>
      <c r="BB13" s="3">
        <v>712.5169416</v>
      </c>
      <c r="BC13" s="3">
        <v>215.13865519999999</v>
      </c>
      <c r="BD13" s="3">
        <v>1534.4632469999999</v>
      </c>
      <c r="BE13" s="48" t="s">
        <v>309</v>
      </c>
      <c r="BF13" s="49" t="s">
        <v>334</v>
      </c>
      <c r="BG13" s="3">
        <v>0.127</v>
      </c>
      <c r="BH13" s="3">
        <v>7.4999999999999997E-2</v>
      </c>
      <c r="BI13" s="3">
        <v>9.4E-2</v>
      </c>
      <c r="BJ13" s="3">
        <v>0.19600000000000001</v>
      </c>
      <c r="BK13" s="3">
        <v>0.105</v>
      </c>
      <c r="BL13" s="3">
        <v>0.23949999999999999</v>
      </c>
      <c r="BM13" s="3">
        <v>9.6000000000000002E-2</v>
      </c>
      <c r="BN13" s="3">
        <v>0.16400000000000001</v>
      </c>
      <c r="BO13" s="3">
        <v>0.22900000000000001</v>
      </c>
      <c r="BP13" s="3">
        <v>7.2999999999999995E-2</v>
      </c>
      <c r="BQ13" s="3">
        <v>0.19500000000000001</v>
      </c>
      <c r="BR13" s="3">
        <v>0.24199999999999999</v>
      </c>
      <c r="BS13" s="3">
        <v>0.17</v>
      </c>
      <c r="BT13" s="3">
        <v>6.0999999999999999E-2</v>
      </c>
      <c r="BU13" s="3">
        <v>0.14299999999999999</v>
      </c>
      <c r="BV13" s="3">
        <v>0.29699999999999999</v>
      </c>
      <c r="BW13" s="3">
        <v>3.5000000000000003E-2</v>
      </c>
      <c r="BX13" s="3">
        <v>5.8000000000000003E-2</v>
      </c>
      <c r="BY13" s="3">
        <v>0.17899999999999999</v>
      </c>
      <c r="BZ13" s="3">
        <v>1.2999999999999999E-2</v>
      </c>
      <c r="CA13" s="3">
        <v>0.12</v>
      </c>
      <c r="CB13" s="3">
        <v>0.36899999999999999</v>
      </c>
      <c r="CC13" s="3">
        <v>7.6999999999999999E-2</v>
      </c>
      <c r="CD13" s="3">
        <v>0.192</v>
      </c>
      <c r="CE13" s="3">
        <v>0.23100000000000001</v>
      </c>
      <c r="CF13" s="3">
        <v>7.1999999999999995E-2</v>
      </c>
      <c r="CG13" s="3">
        <v>0.126</v>
      </c>
      <c r="CH13" s="3">
        <v>0.23300000000000001</v>
      </c>
      <c r="CI13" s="3">
        <v>7.1999999999999995E-2</v>
      </c>
      <c r="CJ13" s="3">
        <v>0.04</v>
      </c>
      <c r="CK13" s="3">
        <v>0.39800000000000002</v>
      </c>
      <c r="CL13" s="3">
        <v>2.8000000000000001E-2</v>
      </c>
      <c r="CM13" s="3">
        <v>0.1</v>
      </c>
      <c r="CN13" s="3">
        <v>0.34200000000000003</v>
      </c>
      <c r="CO13" s="3">
        <v>2.1999999999999999E-2</v>
      </c>
      <c r="CP13" s="3">
        <v>6.1333332999999997E-2</v>
      </c>
      <c r="CQ13" s="3">
        <v>0.38400000000000001</v>
      </c>
      <c r="CR13" s="3">
        <v>2.1999999999999999E-2</v>
      </c>
      <c r="CS13" s="3">
        <v>0.04</v>
      </c>
      <c r="CT13" s="48" t="s">
        <v>309</v>
      </c>
      <c r="CU13" s="49" t="s">
        <v>334</v>
      </c>
      <c r="CV13" s="3">
        <v>0.99399999999999999</v>
      </c>
      <c r="CW13" s="3">
        <v>-5.8999999999999997E-2</v>
      </c>
      <c r="CX13" s="3">
        <v>2.0049999999999999</v>
      </c>
      <c r="CY13" s="3">
        <v>0.20899999999999999</v>
      </c>
      <c r="CZ13" s="3">
        <v>1.0289999999999999</v>
      </c>
      <c r="DA13" s="3">
        <v>1.018</v>
      </c>
      <c r="DB13" s="3">
        <v>-6.9909999999999997</v>
      </c>
      <c r="DC13" s="3">
        <v>1.5740000000000001</v>
      </c>
      <c r="DD13" s="3">
        <v>1.0489999999999999</v>
      </c>
      <c r="DE13" s="3">
        <v>1.0429999999999999</v>
      </c>
      <c r="DF13" s="3">
        <v>2.5139999999999998</v>
      </c>
      <c r="DG13" s="3">
        <v>1.43</v>
      </c>
      <c r="DH13" s="3">
        <v>1.7989999999999999</v>
      </c>
    </row>
    <row r="14" spans="1:116" x14ac:dyDescent="0.3">
      <c r="A14" s="48" t="s">
        <v>309</v>
      </c>
      <c r="B14" s="49" t="s">
        <v>335</v>
      </c>
      <c r="C14" s="3">
        <v>32.058512</v>
      </c>
      <c r="D14" s="3">
        <v>37.791184000000001</v>
      </c>
      <c r="E14" s="3">
        <v>34.465007999999997</v>
      </c>
      <c r="F14" s="3">
        <v>37.988113499999997</v>
      </c>
      <c r="G14" s="3">
        <v>37.988113499999997</v>
      </c>
      <c r="H14" s="3">
        <v>37.791184000000001</v>
      </c>
      <c r="I14" s="48" t="s">
        <v>309</v>
      </c>
      <c r="J14" s="49" t="s">
        <v>335</v>
      </c>
      <c r="K14" s="3">
        <v>48583.5</v>
      </c>
      <c r="L14" s="48" t="s">
        <v>309</v>
      </c>
      <c r="M14" s="49" t="s">
        <v>335</v>
      </c>
      <c r="N14" s="3">
        <v>4407.486465</v>
      </c>
      <c r="O14" s="3">
        <v>6706.0720940000001</v>
      </c>
      <c r="P14" s="3">
        <v>3379.773244</v>
      </c>
      <c r="Q14" s="3">
        <v>2981.1086300000002</v>
      </c>
      <c r="R14" s="3">
        <v>6854.5082869999997</v>
      </c>
      <c r="S14" s="3">
        <v>7399.4926059999998</v>
      </c>
      <c r="T14" s="3">
        <v>5497.3133669999997</v>
      </c>
      <c r="U14" s="3">
        <v>8001.7574020000002</v>
      </c>
      <c r="V14" s="3">
        <v>4254.5731949999999</v>
      </c>
      <c r="W14" s="3">
        <v>3240.9184089999999</v>
      </c>
      <c r="X14" s="3">
        <v>6017.1234599999998</v>
      </c>
      <c r="Y14" s="3">
        <v>494.53980159999998</v>
      </c>
      <c r="Z14" s="3">
        <v>1784.6078789999999</v>
      </c>
      <c r="AA14" s="48" t="s">
        <v>309</v>
      </c>
      <c r="AB14" s="49" t="s">
        <v>335</v>
      </c>
      <c r="AC14" s="3">
        <v>2792.82456</v>
      </c>
      <c r="AD14" s="3">
        <v>2642.5048649999999</v>
      </c>
      <c r="AE14" s="3">
        <v>1572.6186600000001</v>
      </c>
      <c r="AF14" s="3">
        <v>477.4543994</v>
      </c>
      <c r="AG14" s="3">
        <v>4544.7809699999998</v>
      </c>
      <c r="AH14" s="3">
        <v>3605.5630179999998</v>
      </c>
      <c r="AI14" s="3">
        <v>3231.921906</v>
      </c>
      <c r="AJ14" s="3">
        <v>3545.5060570000001</v>
      </c>
      <c r="AK14" s="3">
        <v>1484.152916</v>
      </c>
      <c r="AL14" s="3">
        <v>2155.6579019999999</v>
      </c>
      <c r="AM14" s="3">
        <v>3784.6334350000002</v>
      </c>
      <c r="AN14" s="3">
        <v>443.91933260000002</v>
      </c>
      <c r="AO14" s="3">
        <v>1447.3800659999999</v>
      </c>
      <c r="AP14" s="48" t="s">
        <v>309</v>
      </c>
      <c r="AQ14" s="49" t="s">
        <v>335</v>
      </c>
      <c r="AR14" s="3">
        <v>1060.1261</v>
      </c>
      <c r="AS14" s="3">
        <v>1585.464373</v>
      </c>
      <c r="AT14" s="3">
        <v>1375.699584</v>
      </c>
      <c r="AU14" s="3">
        <v>1324.7235619999999</v>
      </c>
      <c r="AV14" s="3">
        <v>511.2336732</v>
      </c>
      <c r="AW14" s="3">
        <v>2274.7778010000002</v>
      </c>
      <c r="AX14" s="3">
        <v>1166.110582</v>
      </c>
      <c r="AY14" s="3">
        <v>1694.070839</v>
      </c>
      <c r="AZ14" s="3">
        <v>849.81344260000003</v>
      </c>
      <c r="BA14" s="3">
        <v>595.43508469999995</v>
      </c>
      <c r="BB14" s="3">
        <v>676.01504910000006</v>
      </c>
      <c r="BC14" s="3">
        <v>204.11720769999999</v>
      </c>
      <c r="BD14" s="3">
        <v>1455.8534500000001</v>
      </c>
      <c r="BE14" s="48" t="s">
        <v>309</v>
      </c>
      <c r="BF14" s="49" t="s">
        <v>335</v>
      </c>
      <c r="BG14" s="3">
        <v>0.16900000000000001</v>
      </c>
      <c r="BH14" s="3">
        <v>7.8E-2</v>
      </c>
      <c r="BI14" s="3">
        <v>0.10050000000000001</v>
      </c>
      <c r="BJ14" s="3">
        <v>0.28100000000000003</v>
      </c>
      <c r="BK14" s="3">
        <v>0.105</v>
      </c>
      <c r="BL14" s="3">
        <v>0.25600000000000001</v>
      </c>
      <c r="BM14" s="3">
        <v>0.111</v>
      </c>
      <c r="BN14" s="3">
        <v>0.121</v>
      </c>
      <c r="BO14" s="3">
        <v>0.16550000000000001</v>
      </c>
      <c r="BP14" s="3">
        <v>0.09</v>
      </c>
      <c r="BQ14" s="3">
        <v>0.158</v>
      </c>
      <c r="BR14" s="3">
        <v>0.185</v>
      </c>
      <c r="BS14" s="3">
        <v>0.24199999999999999</v>
      </c>
      <c r="BT14" s="3">
        <v>5.7000000000000002E-2</v>
      </c>
      <c r="BU14" s="3">
        <v>0.131083334</v>
      </c>
      <c r="BV14" s="3">
        <v>0.35</v>
      </c>
      <c r="BW14" s="3">
        <v>2.9000000000000001E-2</v>
      </c>
      <c r="BX14" s="3">
        <v>3.6999999999999998E-2</v>
      </c>
      <c r="BY14" s="3">
        <v>0.25800000000000001</v>
      </c>
      <c r="BZ14" s="3">
        <v>8.9999999999999993E-3</v>
      </c>
      <c r="CA14" s="3">
        <v>0.10050000000000001</v>
      </c>
      <c r="CB14" s="3">
        <v>0.51500000000000001</v>
      </c>
      <c r="CC14" s="3">
        <v>6.3E-2</v>
      </c>
      <c r="CD14" s="3">
        <v>0.16166666699999999</v>
      </c>
      <c r="CE14" s="3">
        <v>0.32400000000000001</v>
      </c>
      <c r="CF14" s="3">
        <v>5.8000000000000003E-2</v>
      </c>
      <c r="CG14" s="3">
        <v>7.3499999999999996E-2</v>
      </c>
      <c r="CH14" s="3">
        <v>0.32600000000000001</v>
      </c>
      <c r="CI14" s="3">
        <v>5.8000000000000003E-2</v>
      </c>
      <c r="CJ14" s="3">
        <v>1.4E-2</v>
      </c>
      <c r="CK14" s="3">
        <v>0.496</v>
      </c>
      <c r="CL14" s="3">
        <v>2.1000000000000001E-2</v>
      </c>
      <c r="CM14" s="3">
        <v>0.1</v>
      </c>
      <c r="CN14" s="3">
        <v>0.46700000000000003</v>
      </c>
      <c r="CO14" s="3">
        <v>1.7000000000000001E-2</v>
      </c>
      <c r="CP14" s="3">
        <v>5.9333333000000002E-2</v>
      </c>
      <c r="CQ14" s="3">
        <v>0.433</v>
      </c>
      <c r="CR14" s="3">
        <v>2.1000000000000001E-2</v>
      </c>
      <c r="CS14" s="3">
        <v>3.2000000000000001E-2</v>
      </c>
      <c r="CT14" s="48" t="s">
        <v>309</v>
      </c>
      <c r="CU14" s="49" t="s">
        <v>335</v>
      </c>
      <c r="CV14" s="3">
        <v>1.704</v>
      </c>
      <c r="CW14" s="3">
        <v>1.278</v>
      </c>
      <c r="CX14" s="3">
        <v>2.6179999999999999</v>
      </c>
      <c r="CY14" s="3">
        <v>0.71599999999999997</v>
      </c>
      <c r="CZ14" s="3">
        <v>2.0129999999999999</v>
      </c>
      <c r="DA14" s="3">
        <v>1.764</v>
      </c>
      <c r="DB14" s="3">
        <v>-5.8970000000000002</v>
      </c>
      <c r="DC14" s="3">
        <v>2.3570000000000002</v>
      </c>
      <c r="DD14" s="3">
        <v>2.2669999999999999</v>
      </c>
      <c r="DE14" s="3">
        <v>2.2679999999999998</v>
      </c>
      <c r="DF14" s="3">
        <v>3.1389999999999998</v>
      </c>
      <c r="DG14" s="3">
        <v>1.8080000000000001</v>
      </c>
      <c r="DH14" s="3">
        <v>2.2949999999999999</v>
      </c>
    </row>
    <row r="15" spans="1:116" x14ac:dyDescent="0.3">
      <c r="A15" s="48" t="s">
        <v>309</v>
      </c>
      <c r="B15" s="49" t="s">
        <v>336</v>
      </c>
      <c r="C15" s="3">
        <v>32.058512</v>
      </c>
      <c r="D15" s="3">
        <v>37.430976000000001</v>
      </c>
      <c r="E15" s="3">
        <v>36.74888</v>
      </c>
      <c r="F15" s="3">
        <v>36.821695499999997</v>
      </c>
      <c r="G15" s="3">
        <v>36.821695499999997</v>
      </c>
      <c r="H15" s="3">
        <v>37.430976000000001</v>
      </c>
      <c r="I15" s="48" t="s">
        <v>309</v>
      </c>
      <c r="J15" s="49" t="s">
        <v>336</v>
      </c>
      <c r="K15" s="3">
        <v>48547</v>
      </c>
      <c r="L15" s="48" t="s">
        <v>309</v>
      </c>
      <c r="M15" s="49" t="s">
        <v>336</v>
      </c>
      <c r="N15" s="3">
        <v>4118.9237110000004</v>
      </c>
      <c r="O15" s="3">
        <v>6466.3068409999996</v>
      </c>
      <c r="P15" s="3">
        <v>3200.4154039999999</v>
      </c>
      <c r="Q15" s="3">
        <v>2945.030158</v>
      </c>
      <c r="R15" s="3">
        <v>6250.0470750000004</v>
      </c>
      <c r="S15" s="3">
        <v>7082.8698270000004</v>
      </c>
      <c r="T15" s="3">
        <v>5193.3219239999999</v>
      </c>
      <c r="U15" s="3">
        <v>7347.0962079999999</v>
      </c>
      <c r="V15" s="3">
        <v>3788.7556129999998</v>
      </c>
      <c r="W15" s="3">
        <v>2772.0851699999998</v>
      </c>
      <c r="X15" s="3">
        <v>5584.9928730000001</v>
      </c>
      <c r="Y15" s="3">
        <v>510.41291419999999</v>
      </c>
      <c r="Z15" s="3">
        <v>1516.7027760000001</v>
      </c>
      <c r="AA15" s="48" t="s">
        <v>309</v>
      </c>
      <c r="AB15" s="49" t="s">
        <v>336</v>
      </c>
      <c r="AC15" s="3">
        <v>2660.9744740000001</v>
      </c>
      <c r="AD15" s="3">
        <v>2517.7514160000001</v>
      </c>
      <c r="AE15" s="3">
        <v>1498.374861</v>
      </c>
      <c r="AF15" s="3">
        <v>454.91363380000001</v>
      </c>
      <c r="AG15" s="3">
        <v>4330.2204949999996</v>
      </c>
      <c r="AH15" s="3">
        <v>3435.343304</v>
      </c>
      <c r="AI15" s="3">
        <v>3146.8713299999999</v>
      </c>
      <c r="AJ15" s="3">
        <v>3378.1216509999999</v>
      </c>
      <c r="AK15" s="3">
        <v>1414.085611</v>
      </c>
      <c r="AL15" s="3">
        <v>2053.888645</v>
      </c>
      <c r="AM15" s="3">
        <v>3605.9597530000001</v>
      </c>
      <c r="AN15" s="3">
        <v>422.96176750000001</v>
      </c>
      <c r="AO15" s="3">
        <v>1379.048818</v>
      </c>
      <c r="AP15" s="48" t="s">
        <v>309</v>
      </c>
      <c r="AQ15" s="49" t="s">
        <v>336</v>
      </c>
      <c r="AR15" s="3">
        <v>1025.7807620000001</v>
      </c>
      <c r="AS15" s="3">
        <v>1534.0994370000001</v>
      </c>
      <c r="AT15" s="3">
        <v>1331.1304829999999</v>
      </c>
      <c r="AU15" s="3">
        <v>1281.8059519999999</v>
      </c>
      <c r="AV15" s="3">
        <v>494.67102720000003</v>
      </c>
      <c r="AW15" s="3">
        <v>2201.0808959999999</v>
      </c>
      <c r="AX15" s="3">
        <v>1109.7272129999999</v>
      </c>
      <c r="AY15" s="3">
        <v>1639.187334</v>
      </c>
      <c r="AZ15" s="3">
        <v>822.28168960000005</v>
      </c>
      <c r="BA15" s="3">
        <v>576.14453119999996</v>
      </c>
      <c r="BB15" s="3">
        <v>654.11391360000005</v>
      </c>
      <c r="BC15" s="3">
        <v>197.5043392</v>
      </c>
      <c r="BD15" s="3">
        <v>1408.6875709999999</v>
      </c>
      <c r="BE15" s="48" t="s">
        <v>309</v>
      </c>
      <c r="BF15" s="49" t="s">
        <v>336</v>
      </c>
      <c r="BG15" s="3">
        <v>0.21199999999999999</v>
      </c>
      <c r="BH15" s="3">
        <v>8.4000000000000005E-2</v>
      </c>
      <c r="BI15" s="3">
        <v>0.1055</v>
      </c>
      <c r="BJ15" s="3">
        <v>0.30399999999999999</v>
      </c>
      <c r="BK15" s="3">
        <v>0.108</v>
      </c>
      <c r="BL15" s="3">
        <v>0.26650000000000001</v>
      </c>
      <c r="BM15" s="3">
        <v>0.107</v>
      </c>
      <c r="BN15" s="3">
        <v>0.111</v>
      </c>
      <c r="BO15" s="3">
        <v>0.1285</v>
      </c>
      <c r="BP15" s="3">
        <v>9.2999999999999999E-2</v>
      </c>
      <c r="BQ15" s="3">
        <v>0.13300000000000001</v>
      </c>
      <c r="BR15" s="3">
        <v>0.139333333</v>
      </c>
      <c r="BS15" s="3">
        <v>0.28499999999999998</v>
      </c>
      <c r="BT15" s="3">
        <v>5.5E-2</v>
      </c>
      <c r="BU15" s="3">
        <v>0.131083334</v>
      </c>
      <c r="BV15" s="3">
        <v>0.30199999999999999</v>
      </c>
      <c r="BW15" s="3">
        <v>2.9000000000000001E-2</v>
      </c>
      <c r="BX15" s="3">
        <v>2.5000000000000001E-2</v>
      </c>
      <c r="BY15" s="3">
        <v>0.318</v>
      </c>
      <c r="BZ15" s="3">
        <v>8.0000000000000002E-3</v>
      </c>
      <c r="CA15" s="3">
        <v>0.10150000000000001</v>
      </c>
      <c r="CB15" s="3">
        <v>0.53100000000000003</v>
      </c>
      <c r="CC15" s="3">
        <v>5.8000000000000003E-2</v>
      </c>
      <c r="CD15" s="3">
        <v>0.15666666700000001</v>
      </c>
      <c r="CE15" s="3">
        <v>0.33900000000000002</v>
      </c>
      <c r="CF15" s="3">
        <v>5.0999999999999997E-2</v>
      </c>
      <c r="CG15" s="3">
        <v>5.3999999999999999E-2</v>
      </c>
      <c r="CH15" s="3">
        <v>0.33800000000000002</v>
      </c>
      <c r="CI15" s="3">
        <v>5.0999999999999997E-2</v>
      </c>
      <c r="CJ15" s="3">
        <v>1.7999999999999999E-2</v>
      </c>
      <c r="CK15" s="3">
        <v>0.47899999999999998</v>
      </c>
      <c r="CL15" s="3">
        <v>2.7E-2</v>
      </c>
      <c r="CM15" s="3">
        <v>0.1</v>
      </c>
      <c r="CN15" s="3">
        <v>0.47899999999999998</v>
      </c>
      <c r="CO15" s="3">
        <v>2.1000000000000001E-2</v>
      </c>
      <c r="CP15" s="3">
        <v>6.5333332999999993E-2</v>
      </c>
      <c r="CQ15" s="3">
        <v>0.36399999999999999</v>
      </c>
      <c r="CR15" s="3">
        <v>3.1E-2</v>
      </c>
      <c r="CS15" s="3">
        <v>3.4000000000000002E-2</v>
      </c>
      <c r="CT15" s="48" t="s">
        <v>309</v>
      </c>
      <c r="CU15" s="49" t="s">
        <v>336</v>
      </c>
      <c r="CV15" s="3">
        <v>2.4769999999999999</v>
      </c>
      <c r="CW15" s="3">
        <v>2.15</v>
      </c>
      <c r="CX15" s="3">
        <v>2.98</v>
      </c>
      <c r="CY15" s="3">
        <v>0.94899999999999995</v>
      </c>
      <c r="CZ15" s="3">
        <v>2.746</v>
      </c>
      <c r="DA15" s="3">
        <v>2.194</v>
      </c>
      <c r="DB15" s="3">
        <v>-5.0469999999999997</v>
      </c>
      <c r="DC15" s="3">
        <v>3.016</v>
      </c>
      <c r="DD15" s="3">
        <v>3.0670000000000002</v>
      </c>
      <c r="DE15" s="3">
        <v>3.06</v>
      </c>
      <c r="DF15" s="3">
        <v>3.379</v>
      </c>
      <c r="DG15" s="3">
        <v>1.92</v>
      </c>
      <c r="DH15" s="3">
        <v>2.2930000000000001</v>
      </c>
    </row>
    <row r="16" spans="1:116" x14ac:dyDescent="0.3">
      <c r="A16" s="48" t="s">
        <v>309</v>
      </c>
      <c r="B16" s="49" t="s">
        <v>337</v>
      </c>
      <c r="C16" s="3">
        <v>31.912896</v>
      </c>
      <c r="D16" s="3">
        <v>36.572608000000002</v>
      </c>
      <c r="E16" s="3">
        <v>36.572608000000002</v>
      </c>
      <c r="F16" s="3">
        <v>34.895338500000001</v>
      </c>
      <c r="G16" s="3">
        <v>34.895338500000001</v>
      </c>
      <c r="H16" s="3">
        <v>36.572608000000002</v>
      </c>
      <c r="I16" s="48" t="s">
        <v>309</v>
      </c>
      <c r="J16" s="49" t="s">
        <v>337</v>
      </c>
      <c r="K16" s="3">
        <v>48308.5</v>
      </c>
      <c r="L16" s="48" t="s">
        <v>309</v>
      </c>
      <c r="M16" s="49" t="s">
        <v>337</v>
      </c>
      <c r="N16" s="3">
        <v>4103.5905309999998</v>
      </c>
      <c r="O16" s="3">
        <v>6172.7542210000001</v>
      </c>
      <c r="P16" s="3">
        <v>3197.0821040000001</v>
      </c>
      <c r="Q16" s="3">
        <v>2938.363558</v>
      </c>
      <c r="R16" s="3">
        <v>6095.6041750000004</v>
      </c>
      <c r="S16" s="3">
        <v>7422.9775369999998</v>
      </c>
      <c r="T16" s="3">
        <v>5052.1052390000004</v>
      </c>
      <c r="U16" s="3">
        <v>7288.7856780000002</v>
      </c>
      <c r="V16" s="3">
        <v>3691.5010299999999</v>
      </c>
      <c r="W16" s="3">
        <v>2669.371752</v>
      </c>
      <c r="X16" s="3">
        <v>5498.1048529999998</v>
      </c>
      <c r="Y16" s="3">
        <v>482.20430720000002</v>
      </c>
      <c r="Z16" s="3">
        <v>1503.002913</v>
      </c>
      <c r="AA16" s="48" t="s">
        <v>309</v>
      </c>
      <c r="AB16" s="49" t="s">
        <v>337</v>
      </c>
      <c r="AC16" s="3">
        <v>2660.9744740000001</v>
      </c>
      <c r="AD16" s="3">
        <v>2517.7514160000001</v>
      </c>
      <c r="AE16" s="3">
        <v>1498.374861</v>
      </c>
      <c r="AF16" s="3">
        <v>454.91363380000001</v>
      </c>
      <c r="AG16" s="3">
        <v>4330.2204949999996</v>
      </c>
      <c r="AH16" s="3">
        <v>3435.343304</v>
      </c>
      <c r="AI16" s="3">
        <v>3054.733205</v>
      </c>
      <c r="AJ16" s="3">
        <v>3378.1216509999999</v>
      </c>
      <c r="AK16" s="3">
        <v>1414.085611</v>
      </c>
      <c r="AL16" s="3">
        <v>2053.888645</v>
      </c>
      <c r="AM16" s="3">
        <v>3605.9597530000001</v>
      </c>
      <c r="AN16" s="3">
        <v>422.96176750000001</v>
      </c>
      <c r="AO16" s="3">
        <v>1379.048818</v>
      </c>
      <c r="AP16" s="48" t="s">
        <v>309</v>
      </c>
      <c r="AQ16" s="49" t="s">
        <v>337</v>
      </c>
      <c r="AR16" s="3">
        <v>996.01480200000003</v>
      </c>
      <c r="AS16" s="3">
        <v>1489.5831579999999</v>
      </c>
      <c r="AT16" s="3">
        <v>1292.503929</v>
      </c>
      <c r="AU16" s="3">
        <v>1244.61069</v>
      </c>
      <c r="AV16" s="3">
        <v>480.316734</v>
      </c>
      <c r="AW16" s="3">
        <v>2137.2102450000002</v>
      </c>
      <c r="AX16" s="3">
        <v>1078.9726479999999</v>
      </c>
      <c r="AY16" s="3">
        <v>1591.621631</v>
      </c>
      <c r="AZ16" s="3">
        <v>798.42083700000001</v>
      </c>
      <c r="BA16" s="3">
        <v>559.42605149999997</v>
      </c>
      <c r="BB16" s="3">
        <v>635.13292950000005</v>
      </c>
      <c r="BC16" s="3">
        <v>191.77318650000001</v>
      </c>
      <c r="BD16" s="3">
        <v>1367.8104760000001</v>
      </c>
      <c r="BE16" s="48" t="s">
        <v>309</v>
      </c>
      <c r="BF16" s="49" t="s">
        <v>337</v>
      </c>
      <c r="BG16" s="3">
        <v>0.17399999999999999</v>
      </c>
      <c r="BH16" s="3">
        <v>8.8999999999999996E-2</v>
      </c>
      <c r="BI16" s="3">
        <v>0.107</v>
      </c>
      <c r="BJ16" s="3">
        <v>0.315</v>
      </c>
      <c r="BK16" s="3">
        <v>0.11700000000000001</v>
      </c>
      <c r="BL16" s="3">
        <v>0.27600000000000002</v>
      </c>
      <c r="BM16" s="3">
        <v>7.9000000000000001E-2</v>
      </c>
      <c r="BN16" s="3">
        <v>0.106</v>
      </c>
      <c r="BO16" s="3">
        <v>0.1105</v>
      </c>
      <c r="BP16" s="3">
        <v>7.2999999999999995E-2</v>
      </c>
      <c r="BQ16" s="3">
        <v>0.12</v>
      </c>
      <c r="BR16" s="3">
        <v>0.10666666700000001</v>
      </c>
      <c r="BS16" s="3">
        <v>0.215</v>
      </c>
      <c r="BT16" s="3">
        <v>0.06</v>
      </c>
      <c r="BU16" s="3">
        <v>0.13166666699999999</v>
      </c>
      <c r="BV16" s="3">
        <v>0.19900000000000001</v>
      </c>
      <c r="BW16" s="3">
        <v>3.5000000000000003E-2</v>
      </c>
      <c r="BX16" s="3">
        <v>2.1999999999999999E-2</v>
      </c>
      <c r="BY16" s="3">
        <v>0.30199999999999999</v>
      </c>
      <c r="BZ16" s="3">
        <v>1.4E-2</v>
      </c>
      <c r="CA16" s="3">
        <v>0.1135</v>
      </c>
      <c r="CB16" s="3">
        <v>0.44800000000000001</v>
      </c>
      <c r="CC16" s="3">
        <v>5.8000000000000003E-2</v>
      </c>
      <c r="CD16" s="3">
        <v>0.15633333299999999</v>
      </c>
      <c r="CE16" s="3">
        <v>0.28799999999999998</v>
      </c>
      <c r="CF16" s="3">
        <v>5.5E-2</v>
      </c>
      <c r="CG16" s="3">
        <v>5.6000000000000001E-2</v>
      </c>
      <c r="CH16" s="3">
        <v>0.28799999999999998</v>
      </c>
      <c r="CI16" s="3">
        <v>5.5E-2</v>
      </c>
      <c r="CJ16" s="3">
        <v>3.3333333E-2</v>
      </c>
      <c r="CK16" s="3">
        <v>0.34300000000000003</v>
      </c>
      <c r="CL16" s="3">
        <v>4.1000000000000002E-2</v>
      </c>
      <c r="CM16" s="3">
        <v>0.1</v>
      </c>
      <c r="CN16" s="3">
        <v>0.42099999999999999</v>
      </c>
      <c r="CO16" s="3">
        <v>0.03</v>
      </c>
      <c r="CP16" s="3">
        <v>6.9333332999999997E-2</v>
      </c>
      <c r="CQ16" s="3">
        <v>0.193</v>
      </c>
      <c r="CR16" s="3">
        <v>4.5999999999999999E-2</v>
      </c>
      <c r="CS16" s="3">
        <v>4.5999999999999999E-2</v>
      </c>
      <c r="CT16" s="48" t="s">
        <v>309</v>
      </c>
      <c r="CU16" s="49" t="s">
        <v>337</v>
      </c>
      <c r="CV16" s="3">
        <v>2.7559999999999998</v>
      </c>
      <c r="CW16" s="3">
        <v>2.4740000000000002</v>
      </c>
      <c r="CX16" s="3">
        <v>2.984</v>
      </c>
      <c r="CY16" s="3">
        <v>0.93700000000000006</v>
      </c>
      <c r="CZ16" s="3">
        <v>2.984</v>
      </c>
      <c r="DA16" s="3">
        <v>2.1579999999999999</v>
      </c>
      <c r="DB16" s="3">
        <v>-4.6479999999999997</v>
      </c>
      <c r="DC16" s="3">
        <v>3.3</v>
      </c>
      <c r="DD16" s="3">
        <v>3.2949999999999999</v>
      </c>
      <c r="DE16" s="3">
        <v>3.2839999999999998</v>
      </c>
      <c r="DF16" s="3">
        <v>3.306</v>
      </c>
      <c r="DG16" s="3">
        <v>1.77</v>
      </c>
      <c r="DH16" s="3">
        <v>2.0430000000000001</v>
      </c>
    </row>
    <row r="17" spans="1:112" x14ac:dyDescent="0.3">
      <c r="A17" s="48" t="s">
        <v>309</v>
      </c>
      <c r="B17" s="49" t="s">
        <v>338</v>
      </c>
      <c r="C17" s="3">
        <v>32.188800000000001</v>
      </c>
      <c r="D17" s="3">
        <v>36.350352000000001</v>
      </c>
      <c r="E17" s="3">
        <v>36.350352000000001</v>
      </c>
      <c r="F17" s="3">
        <v>35.734805999999999</v>
      </c>
      <c r="G17" s="3">
        <v>36.918897000000001</v>
      </c>
      <c r="H17" s="3">
        <v>36.350352000000001</v>
      </c>
      <c r="I17" s="48" t="s">
        <v>309</v>
      </c>
      <c r="J17" s="49" t="s">
        <v>338</v>
      </c>
      <c r="K17" s="3">
        <v>48351.5</v>
      </c>
      <c r="L17" s="48" t="s">
        <v>309</v>
      </c>
      <c r="M17" s="49" t="s">
        <v>338</v>
      </c>
      <c r="N17" s="3">
        <v>4313.7659940000003</v>
      </c>
      <c r="O17" s="3">
        <v>6670.2252909999997</v>
      </c>
      <c r="P17" s="3">
        <v>3449.1762939999999</v>
      </c>
      <c r="Q17" s="3">
        <v>3050.685673</v>
      </c>
      <c r="R17" s="3">
        <v>5974.8173699999998</v>
      </c>
      <c r="S17" s="3">
        <v>7758.1616260000001</v>
      </c>
      <c r="T17" s="3">
        <v>5000.0307080000002</v>
      </c>
      <c r="U17" s="3">
        <v>7272.5815060000004</v>
      </c>
      <c r="V17" s="3">
        <v>3612.0292049999998</v>
      </c>
      <c r="W17" s="3">
        <v>2655.1238589999998</v>
      </c>
      <c r="X17" s="3">
        <v>5844.5694240000003</v>
      </c>
      <c r="Y17" s="3">
        <v>481.90527109999999</v>
      </c>
      <c r="Z17" s="3">
        <v>1797.6827000000001</v>
      </c>
      <c r="AA17" s="48" t="s">
        <v>309</v>
      </c>
      <c r="AB17" s="49" t="s">
        <v>338</v>
      </c>
      <c r="AC17" s="3">
        <v>2564.6490210000002</v>
      </c>
      <c r="AD17" s="3">
        <v>2426.6105389999998</v>
      </c>
      <c r="AE17" s="3">
        <v>1444.1347169999999</v>
      </c>
      <c r="AF17" s="3">
        <v>438.44607180000003</v>
      </c>
      <c r="AG17" s="3">
        <v>4173.4694799999997</v>
      </c>
      <c r="AH17" s="3">
        <v>3310.98623</v>
      </c>
      <c r="AI17" s="3">
        <v>2955.5075320000001</v>
      </c>
      <c r="AJ17" s="3">
        <v>3255.8359610000002</v>
      </c>
      <c r="AK17" s="3">
        <v>1362.8966800000001</v>
      </c>
      <c r="AL17" s="3">
        <v>1979.5392830000001</v>
      </c>
      <c r="AM17" s="3">
        <v>3475.4264800000001</v>
      </c>
      <c r="AN17" s="3">
        <v>407.65084130000002</v>
      </c>
      <c r="AO17" s="3">
        <v>1329.128195</v>
      </c>
      <c r="AP17" s="48" t="s">
        <v>309</v>
      </c>
      <c r="AQ17" s="49" t="s">
        <v>338</v>
      </c>
      <c r="AR17" s="3">
        <v>963.95915319999995</v>
      </c>
      <c r="AS17" s="3">
        <v>1441.6425509999999</v>
      </c>
      <c r="AT17" s="3">
        <v>1250.906101</v>
      </c>
      <c r="AU17" s="3">
        <v>1204.5542539999999</v>
      </c>
      <c r="AV17" s="3">
        <v>464.8582644</v>
      </c>
      <c r="AW17" s="3">
        <v>2068.4264669999998</v>
      </c>
      <c r="AX17" s="3">
        <v>1066.158246</v>
      </c>
      <c r="AY17" s="3">
        <v>1540.3970260000001</v>
      </c>
      <c r="AZ17" s="3">
        <v>772.72453419999999</v>
      </c>
      <c r="BA17" s="3">
        <v>541.42153489999998</v>
      </c>
      <c r="BB17" s="3">
        <v>614.69186969999998</v>
      </c>
      <c r="BC17" s="3">
        <v>185.60117589999999</v>
      </c>
      <c r="BD17" s="3">
        <v>1323.78899</v>
      </c>
      <c r="BE17" s="48" t="s">
        <v>309</v>
      </c>
      <c r="BF17" s="49" t="s">
        <v>338</v>
      </c>
      <c r="BG17" s="3">
        <v>7.3999999999999996E-2</v>
      </c>
      <c r="BH17" s="3">
        <v>9.1999999999999998E-2</v>
      </c>
      <c r="BI17" s="3">
        <v>0.11</v>
      </c>
      <c r="BJ17" s="3">
        <v>0.156</v>
      </c>
      <c r="BK17" s="3">
        <v>0.12</v>
      </c>
      <c r="BL17" s="3">
        <v>0.28799999999999998</v>
      </c>
      <c r="BM17" s="3">
        <v>4.1000000000000002E-2</v>
      </c>
      <c r="BN17" s="3">
        <v>0.108</v>
      </c>
      <c r="BO17" s="3">
        <v>0.1095</v>
      </c>
      <c r="BP17" s="3">
        <v>4.1000000000000002E-2</v>
      </c>
      <c r="BQ17" s="3">
        <v>0.11700000000000001</v>
      </c>
      <c r="BR17" s="3">
        <v>9.4666666999999996E-2</v>
      </c>
      <c r="BS17" s="3">
        <v>0.111</v>
      </c>
      <c r="BT17" s="3">
        <v>6.7000000000000004E-2</v>
      </c>
      <c r="BU17" s="3">
        <v>0.130833334</v>
      </c>
      <c r="BV17" s="3">
        <v>0.10199999999999999</v>
      </c>
      <c r="BW17" s="3">
        <v>4.1000000000000002E-2</v>
      </c>
      <c r="BX17" s="3">
        <v>2.4E-2</v>
      </c>
      <c r="BY17" s="3">
        <v>0.20300000000000001</v>
      </c>
      <c r="BZ17" s="3">
        <v>2.4E-2</v>
      </c>
      <c r="CA17" s="3">
        <v>0.125</v>
      </c>
      <c r="CB17" s="3">
        <v>0.28599999999999998</v>
      </c>
      <c r="CC17" s="3">
        <v>6.2E-2</v>
      </c>
      <c r="CD17" s="3">
        <v>0.15166666700000001</v>
      </c>
      <c r="CE17" s="3">
        <v>0.14599999999999999</v>
      </c>
      <c r="CF17" s="3">
        <v>5.8999999999999997E-2</v>
      </c>
      <c r="CG17" s="3">
        <v>7.1999999999999995E-2</v>
      </c>
      <c r="CH17" s="3">
        <v>0.14899999999999999</v>
      </c>
      <c r="CI17" s="3">
        <v>5.8999999999999997E-2</v>
      </c>
      <c r="CJ17" s="3">
        <v>6.2333332999999998E-2</v>
      </c>
      <c r="CK17" s="3">
        <v>0.17199999999999999</v>
      </c>
      <c r="CL17" s="3">
        <v>5.3999999999999999E-2</v>
      </c>
      <c r="CM17" s="3">
        <v>0.1</v>
      </c>
      <c r="CN17" s="3">
        <v>0.28199999999999997</v>
      </c>
      <c r="CO17" s="3">
        <v>3.5999999999999997E-2</v>
      </c>
      <c r="CP17" s="3">
        <v>7.3666667000000005E-2</v>
      </c>
      <c r="CQ17" s="3">
        <v>8.5999999999999993E-2</v>
      </c>
      <c r="CR17" s="3">
        <v>6.0999999999999999E-2</v>
      </c>
      <c r="CS17" s="3">
        <v>6.4000000000000001E-2</v>
      </c>
      <c r="CT17" s="48" t="s">
        <v>309</v>
      </c>
      <c r="CU17" s="49" t="s">
        <v>338</v>
      </c>
      <c r="CV17" s="3">
        <v>2.504</v>
      </c>
      <c r="CW17" s="3">
        <v>2.2149999999999999</v>
      </c>
      <c r="CX17" s="3">
        <v>2.63</v>
      </c>
      <c r="CY17" s="3">
        <v>0.64300000000000002</v>
      </c>
      <c r="CZ17" s="3">
        <v>2.7919999999999998</v>
      </c>
      <c r="DA17" s="3">
        <v>1.6990000000000001</v>
      </c>
      <c r="DB17" s="3">
        <v>-5.093</v>
      </c>
      <c r="DC17" s="3">
        <v>3.1379999999999999</v>
      </c>
      <c r="DD17" s="3">
        <v>3.0790000000000002</v>
      </c>
      <c r="DE17" s="3">
        <v>3.0670000000000002</v>
      </c>
      <c r="DF17" s="3">
        <v>2.879</v>
      </c>
      <c r="DG17" s="3">
        <v>1.32</v>
      </c>
      <c r="DH17" s="3">
        <v>1.5429999999999999</v>
      </c>
    </row>
    <row r="18" spans="1:112" x14ac:dyDescent="0.3">
      <c r="A18" s="48" t="s">
        <v>309</v>
      </c>
      <c r="B18" s="49" t="s">
        <v>339</v>
      </c>
      <c r="C18" s="3">
        <v>32.732944000000003</v>
      </c>
      <c r="D18" s="3">
        <v>36.932816000000003</v>
      </c>
      <c r="E18" s="3">
        <v>36.932816000000003</v>
      </c>
      <c r="F18" s="3">
        <v>37.899748500000001</v>
      </c>
      <c r="G18" s="3">
        <v>39.145695000000003</v>
      </c>
      <c r="H18" s="3">
        <v>36.932816000000003</v>
      </c>
      <c r="I18" s="48" t="s">
        <v>309</v>
      </c>
      <c r="J18" s="49" t="s">
        <v>339</v>
      </c>
      <c r="K18" s="3">
        <v>48964</v>
      </c>
      <c r="L18" s="48" t="s">
        <v>309</v>
      </c>
      <c r="M18" s="49" t="s">
        <v>339</v>
      </c>
      <c r="N18" s="3">
        <v>4830.5731759999999</v>
      </c>
      <c r="O18" s="3">
        <v>7172.1987980000004</v>
      </c>
      <c r="P18" s="3">
        <v>3834.3827649999998</v>
      </c>
      <c r="Q18" s="3">
        <v>3294.503385</v>
      </c>
      <c r="R18" s="3">
        <v>6299.5793219999996</v>
      </c>
      <c r="S18" s="3">
        <v>7619.4607370000003</v>
      </c>
      <c r="T18" s="3">
        <v>5030.5443050000003</v>
      </c>
      <c r="U18" s="3">
        <v>7966.2111629999999</v>
      </c>
      <c r="V18" s="3">
        <v>3882.654657</v>
      </c>
      <c r="W18" s="3">
        <v>2883.88168</v>
      </c>
      <c r="X18" s="3">
        <v>6064.1865049999997</v>
      </c>
      <c r="Y18" s="3">
        <v>506.98844179999998</v>
      </c>
      <c r="Z18" s="3">
        <v>2122.84782</v>
      </c>
      <c r="AA18" s="48" t="s">
        <v>309</v>
      </c>
      <c r="AB18" s="49" t="s">
        <v>339</v>
      </c>
      <c r="AC18" s="3">
        <v>2529.1243869999998</v>
      </c>
      <c r="AD18" s="3">
        <v>2392.9979669999998</v>
      </c>
      <c r="AE18" s="3">
        <v>1424.131061</v>
      </c>
      <c r="AF18" s="3">
        <v>432.37286810000001</v>
      </c>
      <c r="AG18" s="3">
        <v>4115.6600200000003</v>
      </c>
      <c r="AH18" s="3">
        <v>3265.123591</v>
      </c>
      <c r="AI18" s="3">
        <v>2969.6826289999999</v>
      </c>
      <c r="AJ18" s="3">
        <v>3210.7372449999998</v>
      </c>
      <c r="AK18" s="3">
        <v>1344.0183059999999</v>
      </c>
      <c r="AL18" s="3">
        <v>1952.1193880000001</v>
      </c>
      <c r="AM18" s="3">
        <v>3427.2860719999999</v>
      </c>
      <c r="AN18" s="3">
        <v>402.00420250000002</v>
      </c>
      <c r="AO18" s="3">
        <v>1310.71757</v>
      </c>
      <c r="AP18" s="48" t="s">
        <v>309</v>
      </c>
      <c r="AQ18" s="49" t="s">
        <v>339</v>
      </c>
      <c r="AR18" s="3">
        <v>950.22101799999996</v>
      </c>
      <c r="AS18" s="3">
        <v>1421.0965759999999</v>
      </c>
      <c r="AT18" s="3">
        <v>1233.0784610000001</v>
      </c>
      <c r="AU18" s="3">
        <v>1187.3872100000001</v>
      </c>
      <c r="AV18" s="3">
        <v>458.233206</v>
      </c>
      <c r="AW18" s="3">
        <v>2038.947705</v>
      </c>
      <c r="AX18" s="3">
        <v>1078.9726479999999</v>
      </c>
      <c r="AY18" s="3">
        <v>1518.4436250000001</v>
      </c>
      <c r="AZ18" s="3">
        <v>761.71183299999996</v>
      </c>
      <c r="BA18" s="3">
        <v>533.70531349999999</v>
      </c>
      <c r="BB18" s="3">
        <v>605.93141549999996</v>
      </c>
      <c r="BC18" s="3">
        <v>182.9560285</v>
      </c>
      <c r="BD18" s="3">
        <v>1304.9226389999999</v>
      </c>
      <c r="BE18" s="48" t="s">
        <v>309</v>
      </c>
      <c r="BF18" s="49" t="s">
        <v>339</v>
      </c>
      <c r="BG18" s="3">
        <v>1.6E-2</v>
      </c>
      <c r="BH18" s="3">
        <v>0.10100000000000001</v>
      </c>
      <c r="BI18" s="3">
        <v>0.11749999999999999</v>
      </c>
      <c r="BJ18" s="3">
        <v>3.3000000000000002E-2</v>
      </c>
      <c r="BK18" s="3">
        <v>0.14099999999999999</v>
      </c>
      <c r="BL18" s="3">
        <v>0.3155</v>
      </c>
      <c r="BM18" s="3">
        <v>7.0000000000000001E-3</v>
      </c>
      <c r="BN18" s="3">
        <v>0.123</v>
      </c>
      <c r="BO18" s="3">
        <v>0.122</v>
      </c>
      <c r="BP18" s="3">
        <v>8.0000000000000002E-3</v>
      </c>
      <c r="BQ18" s="3">
        <v>0.13800000000000001</v>
      </c>
      <c r="BR18" s="3">
        <v>0.10566666700000001</v>
      </c>
      <c r="BS18" s="3">
        <v>2.8000000000000001E-2</v>
      </c>
      <c r="BT18" s="3">
        <v>7.2999999999999995E-2</v>
      </c>
      <c r="BU18" s="3">
        <v>0.13391666699999999</v>
      </c>
      <c r="BV18" s="3">
        <v>2.7E-2</v>
      </c>
      <c r="BW18" s="3">
        <v>4.4999999999999998E-2</v>
      </c>
      <c r="BX18" s="3">
        <v>2.4E-2</v>
      </c>
      <c r="BY18" s="3">
        <v>4.2000000000000003E-2</v>
      </c>
      <c r="BZ18" s="3">
        <v>3.5999999999999997E-2</v>
      </c>
      <c r="CA18" s="3">
        <v>0.1205</v>
      </c>
      <c r="CB18" s="3">
        <v>7.0999999999999994E-2</v>
      </c>
      <c r="CC18" s="3">
        <v>6.9000000000000006E-2</v>
      </c>
      <c r="CD18" s="3">
        <v>0.15033333300000001</v>
      </c>
      <c r="CE18" s="3">
        <v>0.05</v>
      </c>
      <c r="CF18" s="3">
        <v>6.3E-2</v>
      </c>
      <c r="CG18" s="3">
        <v>8.2000000000000003E-2</v>
      </c>
      <c r="CH18" s="3">
        <v>5.0999999999999997E-2</v>
      </c>
      <c r="CI18" s="3">
        <v>6.3E-2</v>
      </c>
      <c r="CJ18" s="3">
        <v>8.7999999999999995E-2</v>
      </c>
      <c r="CK18" s="3">
        <v>4.9000000000000002E-2</v>
      </c>
      <c r="CL18" s="3">
        <v>6.9000000000000006E-2</v>
      </c>
      <c r="CM18" s="3">
        <v>0.1</v>
      </c>
      <c r="CN18" s="3">
        <v>0.09</v>
      </c>
      <c r="CO18" s="3">
        <v>4.3999999999999997E-2</v>
      </c>
      <c r="CP18" s="3">
        <v>8.2000000000000003E-2</v>
      </c>
      <c r="CQ18" s="3">
        <v>2.8000000000000001E-2</v>
      </c>
      <c r="CR18" s="3">
        <v>7.1999999999999995E-2</v>
      </c>
      <c r="CS18" s="3">
        <v>7.8E-2</v>
      </c>
      <c r="CT18" s="48" t="s">
        <v>309</v>
      </c>
      <c r="CU18" s="49" t="s">
        <v>339</v>
      </c>
      <c r="CV18" s="3">
        <v>1.0449999999999999</v>
      </c>
      <c r="CW18" s="3">
        <v>0.66900000000000004</v>
      </c>
      <c r="CX18" s="3">
        <v>1.5669999999999999</v>
      </c>
      <c r="CY18" s="3">
        <v>-0.22800000000000001</v>
      </c>
      <c r="CZ18" s="3">
        <v>1.448</v>
      </c>
      <c r="DA18" s="3">
        <v>0.57199999999999995</v>
      </c>
      <c r="DB18" s="3">
        <v>-6.6210000000000004</v>
      </c>
      <c r="DC18" s="3">
        <v>1.897</v>
      </c>
      <c r="DD18" s="3">
        <v>1.7929999999999999</v>
      </c>
      <c r="DE18" s="3">
        <v>1.774</v>
      </c>
      <c r="DF18" s="3">
        <v>1.5840000000000001</v>
      </c>
      <c r="DG18" s="3">
        <v>0.315</v>
      </c>
      <c r="DH18" s="3">
        <v>0.58799999999999997</v>
      </c>
    </row>
    <row r="19" spans="1:112" x14ac:dyDescent="0.3">
      <c r="A19" s="48" t="s">
        <v>309</v>
      </c>
      <c r="B19" s="49" t="s">
        <v>340</v>
      </c>
      <c r="C19" s="3">
        <v>31.062192</v>
      </c>
      <c r="D19" s="3">
        <v>39.975423999999997</v>
      </c>
      <c r="E19" s="3">
        <v>39.975423999999997</v>
      </c>
      <c r="F19" s="3">
        <v>42.397526999999997</v>
      </c>
      <c r="G19" s="3">
        <v>43.802530500000003</v>
      </c>
      <c r="H19" s="3">
        <v>39.975423999999997</v>
      </c>
      <c r="I19" s="48" t="s">
        <v>309</v>
      </c>
      <c r="J19" s="49" t="s">
        <v>340</v>
      </c>
      <c r="K19" s="3">
        <v>51774</v>
      </c>
      <c r="L19" s="48" t="s">
        <v>309</v>
      </c>
      <c r="M19" s="49" t="s">
        <v>340</v>
      </c>
      <c r="N19" s="3">
        <v>7278.4889540000004</v>
      </c>
      <c r="O19" s="3">
        <v>9733.0709910000005</v>
      </c>
      <c r="P19" s="3">
        <v>5356.3553000000002</v>
      </c>
      <c r="Q19" s="3">
        <v>4762.7051929999998</v>
      </c>
      <c r="R19" s="3">
        <v>8849.4873399999997</v>
      </c>
      <c r="S19" s="3">
        <v>10639.0578</v>
      </c>
      <c r="T19" s="3">
        <v>7384.6864869999999</v>
      </c>
      <c r="U19" s="3">
        <v>10316.584860000001</v>
      </c>
      <c r="V19" s="3">
        <v>6029.8205639999996</v>
      </c>
      <c r="W19" s="3">
        <v>4713.0331409999999</v>
      </c>
      <c r="X19" s="3">
        <v>8610.7246290000003</v>
      </c>
      <c r="Y19" s="3">
        <v>905.14066260000004</v>
      </c>
      <c r="Z19" s="3">
        <v>3947.1092779999999</v>
      </c>
      <c r="AA19" s="48" t="s">
        <v>309</v>
      </c>
      <c r="AB19" s="49" t="s">
        <v>340</v>
      </c>
      <c r="AC19" s="3">
        <v>1966.3592920000001</v>
      </c>
      <c r="AD19" s="3">
        <v>1860.52288</v>
      </c>
      <c r="AE19" s="3">
        <v>1107.242238</v>
      </c>
      <c r="AF19" s="3">
        <v>336.16393529999999</v>
      </c>
      <c r="AG19" s="3">
        <v>3199.8688419999999</v>
      </c>
      <c r="AH19" s="3">
        <v>2538.5885109999999</v>
      </c>
      <c r="AI19" s="3">
        <v>2342.9910869999999</v>
      </c>
      <c r="AJ19" s="3">
        <v>2496.3038780000002</v>
      </c>
      <c r="AK19" s="3">
        <v>1044.955676</v>
      </c>
      <c r="AL19" s="3">
        <v>1517.745872</v>
      </c>
      <c r="AM19" s="3">
        <v>2664.6676010000001</v>
      </c>
      <c r="AN19" s="3">
        <v>312.5527171</v>
      </c>
      <c r="AO19" s="3">
        <v>1019.064814</v>
      </c>
      <c r="AP19" s="48" t="s">
        <v>309</v>
      </c>
      <c r="AQ19" s="49" t="s">
        <v>340</v>
      </c>
      <c r="AR19" s="3">
        <v>947.93132879999996</v>
      </c>
      <c r="AS19" s="3">
        <v>1417.672247</v>
      </c>
      <c r="AT19" s="3">
        <v>1230.107188</v>
      </c>
      <c r="AU19" s="3">
        <v>1184.526036</v>
      </c>
      <c r="AV19" s="3">
        <v>457.12902960000002</v>
      </c>
      <c r="AW19" s="3">
        <v>2034.034578</v>
      </c>
      <c r="AX19" s="3">
        <v>1066.158246</v>
      </c>
      <c r="AY19" s="3">
        <v>1514.7847240000001</v>
      </c>
      <c r="AZ19" s="3">
        <v>759.87638279999999</v>
      </c>
      <c r="BA19" s="3">
        <v>532.41927659999999</v>
      </c>
      <c r="BB19" s="3">
        <v>604.47133980000001</v>
      </c>
      <c r="BC19" s="3">
        <v>182.5151706</v>
      </c>
      <c r="BD19" s="3">
        <v>1301.778247</v>
      </c>
      <c r="BE19" s="48" t="s">
        <v>309</v>
      </c>
      <c r="BF19" s="49" t="s">
        <v>340</v>
      </c>
      <c r="BG19" s="3">
        <v>0</v>
      </c>
      <c r="BH19" s="3">
        <v>0.108</v>
      </c>
      <c r="BI19" s="3">
        <v>0.1245</v>
      </c>
      <c r="BJ19" s="3">
        <v>0</v>
      </c>
      <c r="BK19" s="3">
        <v>0.16300000000000001</v>
      </c>
      <c r="BL19" s="3">
        <v>0.33900000000000002</v>
      </c>
      <c r="BM19" s="3">
        <v>0</v>
      </c>
      <c r="BN19" s="3">
        <v>0.13</v>
      </c>
      <c r="BO19" s="3">
        <v>0.1285</v>
      </c>
      <c r="BP19" s="3">
        <v>0</v>
      </c>
      <c r="BQ19" s="3">
        <v>0.16</v>
      </c>
      <c r="BR19" s="3">
        <v>0.121333333</v>
      </c>
      <c r="BS19" s="3">
        <v>0</v>
      </c>
      <c r="BT19" s="3">
        <v>7.2999999999999995E-2</v>
      </c>
      <c r="BU19" s="3">
        <v>0.134583334</v>
      </c>
      <c r="BV19" s="3">
        <v>0</v>
      </c>
      <c r="BW19" s="3">
        <v>3.9E-2</v>
      </c>
      <c r="BX19" s="3">
        <v>2.1000000000000001E-2</v>
      </c>
      <c r="BY19" s="3">
        <v>0</v>
      </c>
      <c r="BZ19" s="3">
        <v>5.8999999999999997E-2</v>
      </c>
      <c r="CA19" s="3">
        <v>0.11650000000000001</v>
      </c>
      <c r="CB19" s="3">
        <v>0</v>
      </c>
      <c r="CC19" s="3">
        <v>6.9000000000000006E-2</v>
      </c>
      <c r="CD19" s="3">
        <v>0.144666667</v>
      </c>
      <c r="CE19" s="3">
        <v>0</v>
      </c>
      <c r="CF19" s="3">
        <v>5.8999999999999997E-2</v>
      </c>
      <c r="CG19" s="3">
        <v>7.8E-2</v>
      </c>
      <c r="CH19" s="3">
        <v>0</v>
      </c>
      <c r="CI19" s="3">
        <v>5.8000000000000003E-2</v>
      </c>
      <c r="CJ19" s="3">
        <v>9.3666666999999995E-2</v>
      </c>
      <c r="CK19" s="3">
        <v>0</v>
      </c>
      <c r="CL19" s="3">
        <v>7.0000000000000007E-2</v>
      </c>
      <c r="CM19" s="3">
        <v>0.1</v>
      </c>
      <c r="CN19" s="3">
        <v>0</v>
      </c>
      <c r="CO19" s="3">
        <v>4.4999999999999998E-2</v>
      </c>
      <c r="CP19" s="3">
        <v>9.1333333000000003E-2</v>
      </c>
      <c r="CQ19" s="3">
        <v>0</v>
      </c>
      <c r="CR19" s="3">
        <v>7.0000000000000007E-2</v>
      </c>
      <c r="CS19" s="3">
        <v>7.9000000000000001E-2</v>
      </c>
      <c r="CT19" s="48" t="s">
        <v>309</v>
      </c>
      <c r="CU19" s="49" t="s">
        <v>340</v>
      </c>
      <c r="CV19" s="3">
        <v>-0.14799999999999999</v>
      </c>
      <c r="CW19" s="3">
        <v>-0.76800000000000002</v>
      </c>
      <c r="CX19" s="3">
        <v>0.51200000000000001</v>
      </c>
      <c r="CY19" s="3">
        <v>-0.99399999999999999</v>
      </c>
      <c r="CZ19" s="3">
        <v>-4.2999999999999997E-2</v>
      </c>
      <c r="DA19" s="3">
        <v>-0.28599999999999998</v>
      </c>
      <c r="DB19" s="3">
        <v>-8.01</v>
      </c>
      <c r="DC19" s="3">
        <v>0.94699999999999995</v>
      </c>
      <c r="DD19" s="3">
        <v>0.34899999999999998</v>
      </c>
      <c r="DE19" s="3">
        <v>0.32600000000000001</v>
      </c>
      <c r="DF19" s="3">
        <v>0.56799999999999995</v>
      </c>
      <c r="DG19" s="3">
        <v>-0.38800000000000001</v>
      </c>
      <c r="DH19" s="3">
        <v>-0.154</v>
      </c>
    </row>
    <row r="20" spans="1:112" x14ac:dyDescent="0.3">
      <c r="A20" s="48" t="s">
        <v>309</v>
      </c>
      <c r="B20" s="49" t="s">
        <v>341</v>
      </c>
      <c r="C20" s="3">
        <v>104.889504</v>
      </c>
      <c r="D20" s="3">
        <v>49.586080000000003</v>
      </c>
      <c r="E20" s="3">
        <v>43.117663999999998</v>
      </c>
      <c r="F20" s="3">
        <v>42.5477475</v>
      </c>
      <c r="G20" s="3">
        <v>43.952750999999999</v>
      </c>
      <c r="H20" s="3">
        <v>49.586080000000003</v>
      </c>
      <c r="I20" s="48" t="s">
        <v>309</v>
      </c>
      <c r="J20" s="49" t="s">
        <v>341</v>
      </c>
      <c r="K20" s="3">
        <v>53718</v>
      </c>
      <c r="L20" s="48" t="s">
        <v>309</v>
      </c>
      <c r="M20" s="49" t="s">
        <v>341</v>
      </c>
      <c r="N20" s="3">
        <v>9840.4612149999994</v>
      </c>
      <c r="O20" s="3">
        <v>12983.89676</v>
      </c>
      <c r="P20" s="3">
        <v>7087.3260110000001</v>
      </c>
      <c r="Q20" s="3">
        <v>5888.4462039999999</v>
      </c>
      <c r="R20" s="3">
        <v>11723.28386</v>
      </c>
      <c r="S20" s="3">
        <v>14253.212170000001</v>
      </c>
      <c r="T20" s="3">
        <v>9308.0030690000003</v>
      </c>
      <c r="U20" s="3">
        <v>13754.578890000001</v>
      </c>
      <c r="V20" s="3">
        <v>9572.6664099999998</v>
      </c>
      <c r="W20" s="3">
        <v>7766.7640270000002</v>
      </c>
      <c r="X20" s="3">
        <v>11149.947179999999</v>
      </c>
      <c r="Y20" s="3">
        <v>1255.2005859999999</v>
      </c>
      <c r="Z20" s="3">
        <v>5589.2616019999996</v>
      </c>
      <c r="AA20" s="48" t="s">
        <v>309</v>
      </c>
      <c r="AB20" s="49" t="s">
        <v>341</v>
      </c>
      <c r="AC20" s="3">
        <v>1981.2184299999999</v>
      </c>
      <c r="AD20" s="3">
        <v>1874.5822470000001</v>
      </c>
      <c r="AE20" s="3">
        <v>1115.6093069999999</v>
      </c>
      <c r="AF20" s="3">
        <v>338.70421690000001</v>
      </c>
      <c r="AG20" s="3">
        <v>3224.049211</v>
      </c>
      <c r="AH20" s="3">
        <v>2557.7718</v>
      </c>
      <c r="AI20" s="3">
        <v>2366.4209980000001</v>
      </c>
      <c r="AJ20" s="3">
        <v>2515.1676349999998</v>
      </c>
      <c r="AK20" s="3">
        <v>1052.852067</v>
      </c>
      <c r="AL20" s="3">
        <v>1529.214984</v>
      </c>
      <c r="AM20" s="3">
        <v>2684.8036280000001</v>
      </c>
      <c r="AN20" s="3">
        <v>314.91457639999999</v>
      </c>
      <c r="AO20" s="3">
        <v>1026.7655560000001</v>
      </c>
      <c r="AP20" s="48" t="s">
        <v>309</v>
      </c>
      <c r="AQ20" s="49" t="s">
        <v>341</v>
      </c>
      <c r="AR20" s="3">
        <v>975.40759920000005</v>
      </c>
      <c r="AS20" s="3">
        <v>1458.764197</v>
      </c>
      <c r="AT20" s="3">
        <v>1265.7624679999999</v>
      </c>
      <c r="AU20" s="3">
        <v>1218.860124</v>
      </c>
      <c r="AV20" s="3">
        <v>470.37914640000002</v>
      </c>
      <c r="AW20" s="3">
        <v>2092.9921020000002</v>
      </c>
      <c r="AX20" s="3">
        <v>1091.7870499999999</v>
      </c>
      <c r="AY20" s="3">
        <v>1558.6915280000001</v>
      </c>
      <c r="AZ20" s="3">
        <v>781.90178519999995</v>
      </c>
      <c r="BA20" s="3">
        <v>547.85171939999998</v>
      </c>
      <c r="BB20" s="3">
        <v>621.99224819999995</v>
      </c>
      <c r="BC20" s="3">
        <v>187.8054654</v>
      </c>
      <c r="BD20" s="3">
        <v>1339.510949</v>
      </c>
      <c r="BE20" s="48" t="s">
        <v>309</v>
      </c>
      <c r="BF20" s="49" t="s">
        <v>341</v>
      </c>
      <c r="BG20" s="3">
        <v>0</v>
      </c>
      <c r="BH20" s="3">
        <v>9.9000000000000005E-2</v>
      </c>
      <c r="BI20" s="3">
        <v>0.1275</v>
      </c>
      <c r="BJ20" s="3">
        <v>0</v>
      </c>
      <c r="BK20" s="3">
        <v>0.155</v>
      </c>
      <c r="BL20" s="3">
        <v>0.33</v>
      </c>
      <c r="BM20" s="3">
        <v>0</v>
      </c>
      <c r="BN20" s="3">
        <v>0.113</v>
      </c>
      <c r="BO20" s="3">
        <v>0.1265</v>
      </c>
      <c r="BP20" s="3">
        <v>0</v>
      </c>
      <c r="BQ20" s="3">
        <v>0.155</v>
      </c>
      <c r="BR20" s="3">
        <v>0.13300000000000001</v>
      </c>
      <c r="BS20" s="3">
        <v>0</v>
      </c>
      <c r="BT20" s="3">
        <v>5.8999999999999997E-2</v>
      </c>
      <c r="BU20" s="3">
        <v>0.131583334</v>
      </c>
      <c r="BV20" s="3">
        <v>0</v>
      </c>
      <c r="BW20" s="3">
        <v>2.5999999999999999E-2</v>
      </c>
      <c r="BX20" s="3">
        <v>1.7999999999999999E-2</v>
      </c>
      <c r="BY20" s="3">
        <v>0</v>
      </c>
      <c r="BZ20" s="3">
        <v>8.7999999999999995E-2</v>
      </c>
      <c r="CA20" s="3">
        <v>0.13750000000000001</v>
      </c>
      <c r="CB20" s="3">
        <v>0</v>
      </c>
      <c r="CC20" s="3">
        <v>5.7000000000000002E-2</v>
      </c>
      <c r="CD20" s="3">
        <v>0.13566666699999999</v>
      </c>
      <c r="CE20" s="3">
        <v>0</v>
      </c>
      <c r="CF20" s="3">
        <v>4.4999999999999998E-2</v>
      </c>
      <c r="CG20" s="3">
        <v>6.1499999999999999E-2</v>
      </c>
      <c r="CH20" s="3">
        <v>0</v>
      </c>
      <c r="CI20" s="3">
        <v>4.4999999999999998E-2</v>
      </c>
      <c r="CJ20" s="3">
        <v>8.4333332999999996E-2</v>
      </c>
      <c r="CK20" s="3">
        <v>0</v>
      </c>
      <c r="CL20" s="3">
        <v>5.7000000000000002E-2</v>
      </c>
      <c r="CM20" s="3">
        <v>0.1</v>
      </c>
      <c r="CN20" s="3">
        <v>0</v>
      </c>
      <c r="CO20" s="3">
        <v>4.2999999999999997E-2</v>
      </c>
      <c r="CP20" s="3">
        <v>9.6666666999999998E-2</v>
      </c>
      <c r="CQ20" s="3">
        <v>0</v>
      </c>
      <c r="CR20" s="3">
        <v>5.7000000000000002E-2</v>
      </c>
      <c r="CS20" s="3">
        <v>6.6000000000000003E-2</v>
      </c>
      <c r="CT20" s="48" t="s">
        <v>309</v>
      </c>
      <c r="CU20" s="49" t="s">
        <v>341</v>
      </c>
      <c r="CV20" s="3">
        <v>-0.41399999999999998</v>
      </c>
      <c r="CW20" s="3">
        <v>-1.046</v>
      </c>
      <c r="CX20" s="3">
        <v>0.23499999999999999</v>
      </c>
      <c r="CY20" s="3">
        <v>-1.1220000000000001</v>
      </c>
      <c r="CZ20" s="3">
        <v>-0.38600000000000001</v>
      </c>
      <c r="DA20" s="3">
        <v>-0.22900000000000001</v>
      </c>
      <c r="DB20" s="3">
        <v>-8.6</v>
      </c>
      <c r="DC20" s="3">
        <v>0.92400000000000004</v>
      </c>
      <c r="DD20" s="3">
        <v>0.16300000000000001</v>
      </c>
      <c r="DE20" s="3">
        <v>0.14399999999999999</v>
      </c>
      <c r="DF20" s="3">
        <v>0.53800000000000003</v>
      </c>
      <c r="DG20" s="3">
        <v>-0.46400000000000002</v>
      </c>
      <c r="DH20" s="3">
        <v>-0.105</v>
      </c>
    </row>
    <row r="21" spans="1:112" x14ac:dyDescent="0.3">
      <c r="A21" s="48" t="s">
        <v>309</v>
      </c>
      <c r="B21" s="49" t="s">
        <v>342</v>
      </c>
      <c r="C21" s="3">
        <v>104.889504</v>
      </c>
      <c r="D21" s="3">
        <v>42.083024000000002</v>
      </c>
      <c r="E21" s="3">
        <v>40.588543999999999</v>
      </c>
      <c r="F21" s="3">
        <v>36.644965499999998</v>
      </c>
      <c r="G21" s="3">
        <v>39.578683499999997</v>
      </c>
      <c r="H21" s="3">
        <v>42.083024000000002</v>
      </c>
      <c r="I21" s="48" t="s">
        <v>309</v>
      </c>
      <c r="J21" s="49" t="s">
        <v>342</v>
      </c>
      <c r="K21" s="3">
        <v>52801.5</v>
      </c>
      <c r="L21" s="48" t="s">
        <v>309</v>
      </c>
      <c r="M21" s="49" t="s">
        <v>342</v>
      </c>
      <c r="N21" s="3">
        <v>11070.574860000001</v>
      </c>
      <c r="O21" s="3">
        <v>14367.541639999999</v>
      </c>
      <c r="P21" s="3">
        <v>7924.8459359999997</v>
      </c>
      <c r="Q21" s="3">
        <v>6329.2870270000003</v>
      </c>
      <c r="R21" s="3">
        <v>13410.712390000001</v>
      </c>
      <c r="S21" s="3">
        <v>15924.973040000001</v>
      </c>
      <c r="T21" s="3">
        <v>10373.776320000001</v>
      </c>
      <c r="U21" s="3">
        <v>15849.359049999999</v>
      </c>
      <c r="V21" s="3">
        <v>11056.38264</v>
      </c>
      <c r="W21" s="3">
        <v>9291.944383</v>
      </c>
      <c r="X21" s="3">
        <v>12077.313410000001</v>
      </c>
      <c r="Y21" s="3">
        <v>1437.332576</v>
      </c>
      <c r="Z21" s="3">
        <v>6686.991626</v>
      </c>
      <c r="AA21" s="48" t="s">
        <v>309</v>
      </c>
      <c r="AB21" s="49" t="s">
        <v>342</v>
      </c>
      <c r="AC21" s="3">
        <v>1877.204463</v>
      </c>
      <c r="AD21" s="3">
        <v>1776.1666789999999</v>
      </c>
      <c r="AE21" s="3">
        <v>1057.0398190000001</v>
      </c>
      <c r="AF21" s="3">
        <v>320.9222456</v>
      </c>
      <c r="AG21" s="3">
        <v>3054.786627</v>
      </c>
      <c r="AH21" s="3">
        <v>2423.4887800000001</v>
      </c>
      <c r="AI21" s="3">
        <v>2319.561177</v>
      </c>
      <c r="AJ21" s="3">
        <v>2383.1213339999999</v>
      </c>
      <c r="AK21" s="3">
        <v>997.57733329999996</v>
      </c>
      <c r="AL21" s="3">
        <v>1448.9311970000001</v>
      </c>
      <c r="AM21" s="3">
        <v>2543.8514380000001</v>
      </c>
      <c r="AN21" s="3">
        <v>298.3815611</v>
      </c>
      <c r="AO21" s="3">
        <v>972.860364</v>
      </c>
      <c r="AP21" s="48" t="s">
        <v>309</v>
      </c>
      <c r="AQ21" s="49" t="s">
        <v>342</v>
      </c>
      <c r="AR21" s="3">
        <v>970.82822080000005</v>
      </c>
      <c r="AS21" s="3">
        <v>1451.915538</v>
      </c>
      <c r="AT21" s="3">
        <v>1259.8199219999999</v>
      </c>
      <c r="AU21" s="3">
        <v>1213.137776</v>
      </c>
      <c r="AV21" s="3">
        <v>468.17079360000002</v>
      </c>
      <c r="AW21" s="3">
        <v>2083.1658480000001</v>
      </c>
      <c r="AX21" s="3">
        <v>1068.721127</v>
      </c>
      <c r="AY21" s="3">
        <v>1551.3737269999999</v>
      </c>
      <c r="AZ21" s="3">
        <v>778.23088480000001</v>
      </c>
      <c r="BA21" s="3">
        <v>545.27964559999998</v>
      </c>
      <c r="BB21" s="3">
        <v>619.07209680000005</v>
      </c>
      <c r="BC21" s="3">
        <v>186.92374960000001</v>
      </c>
      <c r="BD21" s="3">
        <v>1333.222166</v>
      </c>
      <c r="BE21" s="48" t="s">
        <v>309</v>
      </c>
      <c r="BF21" s="49" t="s">
        <v>342</v>
      </c>
      <c r="BG21" s="3">
        <v>0</v>
      </c>
      <c r="BH21" s="3">
        <v>8.1000000000000003E-2</v>
      </c>
      <c r="BI21" s="3">
        <v>0.1275</v>
      </c>
      <c r="BJ21" s="3">
        <v>0</v>
      </c>
      <c r="BK21" s="3">
        <v>0.13100000000000001</v>
      </c>
      <c r="BL21" s="3">
        <v>0.307</v>
      </c>
      <c r="BM21" s="3">
        <v>0</v>
      </c>
      <c r="BN21" s="3">
        <v>8.5999999999999993E-2</v>
      </c>
      <c r="BO21" s="3">
        <v>0.121</v>
      </c>
      <c r="BP21" s="3">
        <v>0</v>
      </c>
      <c r="BQ21" s="3">
        <v>0.13500000000000001</v>
      </c>
      <c r="BR21" s="3">
        <v>0.14233333300000001</v>
      </c>
      <c r="BS21" s="3">
        <v>0</v>
      </c>
      <c r="BT21" s="3">
        <v>3.7999999999999999E-2</v>
      </c>
      <c r="BU21" s="3">
        <v>0.121083334</v>
      </c>
      <c r="BV21" s="3">
        <v>0</v>
      </c>
      <c r="BW21" s="3">
        <v>1.2999999999999999E-2</v>
      </c>
      <c r="BX21" s="3">
        <v>1.7999999999999999E-2</v>
      </c>
      <c r="BY21" s="3">
        <v>0</v>
      </c>
      <c r="BZ21" s="3">
        <v>0.11700000000000001</v>
      </c>
      <c r="CA21" s="3">
        <v>0.183</v>
      </c>
      <c r="CB21" s="3">
        <v>0</v>
      </c>
      <c r="CC21" s="3">
        <v>3.7999999999999999E-2</v>
      </c>
      <c r="CD21" s="3">
        <v>0.114666667</v>
      </c>
      <c r="CE21" s="3">
        <v>0</v>
      </c>
      <c r="CF21" s="3">
        <v>2.5999999999999999E-2</v>
      </c>
      <c r="CG21" s="3">
        <v>3.9E-2</v>
      </c>
      <c r="CH21" s="3">
        <v>0</v>
      </c>
      <c r="CI21" s="3">
        <v>2.5999999999999999E-2</v>
      </c>
      <c r="CJ21" s="3">
        <v>7.8E-2</v>
      </c>
      <c r="CK21" s="3">
        <v>0</v>
      </c>
      <c r="CL21" s="3">
        <v>3.7999999999999999E-2</v>
      </c>
      <c r="CM21" s="3">
        <v>0.1</v>
      </c>
      <c r="CN21" s="3">
        <v>0</v>
      </c>
      <c r="CO21" s="3">
        <v>3.7999999999999999E-2</v>
      </c>
      <c r="CP21" s="3">
        <v>9.7666666999999999E-2</v>
      </c>
      <c r="CQ21" s="3">
        <v>0</v>
      </c>
      <c r="CR21" s="3">
        <v>3.9E-2</v>
      </c>
      <c r="CS21" s="3">
        <v>5.1999999999999998E-2</v>
      </c>
      <c r="CT21" s="48" t="s">
        <v>309</v>
      </c>
      <c r="CU21" s="49" t="s">
        <v>342</v>
      </c>
      <c r="CV21" s="3">
        <v>-0.61099999999999999</v>
      </c>
      <c r="CW21" s="3">
        <v>-1.232</v>
      </c>
      <c r="CX21" s="3">
        <v>3.0000000000000001E-3</v>
      </c>
      <c r="CY21" s="3">
        <v>-1.1379999999999999</v>
      </c>
      <c r="CZ21" s="3">
        <v>-0.41899999999999998</v>
      </c>
      <c r="DA21" s="3">
        <v>-5.1999999999999998E-2</v>
      </c>
      <c r="DB21" s="3">
        <v>-8.5069999999999997</v>
      </c>
      <c r="DC21" s="3">
        <v>1.024</v>
      </c>
      <c r="DD21" s="3">
        <v>0.22900000000000001</v>
      </c>
      <c r="DE21" s="3">
        <v>0.214</v>
      </c>
      <c r="DF21" s="3">
        <v>0.65500000000000003</v>
      </c>
      <c r="DG21" s="3">
        <v>-0.45</v>
      </c>
      <c r="DH21" s="3">
        <v>0.114</v>
      </c>
    </row>
    <row r="22" spans="1:112" x14ac:dyDescent="0.3">
      <c r="A22" s="48" t="s">
        <v>309</v>
      </c>
      <c r="B22" s="49" t="s">
        <v>343</v>
      </c>
      <c r="C22" s="3">
        <v>34.288736</v>
      </c>
      <c r="D22" s="3">
        <v>39.117055999999998</v>
      </c>
      <c r="E22" s="3">
        <v>34.488</v>
      </c>
      <c r="F22" s="3">
        <v>34.0293615</v>
      </c>
      <c r="G22" s="3">
        <v>34.312129499999998</v>
      </c>
      <c r="H22" s="3">
        <v>39.117055999999998</v>
      </c>
      <c r="I22" s="48" t="s">
        <v>309</v>
      </c>
      <c r="J22" s="49" t="s">
        <v>343</v>
      </c>
      <c r="K22" s="3">
        <v>51401.5</v>
      </c>
      <c r="L22" s="48" t="s">
        <v>309</v>
      </c>
      <c r="M22" s="49" t="s">
        <v>343</v>
      </c>
      <c r="N22" s="3">
        <v>11680.230320000001</v>
      </c>
      <c r="O22" s="3">
        <v>15316.194100000001</v>
      </c>
      <c r="P22" s="3">
        <v>8618.742193</v>
      </c>
      <c r="Q22" s="3">
        <v>6879.2825839999996</v>
      </c>
      <c r="R22" s="3">
        <v>14849.51714</v>
      </c>
      <c r="S22" s="3">
        <v>17357.471969999999</v>
      </c>
      <c r="T22" s="3">
        <v>11610.19289</v>
      </c>
      <c r="U22" s="3">
        <v>17037.380990000001</v>
      </c>
      <c r="V22" s="3">
        <v>11446.119640000001</v>
      </c>
      <c r="W22" s="3">
        <v>9844.821269</v>
      </c>
      <c r="X22" s="3">
        <v>12818.42244</v>
      </c>
      <c r="Y22" s="3">
        <v>1579.0916549999999</v>
      </c>
      <c r="Z22" s="3">
        <v>6930.6447699999999</v>
      </c>
      <c r="AA22" s="48" t="s">
        <v>309</v>
      </c>
      <c r="AB22" s="49" t="s">
        <v>343</v>
      </c>
      <c r="AC22" s="3">
        <v>1289.7731980000001</v>
      </c>
      <c r="AD22" s="3">
        <v>1220.3530430000001</v>
      </c>
      <c r="AE22" s="3">
        <v>726.26165909999997</v>
      </c>
      <c r="AF22" s="3">
        <v>220.49644520000001</v>
      </c>
      <c r="AG22" s="3">
        <v>2098.8560360000001</v>
      </c>
      <c r="AH22" s="3">
        <v>1665.1094419999999</v>
      </c>
      <c r="AI22" s="3">
        <v>1582.69048</v>
      </c>
      <c r="AJ22" s="3">
        <v>1637.3741299999999</v>
      </c>
      <c r="AK22" s="3">
        <v>685.40669549999996</v>
      </c>
      <c r="AL22" s="3">
        <v>995.51895469999999</v>
      </c>
      <c r="AM22" s="3">
        <v>1747.8071620000001</v>
      </c>
      <c r="AN22" s="3">
        <v>205.00938919999999</v>
      </c>
      <c r="AO22" s="3">
        <v>668.42437670000004</v>
      </c>
      <c r="AP22" s="48" t="s">
        <v>309</v>
      </c>
      <c r="AQ22" s="49" t="s">
        <v>343</v>
      </c>
      <c r="AR22" s="3">
        <v>954.80039639999995</v>
      </c>
      <c r="AS22" s="3">
        <v>1427.9452349999999</v>
      </c>
      <c r="AT22" s="3">
        <v>1239.0210079999999</v>
      </c>
      <c r="AU22" s="3">
        <v>1193.1095580000001</v>
      </c>
      <c r="AV22" s="3">
        <v>460.4415588</v>
      </c>
      <c r="AW22" s="3">
        <v>2048.7739590000001</v>
      </c>
      <c r="AX22" s="3">
        <v>1055.9067250000001</v>
      </c>
      <c r="AY22" s="3">
        <v>1525.7614249999999</v>
      </c>
      <c r="AZ22" s="3">
        <v>765.38273340000001</v>
      </c>
      <c r="BA22" s="3">
        <v>536.27738729999999</v>
      </c>
      <c r="BB22" s="3">
        <v>608.85156689999997</v>
      </c>
      <c r="BC22" s="3">
        <v>183.8377443</v>
      </c>
      <c r="BD22" s="3">
        <v>1311.2114220000001</v>
      </c>
      <c r="BE22" s="48" t="s">
        <v>309</v>
      </c>
      <c r="BF22" s="49" t="s">
        <v>343</v>
      </c>
      <c r="BG22" s="3">
        <v>0</v>
      </c>
      <c r="BH22" s="3">
        <v>6.0999999999999999E-2</v>
      </c>
      <c r="BI22" s="3">
        <v>0.126</v>
      </c>
      <c r="BJ22" s="3">
        <v>0</v>
      </c>
      <c r="BK22" s="3">
        <v>0.105</v>
      </c>
      <c r="BL22" s="3">
        <v>0.28100000000000003</v>
      </c>
      <c r="BM22" s="3">
        <v>0</v>
      </c>
      <c r="BN22" s="3">
        <v>5.8999999999999997E-2</v>
      </c>
      <c r="BO22" s="3">
        <v>0.115</v>
      </c>
      <c r="BP22" s="3">
        <v>0</v>
      </c>
      <c r="BQ22" s="3">
        <v>0.113</v>
      </c>
      <c r="BR22" s="3">
        <v>0.15366666700000001</v>
      </c>
      <c r="BS22" s="3">
        <v>0</v>
      </c>
      <c r="BT22" s="3">
        <v>1.7999999999999999E-2</v>
      </c>
      <c r="BU22" s="3">
        <v>0.103666667</v>
      </c>
      <c r="BV22" s="3">
        <v>0</v>
      </c>
      <c r="BW22" s="3">
        <v>6.0000000000000001E-3</v>
      </c>
      <c r="BX22" s="3">
        <v>2.5000000000000001E-2</v>
      </c>
      <c r="BY22" s="3">
        <v>0</v>
      </c>
      <c r="BZ22" s="3">
        <v>0.14000000000000001</v>
      </c>
      <c r="CA22" s="3">
        <v>0.22950000000000001</v>
      </c>
      <c r="CB22" s="3">
        <v>0</v>
      </c>
      <c r="CC22" s="3">
        <v>0.02</v>
      </c>
      <c r="CD22" s="3">
        <v>8.1333332999999994E-2</v>
      </c>
      <c r="CE22" s="3">
        <v>0</v>
      </c>
      <c r="CF22" s="3">
        <v>8.9999999999999993E-3</v>
      </c>
      <c r="CG22" s="3">
        <v>1.8499999999999999E-2</v>
      </c>
      <c r="CH22" s="3">
        <v>0</v>
      </c>
      <c r="CI22" s="3">
        <v>8.0000000000000002E-3</v>
      </c>
      <c r="CJ22" s="3">
        <v>9.1999999999999998E-2</v>
      </c>
      <c r="CK22" s="3">
        <v>0</v>
      </c>
      <c r="CL22" s="3">
        <v>2.9000000000000001E-2</v>
      </c>
      <c r="CM22" s="3">
        <v>0.1</v>
      </c>
      <c r="CN22" s="3">
        <v>0</v>
      </c>
      <c r="CO22" s="3">
        <v>3.6999999999999998E-2</v>
      </c>
      <c r="CP22" s="3">
        <v>0.1</v>
      </c>
      <c r="CQ22" s="3">
        <v>0</v>
      </c>
      <c r="CR22" s="3">
        <v>0.03</v>
      </c>
      <c r="CS22" s="3">
        <v>5.8000000000000003E-2</v>
      </c>
      <c r="CT22" s="48" t="s">
        <v>309</v>
      </c>
      <c r="CU22" s="49" t="s">
        <v>343</v>
      </c>
      <c r="CV22" s="3">
        <v>-0.77200000000000002</v>
      </c>
      <c r="CW22" s="3">
        <v>-1.3959999999999999</v>
      </c>
      <c r="CX22" s="3">
        <v>-0.16700000000000001</v>
      </c>
      <c r="CY22" s="3">
        <v>-1.1279999999999999</v>
      </c>
      <c r="CZ22" s="3">
        <v>-0.34499999999999997</v>
      </c>
      <c r="DA22" s="3">
        <v>-7.4999999999999997E-2</v>
      </c>
      <c r="DB22" s="3">
        <v>-8.1180000000000003</v>
      </c>
      <c r="DC22" s="3">
        <v>1.208</v>
      </c>
      <c r="DD22" s="3">
        <v>0.50800000000000001</v>
      </c>
      <c r="DE22" s="3">
        <v>0.499</v>
      </c>
      <c r="DF22" s="3">
        <v>0.88400000000000001</v>
      </c>
      <c r="DG22" s="3">
        <v>-0.48899999999999999</v>
      </c>
      <c r="DH22" s="3">
        <v>0.26900000000000002</v>
      </c>
    </row>
    <row r="23" spans="1:112" x14ac:dyDescent="0.3">
      <c r="A23" s="48" t="s">
        <v>309</v>
      </c>
      <c r="B23" s="49" t="s">
        <v>344</v>
      </c>
      <c r="C23" s="3">
        <v>34.763903999999997</v>
      </c>
      <c r="D23" s="3">
        <v>33.997503999999999</v>
      </c>
      <c r="E23" s="3">
        <v>30.655999999999999</v>
      </c>
      <c r="F23" s="3">
        <v>32.270898000000003</v>
      </c>
      <c r="G23" s="3">
        <v>32.642031000000003</v>
      </c>
      <c r="H23" s="3">
        <v>33.997503999999999</v>
      </c>
      <c r="I23" s="48" t="s">
        <v>309</v>
      </c>
      <c r="J23" s="49" t="s">
        <v>344</v>
      </c>
      <c r="K23" s="3">
        <v>48548.5</v>
      </c>
      <c r="L23" s="48" t="s">
        <v>309</v>
      </c>
      <c r="M23" s="49" t="s">
        <v>344</v>
      </c>
      <c r="N23" s="3">
        <v>10822.06409</v>
      </c>
      <c r="O23" s="3">
        <v>13960.78384</v>
      </c>
      <c r="P23" s="3">
        <v>7816.2558740000004</v>
      </c>
      <c r="Q23" s="3">
        <v>6273.4576889999998</v>
      </c>
      <c r="R23" s="3">
        <v>14236.479009999999</v>
      </c>
      <c r="S23" s="3">
        <v>16179.41705</v>
      </c>
      <c r="T23" s="3">
        <v>11175.75748</v>
      </c>
      <c r="U23" s="3">
        <v>15930.481159999999</v>
      </c>
      <c r="V23" s="3">
        <v>10791.22795</v>
      </c>
      <c r="W23" s="3">
        <v>8976.9777389999999</v>
      </c>
      <c r="X23" s="3">
        <v>12025.772139999999</v>
      </c>
      <c r="Y23" s="3">
        <v>1484.920249</v>
      </c>
      <c r="Z23" s="3">
        <v>6244.9131610000004</v>
      </c>
      <c r="AA23" s="48" t="s">
        <v>309</v>
      </c>
      <c r="AB23" s="49" t="s">
        <v>344</v>
      </c>
      <c r="AC23" s="3">
        <v>1268.970405</v>
      </c>
      <c r="AD23" s="3">
        <v>1200.6699289999999</v>
      </c>
      <c r="AE23" s="3">
        <v>714.54776140000001</v>
      </c>
      <c r="AF23" s="3">
        <v>216.94005100000001</v>
      </c>
      <c r="AG23" s="3">
        <v>2065.0035200000002</v>
      </c>
      <c r="AH23" s="3">
        <v>1638.2528380000001</v>
      </c>
      <c r="AI23" s="3">
        <v>1545.78837</v>
      </c>
      <c r="AJ23" s="3">
        <v>1610.96487</v>
      </c>
      <c r="AK23" s="3">
        <v>674.3517488</v>
      </c>
      <c r="AL23" s="3">
        <v>979.46219729999996</v>
      </c>
      <c r="AM23" s="3">
        <v>1719.616724</v>
      </c>
      <c r="AN23" s="3">
        <v>201.70278619999999</v>
      </c>
      <c r="AO23" s="3">
        <v>657.64333839999995</v>
      </c>
      <c r="AP23" s="48" t="s">
        <v>309</v>
      </c>
      <c r="AQ23" s="49" t="s">
        <v>344</v>
      </c>
      <c r="AR23" s="3">
        <v>899.8478556</v>
      </c>
      <c r="AS23" s="3">
        <v>1345.761336</v>
      </c>
      <c r="AT23" s="3">
        <v>1167.710446</v>
      </c>
      <c r="AU23" s="3">
        <v>1124.441382</v>
      </c>
      <c r="AV23" s="3">
        <v>433.94132519999999</v>
      </c>
      <c r="AW23" s="3">
        <v>1930.858911</v>
      </c>
      <c r="AX23" s="3">
        <v>1004.649117</v>
      </c>
      <c r="AY23" s="3">
        <v>1437.9478180000001</v>
      </c>
      <c r="AZ23" s="3">
        <v>721.33192859999997</v>
      </c>
      <c r="BA23" s="3">
        <v>505.41250170000001</v>
      </c>
      <c r="BB23" s="3">
        <v>573.80975009999997</v>
      </c>
      <c r="BC23" s="3">
        <v>173.2571547</v>
      </c>
      <c r="BD23" s="3">
        <v>1235.7460169999999</v>
      </c>
      <c r="BE23" s="48" t="s">
        <v>309</v>
      </c>
      <c r="BF23" s="49" t="s">
        <v>344</v>
      </c>
      <c r="BG23" s="3">
        <v>0</v>
      </c>
      <c r="BH23" s="3">
        <v>4.3999999999999997E-2</v>
      </c>
      <c r="BI23" s="3">
        <v>0.13300000000000001</v>
      </c>
      <c r="BJ23" s="3">
        <v>0</v>
      </c>
      <c r="BK23" s="3">
        <v>8.8999999999999996E-2</v>
      </c>
      <c r="BL23" s="3">
        <v>0.25700000000000001</v>
      </c>
      <c r="BM23" s="3">
        <v>0</v>
      </c>
      <c r="BN23" s="3">
        <v>3.6999999999999998E-2</v>
      </c>
      <c r="BO23" s="3">
        <v>0.1105</v>
      </c>
      <c r="BP23" s="3">
        <v>0</v>
      </c>
      <c r="BQ23" s="3">
        <v>9.9000000000000005E-2</v>
      </c>
      <c r="BR23" s="3">
        <v>0.172666667</v>
      </c>
      <c r="BS23" s="3">
        <v>0</v>
      </c>
      <c r="BT23" s="3">
        <v>5.0000000000000001E-3</v>
      </c>
      <c r="BU23" s="3">
        <v>9.1833334000000003E-2</v>
      </c>
      <c r="BV23" s="3">
        <v>0</v>
      </c>
      <c r="BW23" s="3">
        <v>6.0000000000000001E-3</v>
      </c>
      <c r="BX23" s="3">
        <v>4.1000000000000002E-2</v>
      </c>
      <c r="BY23" s="3">
        <v>0</v>
      </c>
      <c r="BZ23" s="3">
        <v>0.159</v>
      </c>
      <c r="CA23" s="3">
        <v>0.27200000000000002</v>
      </c>
      <c r="CB23" s="3">
        <v>0</v>
      </c>
      <c r="CC23" s="3">
        <v>7.0000000000000001E-3</v>
      </c>
      <c r="CD23" s="3">
        <v>5.0666666999999999E-2</v>
      </c>
      <c r="CE23" s="3">
        <v>0</v>
      </c>
      <c r="CF23" s="3">
        <v>3.0000000000000001E-3</v>
      </c>
      <c r="CG23" s="3">
        <v>7.4999999999999997E-3</v>
      </c>
      <c r="CH23" s="3">
        <v>0</v>
      </c>
      <c r="CI23" s="3">
        <v>3.0000000000000001E-3</v>
      </c>
      <c r="CJ23" s="3">
        <v>0.14299999999999999</v>
      </c>
      <c r="CK23" s="3">
        <v>0</v>
      </c>
      <c r="CL23" s="3">
        <v>3.5999999999999997E-2</v>
      </c>
      <c r="CM23" s="3">
        <v>0.1</v>
      </c>
      <c r="CN23" s="3">
        <v>0</v>
      </c>
      <c r="CO23" s="3">
        <v>4.4999999999999998E-2</v>
      </c>
      <c r="CP23" s="3">
        <v>0.12</v>
      </c>
      <c r="CQ23" s="3">
        <v>0</v>
      </c>
      <c r="CR23" s="3">
        <v>3.7999999999999999E-2</v>
      </c>
      <c r="CS23" s="3">
        <v>9.5000000000000001E-2</v>
      </c>
      <c r="CT23" s="48" t="s">
        <v>309</v>
      </c>
      <c r="CU23" s="49" t="s">
        <v>344</v>
      </c>
      <c r="CV23" s="3">
        <v>-0.88300000000000001</v>
      </c>
      <c r="CW23" s="3">
        <v>-1.5880000000000001</v>
      </c>
      <c r="CX23" s="3">
        <v>-0.253</v>
      </c>
      <c r="CY23" s="3">
        <v>-1.127</v>
      </c>
      <c r="CZ23" s="3">
        <v>-0.17100000000000001</v>
      </c>
      <c r="DA23" s="3">
        <v>-0.32900000000000001</v>
      </c>
      <c r="DB23" s="3">
        <v>-7.4980000000000002</v>
      </c>
      <c r="DC23" s="3">
        <v>1.3839999999999999</v>
      </c>
      <c r="DD23" s="3">
        <v>0.66700000000000004</v>
      </c>
      <c r="DE23" s="3">
        <v>0.63800000000000001</v>
      </c>
      <c r="DF23" s="3">
        <v>0.68100000000000005</v>
      </c>
      <c r="DG23" s="3">
        <v>-0.68400000000000005</v>
      </c>
      <c r="DH23" s="3">
        <v>0.23300000000000001</v>
      </c>
    </row>
    <row r="24" spans="1:112" x14ac:dyDescent="0.3">
      <c r="A24" s="48" t="s">
        <v>309</v>
      </c>
      <c r="B24" s="49" t="s">
        <v>345</v>
      </c>
      <c r="C24" s="3">
        <v>32.058512</v>
      </c>
      <c r="D24" s="3">
        <v>37.936799999999998</v>
      </c>
      <c r="E24" s="3">
        <v>28.762992000000001</v>
      </c>
      <c r="F24" s="3">
        <v>30.998442000000001</v>
      </c>
      <c r="G24" s="3">
        <v>31.670016</v>
      </c>
      <c r="H24" s="3">
        <v>37.936799999999998</v>
      </c>
      <c r="I24" s="48" t="s">
        <v>309</v>
      </c>
      <c r="J24" s="49" t="s">
        <v>345</v>
      </c>
      <c r="K24" s="3">
        <v>44204</v>
      </c>
      <c r="L24" s="48" t="s">
        <v>309</v>
      </c>
      <c r="M24" s="49" t="s">
        <v>345</v>
      </c>
      <c r="N24" s="3">
        <v>9776.8933319999996</v>
      </c>
      <c r="O24" s="3">
        <v>12399.26345</v>
      </c>
      <c r="P24" s="3">
        <v>7030.095875</v>
      </c>
      <c r="Q24" s="3">
        <v>5435.0552180000004</v>
      </c>
      <c r="R24" s="3">
        <v>13248.06048</v>
      </c>
      <c r="S24" s="3">
        <v>14522.90005</v>
      </c>
      <c r="T24" s="3">
        <v>10428.9414</v>
      </c>
      <c r="U24" s="3">
        <v>14318.33944</v>
      </c>
      <c r="V24" s="3">
        <v>9589.1807919999992</v>
      </c>
      <c r="W24" s="3">
        <v>7779.1338569999998</v>
      </c>
      <c r="X24" s="3">
        <v>10804.800719999999</v>
      </c>
      <c r="Y24" s="3">
        <v>1320.2992409999999</v>
      </c>
      <c r="Z24" s="3">
        <v>5302.435262</v>
      </c>
      <c r="AA24" s="48" t="s">
        <v>309</v>
      </c>
      <c r="AB24" s="49" t="s">
        <v>345</v>
      </c>
      <c r="AC24" s="3">
        <v>1137.2193789999999</v>
      </c>
      <c r="AD24" s="3">
        <v>1076.0102099999999</v>
      </c>
      <c r="AE24" s="3">
        <v>640.35974250000004</v>
      </c>
      <c r="AF24" s="3">
        <v>194.41622050000001</v>
      </c>
      <c r="AG24" s="3">
        <v>1850.604247</v>
      </c>
      <c r="AH24" s="3">
        <v>1468.1610129999999</v>
      </c>
      <c r="AI24" s="3">
        <v>1410.4806349999999</v>
      </c>
      <c r="AJ24" s="3">
        <v>1443.7062229999999</v>
      </c>
      <c r="AK24" s="3">
        <v>604.33708630000001</v>
      </c>
      <c r="AL24" s="3">
        <v>877.76940090000005</v>
      </c>
      <c r="AM24" s="3">
        <v>1541.0772830000001</v>
      </c>
      <c r="AN24" s="3">
        <v>180.76096680000001</v>
      </c>
      <c r="AO24" s="3">
        <v>589.363429</v>
      </c>
      <c r="AP24" s="48" t="s">
        <v>309</v>
      </c>
      <c r="AQ24" s="49" t="s">
        <v>345</v>
      </c>
      <c r="AR24" s="3">
        <v>856.34376080000004</v>
      </c>
      <c r="AS24" s="3">
        <v>1280.699083</v>
      </c>
      <c r="AT24" s="3">
        <v>1111.2562519999999</v>
      </c>
      <c r="AU24" s="3">
        <v>1070.079076</v>
      </c>
      <c r="AV24" s="3">
        <v>412.96197360000002</v>
      </c>
      <c r="AW24" s="3">
        <v>1837.5094979999999</v>
      </c>
      <c r="AX24" s="3">
        <v>981.58319319999998</v>
      </c>
      <c r="AY24" s="3">
        <v>1368.4287119999999</v>
      </c>
      <c r="AZ24" s="3">
        <v>686.4583748</v>
      </c>
      <c r="BA24" s="3">
        <v>480.97780060000002</v>
      </c>
      <c r="BB24" s="3">
        <v>546.06831179999995</v>
      </c>
      <c r="BC24" s="3">
        <v>164.88085459999999</v>
      </c>
      <c r="BD24" s="3">
        <v>1176.002571</v>
      </c>
      <c r="BE24" s="48" t="s">
        <v>309</v>
      </c>
      <c r="BF24" s="49" t="s">
        <v>345</v>
      </c>
      <c r="BG24" s="3">
        <v>0</v>
      </c>
      <c r="BH24" s="3">
        <v>3.5000000000000003E-2</v>
      </c>
      <c r="BI24" s="3">
        <v>0.14499999999999999</v>
      </c>
      <c r="BJ24" s="3">
        <v>0</v>
      </c>
      <c r="BK24" s="3">
        <v>8.5000000000000006E-2</v>
      </c>
      <c r="BL24" s="3">
        <v>0.23649999999999999</v>
      </c>
      <c r="BM24" s="3">
        <v>0</v>
      </c>
      <c r="BN24" s="3">
        <v>2.5000000000000001E-2</v>
      </c>
      <c r="BO24" s="3">
        <v>0.1075</v>
      </c>
      <c r="BP24" s="3">
        <v>0</v>
      </c>
      <c r="BQ24" s="3">
        <v>7.9000000000000001E-2</v>
      </c>
      <c r="BR24" s="3">
        <v>0.182666667</v>
      </c>
      <c r="BS24" s="3">
        <v>0</v>
      </c>
      <c r="BT24" s="3">
        <v>4.0000000000000001E-3</v>
      </c>
      <c r="BU24" s="3">
        <v>0.09</v>
      </c>
      <c r="BV24" s="3">
        <v>0</v>
      </c>
      <c r="BW24" s="3">
        <v>1.4E-2</v>
      </c>
      <c r="BX24" s="3">
        <v>6.0999999999999999E-2</v>
      </c>
      <c r="BY24" s="3">
        <v>0</v>
      </c>
      <c r="BZ24" s="3">
        <v>0.16900000000000001</v>
      </c>
      <c r="CA24" s="3">
        <v>0.313</v>
      </c>
      <c r="CB24" s="3">
        <v>0</v>
      </c>
      <c r="CC24" s="3">
        <v>4.0000000000000001E-3</v>
      </c>
      <c r="CD24" s="3">
        <v>3.5000000000000003E-2</v>
      </c>
      <c r="CE24" s="3">
        <v>0</v>
      </c>
      <c r="CF24" s="3">
        <v>8.0000000000000002E-3</v>
      </c>
      <c r="CG24" s="3">
        <v>8.5000000000000006E-3</v>
      </c>
      <c r="CH24" s="3">
        <v>0</v>
      </c>
      <c r="CI24" s="3">
        <v>8.0000000000000002E-3</v>
      </c>
      <c r="CJ24" s="3">
        <v>0.25066666700000001</v>
      </c>
      <c r="CK24" s="3">
        <v>0</v>
      </c>
      <c r="CL24" s="3">
        <v>6.0999999999999999E-2</v>
      </c>
      <c r="CM24" s="3">
        <v>0.1</v>
      </c>
      <c r="CN24" s="3">
        <v>0</v>
      </c>
      <c r="CO24" s="3">
        <v>6.7000000000000004E-2</v>
      </c>
      <c r="CP24" s="3">
        <v>0.16600000000000001</v>
      </c>
      <c r="CQ24" s="3">
        <v>0</v>
      </c>
      <c r="CR24" s="3">
        <v>7.0999999999999994E-2</v>
      </c>
      <c r="CS24" s="3">
        <v>0.186</v>
      </c>
      <c r="CT24" s="48" t="s">
        <v>309</v>
      </c>
      <c r="CU24" s="49" t="s">
        <v>345</v>
      </c>
      <c r="CV24" s="3">
        <v>-1.026</v>
      </c>
      <c r="CW24" s="3">
        <v>-1.85</v>
      </c>
      <c r="CX24" s="3">
        <v>-0.26800000000000002</v>
      </c>
      <c r="CY24" s="3">
        <v>-1.1160000000000001</v>
      </c>
      <c r="CZ24" s="3">
        <v>-0.27800000000000002</v>
      </c>
      <c r="DA24" s="3">
        <v>-0.57699999999999996</v>
      </c>
      <c r="DB24" s="3">
        <v>-6.8810000000000002</v>
      </c>
      <c r="DC24" s="3">
        <v>1.4379999999999999</v>
      </c>
      <c r="DD24" s="3">
        <v>0.28499999999999998</v>
      </c>
      <c r="DE24" s="3">
        <v>0.23799999999999999</v>
      </c>
      <c r="DF24" s="3">
        <v>0.31900000000000001</v>
      </c>
      <c r="DG24" s="3">
        <v>-0.92700000000000005</v>
      </c>
      <c r="DH24" s="3">
        <v>5.6000000000000001E-2</v>
      </c>
    </row>
    <row r="25" spans="1:112" x14ac:dyDescent="0.3">
      <c r="A25" s="48" t="s">
        <v>309</v>
      </c>
      <c r="B25" s="49" t="s">
        <v>346</v>
      </c>
      <c r="C25" s="3">
        <v>30.564032000000001</v>
      </c>
      <c r="D25" s="3">
        <v>38.212704000000002</v>
      </c>
      <c r="E25" s="3">
        <v>24.110944</v>
      </c>
      <c r="F25" s="3">
        <v>28.8158265</v>
      </c>
      <c r="G25" s="3">
        <v>28.8158265</v>
      </c>
      <c r="H25" s="3">
        <v>38.212704000000002</v>
      </c>
      <c r="I25" s="48" t="s">
        <v>309</v>
      </c>
      <c r="J25" s="49" t="s">
        <v>346</v>
      </c>
      <c r="K25" s="3">
        <v>39458</v>
      </c>
      <c r="L25" s="48" t="s">
        <v>309</v>
      </c>
      <c r="M25" s="49" t="s">
        <v>346</v>
      </c>
      <c r="N25" s="3">
        <v>8088.8564050000004</v>
      </c>
      <c r="O25" s="3">
        <v>9836.9340300000003</v>
      </c>
      <c r="P25" s="3">
        <v>5452.2658069999998</v>
      </c>
      <c r="Q25" s="3">
        <v>4038.3202369999999</v>
      </c>
      <c r="R25" s="3">
        <v>11450.182989999999</v>
      </c>
      <c r="S25" s="3">
        <v>11705.75028</v>
      </c>
      <c r="T25" s="3">
        <v>8870.1509779999997</v>
      </c>
      <c r="U25" s="3">
        <v>12058.22597</v>
      </c>
      <c r="V25" s="3">
        <v>7873.4352410000001</v>
      </c>
      <c r="W25" s="3">
        <v>6179.5728609999996</v>
      </c>
      <c r="X25" s="3">
        <v>8836.4865759999993</v>
      </c>
      <c r="Y25" s="3">
        <v>1059.698335</v>
      </c>
      <c r="Z25" s="3">
        <v>3966.829338</v>
      </c>
      <c r="AA25" s="48" t="s">
        <v>309</v>
      </c>
      <c r="AB25" s="49" t="s">
        <v>346</v>
      </c>
      <c r="AC25" s="3">
        <v>1047.07394</v>
      </c>
      <c r="AD25" s="3">
        <v>990.71671760000004</v>
      </c>
      <c r="AE25" s="3">
        <v>589.59951899999999</v>
      </c>
      <c r="AF25" s="3">
        <v>179.00517869999999</v>
      </c>
      <c r="AG25" s="3">
        <v>1703.9100080000001</v>
      </c>
      <c r="AH25" s="3">
        <v>1351.7823960000001</v>
      </c>
      <c r="AI25" s="3">
        <v>1312.0750089999999</v>
      </c>
      <c r="AJ25" s="3">
        <v>1329.266095</v>
      </c>
      <c r="AK25" s="3">
        <v>556.43231730000002</v>
      </c>
      <c r="AL25" s="3">
        <v>808.19011909999995</v>
      </c>
      <c r="AM25" s="3">
        <v>1418.9187179999999</v>
      </c>
      <c r="AN25" s="3">
        <v>166.4323536</v>
      </c>
      <c r="AO25" s="3">
        <v>542.6455962</v>
      </c>
      <c r="AP25" s="48" t="s">
        <v>309</v>
      </c>
      <c r="AQ25" s="49" t="s">
        <v>346</v>
      </c>
      <c r="AR25" s="3">
        <v>783.07370639999999</v>
      </c>
      <c r="AS25" s="3">
        <v>1171.1205520000001</v>
      </c>
      <c r="AT25" s="3">
        <v>1016.175503</v>
      </c>
      <c r="AU25" s="3">
        <v>978.52150800000004</v>
      </c>
      <c r="AV25" s="3">
        <v>377.62832880000002</v>
      </c>
      <c r="AW25" s="3">
        <v>1680.289434</v>
      </c>
      <c r="AX25" s="3">
        <v>976.45743240000002</v>
      </c>
      <c r="AY25" s="3">
        <v>1251.343903</v>
      </c>
      <c r="AZ25" s="3">
        <v>627.72396839999999</v>
      </c>
      <c r="BA25" s="3">
        <v>439.82461979999999</v>
      </c>
      <c r="BB25" s="3">
        <v>499.34588939999998</v>
      </c>
      <c r="BC25" s="3">
        <v>150.77340179999999</v>
      </c>
      <c r="BD25" s="3">
        <v>1075.38203</v>
      </c>
      <c r="BE25" s="48" t="s">
        <v>309</v>
      </c>
      <c r="BF25" s="49" t="s">
        <v>346</v>
      </c>
      <c r="BG25" s="3">
        <v>0</v>
      </c>
      <c r="BH25" s="3">
        <v>0.03</v>
      </c>
      <c r="BI25" s="3">
        <v>0.1585</v>
      </c>
      <c r="BJ25" s="3">
        <v>0</v>
      </c>
      <c r="BK25" s="3">
        <v>8.4000000000000005E-2</v>
      </c>
      <c r="BL25" s="3">
        <v>0.215</v>
      </c>
      <c r="BM25" s="3">
        <v>0</v>
      </c>
      <c r="BN25" s="3">
        <v>2.3E-2</v>
      </c>
      <c r="BO25" s="3">
        <v>0.106</v>
      </c>
      <c r="BP25" s="3">
        <v>0</v>
      </c>
      <c r="BQ25" s="3">
        <v>6.6000000000000003E-2</v>
      </c>
      <c r="BR25" s="3">
        <v>0.18533333299999999</v>
      </c>
      <c r="BS25" s="3">
        <v>0</v>
      </c>
      <c r="BT25" s="3">
        <v>8.0000000000000002E-3</v>
      </c>
      <c r="BU25" s="3">
        <v>9.3416666999999995E-2</v>
      </c>
      <c r="BV25" s="3">
        <v>0</v>
      </c>
      <c r="BW25" s="3">
        <v>2.5999999999999999E-2</v>
      </c>
      <c r="BX25" s="3">
        <v>8.4000000000000005E-2</v>
      </c>
      <c r="BY25" s="3">
        <v>0</v>
      </c>
      <c r="BZ25" s="3">
        <v>0.17299999999999999</v>
      </c>
      <c r="CA25" s="3">
        <v>0.33100000000000002</v>
      </c>
      <c r="CB25" s="3">
        <v>0</v>
      </c>
      <c r="CC25" s="3">
        <v>5.0000000000000001E-3</v>
      </c>
      <c r="CD25" s="3">
        <v>2.8333332999999999E-2</v>
      </c>
      <c r="CE25" s="3">
        <v>0</v>
      </c>
      <c r="CF25" s="3">
        <v>1.7999999999999999E-2</v>
      </c>
      <c r="CG25" s="3">
        <v>1.7500000000000002E-2</v>
      </c>
      <c r="CH25" s="3">
        <v>0</v>
      </c>
      <c r="CI25" s="3">
        <v>1.9E-2</v>
      </c>
      <c r="CJ25" s="3">
        <v>0.41666666699999999</v>
      </c>
      <c r="CK25" s="3">
        <v>0</v>
      </c>
      <c r="CL25" s="3">
        <v>0.1</v>
      </c>
      <c r="CM25" s="3">
        <v>0.1</v>
      </c>
      <c r="CN25" s="3">
        <v>0</v>
      </c>
      <c r="CO25" s="3">
        <v>0.10199999999999999</v>
      </c>
      <c r="CP25" s="3">
        <v>0.22500000000000001</v>
      </c>
      <c r="CQ25" s="3">
        <v>0</v>
      </c>
      <c r="CR25" s="3">
        <v>0.13100000000000001</v>
      </c>
      <c r="CS25" s="3">
        <v>0.33300000000000002</v>
      </c>
      <c r="CT25" s="48" t="s">
        <v>309</v>
      </c>
      <c r="CU25" s="49" t="s">
        <v>346</v>
      </c>
      <c r="CV25" s="3">
        <v>-1.2789999999999999</v>
      </c>
      <c r="CW25" s="3">
        <v>-2.2349999999999999</v>
      </c>
      <c r="CX25" s="3">
        <v>-0.39100000000000001</v>
      </c>
      <c r="CY25" s="3">
        <v>-1.1220000000000001</v>
      </c>
      <c r="CZ25" s="3">
        <v>-0.81599999999999995</v>
      </c>
      <c r="DA25" s="3">
        <v>-0.93500000000000005</v>
      </c>
      <c r="DB25" s="3">
        <v>-6.4349999999999996</v>
      </c>
      <c r="DC25" s="3">
        <v>1.2270000000000001</v>
      </c>
      <c r="DD25" s="3">
        <v>-0.39600000000000002</v>
      </c>
      <c r="DE25" s="3">
        <v>-0.442</v>
      </c>
      <c r="DF25" s="3">
        <v>-3.7999999999999999E-2</v>
      </c>
      <c r="DG25" s="3">
        <v>-1.0620000000000001</v>
      </c>
      <c r="DH25" s="3">
        <v>-3.0000000000000001E-3</v>
      </c>
    </row>
    <row r="26" spans="1:112" x14ac:dyDescent="0.3">
      <c r="A26" s="48" t="s">
        <v>309</v>
      </c>
      <c r="B26" s="49" t="s">
        <v>347</v>
      </c>
      <c r="C26" s="3">
        <v>30.594688000000001</v>
      </c>
      <c r="D26" s="3">
        <v>32.970528000000002</v>
      </c>
      <c r="E26" s="3">
        <v>29.667344</v>
      </c>
      <c r="F26" s="3">
        <v>27.242929499999999</v>
      </c>
      <c r="G26" s="3">
        <v>26.253241500000001</v>
      </c>
      <c r="H26" s="3">
        <v>32.970528000000002</v>
      </c>
      <c r="I26" s="48" t="s">
        <v>309</v>
      </c>
      <c r="J26" s="49" t="s">
        <v>347</v>
      </c>
      <c r="K26" s="3">
        <v>36085</v>
      </c>
      <c r="L26" s="48" t="s">
        <v>309</v>
      </c>
      <c r="M26" s="49" t="s">
        <v>347</v>
      </c>
      <c r="N26" s="3">
        <v>4903.5712130000002</v>
      </c>
      <c r="O26" s="3">
        <v>5923.5985659999997</v>
      </c>
      <c r="P26" s="3">
        <v>2938.3907380000001</v>
      </c>
      <c r="Q26" s="3">
        <v>2244.444528</v>
      </c>
      <c r="R26" s="3">
        <v>8139.5268219999998</v>
      </c>
      <c r="S26" s="3">
        <v>7144.2626380000002</v>
      </c>
      <c r="T26" s="3">
        <v>6239.2718800000002</v>
      </c>
      <c r="U26" s="3">
        <v>7645.8252060000004</v>
      </c>
      <c r="V26" s="3">
        <v>4723.807648</v>
      </c>
      <c r="W26" s="3">
        <v>3607.915223</v>
      </c>
      <c r="X26" s="3">
        <v>5533.3916250000002</v>
      </c>
      <c r="Y26" s="3">
        <v>663.86032450000005</v>
      </c>
      <c r="Z26" s="3">
        <v>2288.9763830000002</v>
      </c>
      <c r="AA26" s="48" t="s">
        <v>309</v>
      </c>
      <c r="AB26" s="49" t="s">
        <v>347</v>
      </c>
      <c r="AC26" s="3">
        <v>1088.679527</v>
      </c>
      <c r="AD26" s="3">
        <v>1030.0829450000001</v>
      </c>
      <c r="AE26" s="3">
        <v>613.02731440000002</v>
      </c>
      <c r="AF26" s="3">
        <v>186.11796720000001</v>
      </c>
      <c r="AG26" s="3">
        <v>1771.615041</v>
      </c>
      <c r="AH26" s="3">
        <v>1405.495604</v>
      </c>
      <c r="AI26" s="3">
        <v>1344.876884</v>
      </c>
      <c r="AJ26" s="3">
        <v>1382.0846160000001</v>
      </c>
      <c r="AK26" s="3">
        <v>578.54221070000006</v>
      </c>
      <c r="AL26" s="3">
        <v>840.30363379999994</v>
      </c>
      <c r="AM26" s="3">
        <v>1475.2995940000001</v>
      </c>
      <c r="AN26" s="3">
        <v>173.04555970000001</v>
      </c>
      <c r="AO26" s="3">
        <v>564.20767279999995</v>
      </c>
      <c r="AP26" s="48" t="s">
        <v>309</v>
      </c>
      <c r="AQ26" s="49" t="s">
        <v>347</v>
      </c>
      <c r="AR26" s="3">
        <v>709.80365200000006</v>
      </c>
      <c r="AS26" s="3">
        <v>1061.542021</v>
      </c>
      <c r="AT26" s="3">
        <v>921.09475399999997</v>
      </c>
      <c r="AU26" s="3">
        <v>886.96393999999998</v>
      </c>
      <c r="AV26" s="3">
        <v>342.29468400000002</v>
      </c>
      <c r="AW26" s="3">
        <v>1523.0693699999999</v>
      </c>
      <c r="AX26" s="3">
        <v>868.81645560000004</v>
      </c>
      <c r="AY26" s="3">
        <v>1134.2590929999999</v>
      </c>
      <c r="AZ26" s="3">
        <v>568.98956199999998</v>
      </c>
      <c r="BA26" s="3">
        <v>398.67143900000002</v>
      </c>
      <c r="BB26" s="3">
        <v>452.62346700000001</v>
      </c>
      <c r="BC26" s="3">
        <v>136.66594900000001</v>
      </c>
      <c r="BD26" s="3">
        <v>974.76148899999998</v>
      </c>
      <c r="BE26" s="48" t="s">
        <v>309</v>
      </c>
      <c r="BF26" s="49" t="s">
        <v>347</v>
      </c>
      <c r="BG26" s="3">
        <v>0</v>
      </c>
      <c r="BH26" s="3">
        <v>2.7E-2</v>
      </c>
      <c r="BI26" s="3">
        <v>0.17</v>
      </c>
      <c r="BJ26" s="3">
        <v>0</v>
      </c>
      <c r="BK26" s="3">
        <v>8.5000000000000006E-2</v>
      </c>
      <c r="BL26" s="3">
        <v>0.19700000000000001</v>
      </c>
      <c r="BM26" s="3">
        <v>0</v>
      </c>
      <c r="BN26" s="3">
        <v>2.5000000000000001E-2</v>
      </c>
      <c r="BO26" s="3">
        <v>0.105</v>
      </c>
      <c r="BP26" s="3">
        <v>0</v>
      </c>
      <c r="BQ26" s="3">
        <v>5.8000000000000003E-2</v>
      </c>
      <c r="BR26" s="3">
        <v>0.18833333299999999</v>
      </c>
      <c r="BS26" s="3">
        <v>0</v>
      </c>
      <c r="BT26" s="3">
        <v>1.4E-2</v>
      </c>
      <c r="BU26" s="3">
        <v>9.8666667E-2</v>
      </c>
      <c r="BV26" s="3">
        <v>0</v>
      </c>
      <c r="BW26" s="3">
        <v>4.1000000000000002E-2</v>
      </c>
      <c r="BX26" s="3">
        <v>0.111</v>
      </c>
      <c r="BY26" s="3">
        <v>0</v>
      </c>
      <c r="BZ26" s="3">
        <v>0.17799999999999999</v>
      </c>
      <c r="CA26" s="3">
        <v>0.33500000000000002</v>
      </c>
      <c r="CB26" s="3">
        <v>0</v>
      </c>
      <c r="CC26" s="3">
        <v>8.9999999999999993E-3</v>
      </c>
      <c r="CD26" s="3">
        <v>2.7333333000000001E-2</v>
      </c>
      <c r="CE26" s="3">
        <v>0</v>
      </c>
      <c r="CF26" s="3">
        <v>3.4000000000000002E-2</v>
      </c>
      <c r="CG26" s="3">
        <v>3.6999999999999998E-2</v>
      </c>
      <c r="CH26" s="3">
        <v>0</v>
      </c>
      <c r="CI26" s="3">
        <v>3.5000000000000003E-2</v>
      </c>
      <c r="CJ26" s="3">
        <v>0.58333333300000001</v>
      </c>
      <c r="CK26" s="3">
        <v>0</v>
      </c>
      <c r="CL26" s="3">
        <v>0.14499999999999999</v>
      </c>
      <c r="CM26" s="3">
        <v>0.1</v>
      </c>
      <c r="CN26" s="3">
        <v>0</v>
      </c>
      <c r="CO26" s="3">
        <v>0.127</v>
      </c>
      <c r="CP26" s="3">
        <v>0.28066666699999998</v>
      </c>
      <c r="CQ26" s="3">
        <v>0</v>
      </c>
      <c r="CR26" s="3">
        <v>0.19500000000000001</v>
      </c>
      <c r="CS26" s="3">
        <v>0.48599999999999999</v>
      </c>
      <c r="CT26" s="48" t="s">
        <v>309</v>
      </c>
      <c r="CU26" s="49" t="s">
        <v>347</v>
      </c>
      <c r="CV26" s="3">
        <v>-1.5780000000000001</v>
      </c>
      <c r="CW26" s="3">
        <v>-2.6539999999999999</v>
      </c>
      <c r="CX26" s="3">
        <v>-0.57899999999999996</v>
      </c>
      <c r="CY26" s="3">
        <v>-1.1830000000000001</v>
      </c>
      <c r="CZ26" s="3">
        <v>-1.2949999999999999</v>
      </c>
      <c r="DA26" s="3">
        <v>-1.3480000000000001</v>
      </c>
      <c r="DB26" s="3">
        <v>-6.202</v>
      </c>
      <c r="DC26" s="3">
        <v>0.92800000000000005</v>
      </c>
      <c r="DD26" s="3">
        <v>-1.07</v>
      </c>
      <c r="DE26" s="3">
        <v>-1.121</v>
      </c>
      <c r="DF26" s="3">
        <v>-0.20399999999999999</v>
      </c>
      <c r="DG26" s="3">
        <v>-1.083</v>
      </c>
      <c r="DH26" s="3">
        <v>6.4000000000000001E-2</v>
      </c>
    </row>
    <row r="27" spans="1:112" x14ac:dyDescent="0.3">
      <c r="A27" s="48" t="s">
        <v>310</v>
      </c>
      <c r="B27" s="49" t="s">
        <v>324</v>
      </c>
      <c r="C27" s="3">
        <v>33.256855799999997</v>
      </c>
      <c r="D27" s="3">
        <v>77.880302099999994</v>
      </c>
      <c r="E27" s="3">
        <v>35.811145799999998</v>
      </c>
      <c r="F27" s="3">
        <v>23.5164966</v>
      </c>
      <c r="G27" s="3">
        <v>23.5164966</v>
      </c>
      <c r="H27" s="3">
        <v>77.880302099999994</v>
      </c>
      <c r="I27" s="48" t="s">
        <v>310</v>
      </c>
      <c r="J27" s="49" t="s">
        <v>324</v>
      </c>
      <c r="K27" s="3">
        <v>33185.5</v>
      </c>
      <c r="L27" s="48" t="s">
        <v>310</v>
      </c>
      <c r="M27" s="49" t="s">
        <v>324</v>
      </c>
      <c r="N27" s="3">
        <v>3592.3891549999998</v>
      </c>
      <c r="O27" s="3">
        <v>4488.2456620000003</v>
      </c>
      <c r="P27" s="3">
        <v>1894.752115</v>
      </c>
      <c r="Q27" s="3">
        <v>1929.1605970000001</v>
      </c>
      <c r="R27" s="3">
        <v>5692.7082119999995</v>
      </c>
      <c r="S27" s="3">
        <v>5022.7006719999999</v>
      </c>
      <c r="T27" s="3">
        <v>2395.5709660000002</v>
      </c>
      <c r="U27" s="3">
        <v>4374.7270980000003</v>
      </c>
      <c r="V27" s="3">
        <v>2554.9185309999998</v>
      </c>
      <c r="W27" s="3">
        <v>1316.5664420000001</v>
      </c>
      <c r="X27" s="3">
        <v>3467.8816539999998</v>
      </c>
      <c r="Y27" s="3">
        <v>219.2112875</v>
      </c>
      <c r="Z27" s="3">
        <v>1608.867094</v>
      </c>
      <c r="AA27" s="48" t="s">
        <v>310</v>
      </c>
      <c r="AB27" s="49" t="s">
        <v>324</v>
      </c>
      <c r="AC27" s="3">
        <v>1177.264365</v>
      </c>
      <c r="AD27" s="3">
        <v>1235.1076929999999</v>
      </c>
      <c r="AE27" s="3">
        <v>754.22707049999997</v>
      </c>
      <c r="AF27" s="3">
        <v>227.55588829999999</v>
      </c>
      <c r="AG27" s="3">
        <v>1963.9604260000001</v>
      </c>
      <c r="AH27" s="3">
        <v>1699.071058</v>
      </c>
      <c r="AI27" s="3">
        <v>1526.3932569999999</v>
      </c>
      <c r="AJ27" s="3">
        <v>1458.1329920000001</v>
      </c>
      <c r="AK27" s="3">
        <v>613.35028820000002</v>
      </c>
      <c r="AL27" s="3">
        <v>907.75574619999998</v>
      </c>
      <c r="AM27" s="3">
        <v>1763.117767</v>
      </c>
      <c r="AN27" s="3">
        <v>204.52924849999999</v>
      </c>
      <c r="AO27" s="3">
        <v>594.43205469999998</v>
      </c>
      <c r="AP27" s="48" t="s">
        <v>310</v>
      </c>
      <c r="AQ27" s="49" t="s">
        <v>324</v>
      </c>
      <c r="AR27" s="3">
        <v>671.79948000000002</v>
      </c>
      <c r="AS27" s="3">
        <v>1050.5512530000001</v>
      </c>
      <c r="AT27" s="3">
        <v>789.79102720000003</v>
      </c>
      <c r="AU27" s="3">
        <v>807.41402879999998</v>
      </c>
      <c r="AV27" s="3">
        <v>290.28381000000002</v>
      </c>
      <c r="AW27" s="3">
        <v>1329.1982909999999</v>
      </c>
      <c r="AX27" s="3">
        <v>707.60447520000002</v>
      </c>
      <c r="AY27" s="3">
        <v>556.18497000000002</v>
      </c>
      <c r="AZ27" s="3">
        <v>620.03441999999995</v>
      </c>
      <c r="BA27" s="3">
        <v>303.27476999999999</v>
      </c>
      <c r="BB27" s="3">
        <v>404.92103839999999</v>
      </c>
      <c r="BC27" s="3">
        <v>141.91540800000001</v>
      </c>
      <c r="BD27" s="3">
        <v>721.89948000000004</v>
      </c>
      <c r="BE27" s="48" t="s">
        <v>310</v>
      </c>
      <c r="BF27" s="49" t="s">
        <v>324</v>
      </c>
      <c r="BG27" s="3">
        <v>0</v>
      </c>
      <c r="BH27" s="3">
        <v>0.318</v>
      </c>
      <c r="BI27" s="3">
        <v>0.87050000000000005</v>
      </c>
      <c r="BJ27" s="3">
        <v>0</v>
      </c>
      <c r="BK27" s="3">
        <v>0.33</v>
      </c>
      <c r="BL27" s="3">
        <v>0.79</v>
      </c>
      <c r="BM27" s="3">
        <v>0</v>
      </c>
      <c r="BN27" s="3">
        <v>0.45700000000000002</v>
      </c>
      <c r="BO27" s="3">
        <v>0.77800000000000002</v>
      </c>
      <c r="BP27" s="3">
        <v>0</v>
      </c>
      <c r="BQ27" s="3">
        <v>0.25900000000000001</v>
      </c>
      <c r="BR27" s="3">
        <v>0.84366666700000004</v>
      </c>
      <c r="BS27" s="3">
        <v>0</v>
      </c>
      <c r="BT27" s="3">
        <v>0.70599999999999996</v>
      </c>
      <c r="BU27" s="3">
        <v>0.79925000000000002</v>
      </c>
      <c r="BV27" s="3">
        <v>0</v>
      </c>
      <c r="BW27" s="3">
        <v>0.80300000000000005</v>
      </c>
      <c r="BX27" s="3">
        <v>0.86799999999999999</v>
      </c>
      <c r="BY27" s="3">
        <v>0</v>
      </c>
      <c r="BZ27" s="3">
        <v>0.80300000000000005</v>
      </c>
      <c r="CA27" s="3">
        <v>0.76749999999999996</v>
      </c>
      <c r="CB27" s="3">
        <v>0</v>
      </c>
      <c r="CC27" s="3">
        <v>0.34300000000000003</v>
      </c>
      <c r="CD27" s="3">
        <v>0.72799999999999998</v>
      </c>
      <c r="CE27" s="3">
        <v>0</v>
      </c>
      <c r="CF27" s="3">
        <v>0.34300000000000003</v>
      </c>
      <c r="CG27" s="3">
        <v>0.80549999999999999</v>
      </c>
      <c r="CH27" s="3">
        <v>0</v>
      </c>
      <c r="CI27" s="3">
        <v>0.56599999999999995</v>
      </c>
      <c r="CJ27" s="3">
        <v>0.81599999999999995</v>
      </c>
      <c r="CK27" s="3">
        <v>0</v>
      </c>
      <c r="CL27" s="3">
        <v>0.39300000000000002</v>
      </c>
      <c r="CM27" s="3">
        <v>0.01</v>
      </c>
      <c r="CN27" s="3">
        <v>0</v>
      </c>
      <c r="CO27" s="3">
        <v>0.66400000000000003</v>
      </c>
      <c r="CP27" s="3">
        <v>0.81066666700000001</v>
      </c>
      <c r="CQ27" s="3">
        <v>0</v>
      </c>
      <c r="CR27" s="3">
        <v>0.64300000000000002</v>
      </c>
      <c r="CS27" s="3">
        <v>0.89</v>
      </c>
      <c r="CT27" s="48" t="s">
        <v>310</v>
      </c>
      <c r="CU27" s="49" t="s">
        <v>324</v>
      </c>
      <c r="CV27" s="3">
        <v>-0.58199999999999996</v>
      </c>
      <c r="CW27" s="3">
        <v>-0.193</v>
      </c>
      <c r="CX27" s="3">
        <v>0.13800000000000001</v>
      </c>
      <c r="CY27" s="3">
        <v>0.89900000000000002</v>
      </c>
      <c r="CZ27" s="3">
        <v>-1.026</v>
      </c>
      <c r="DA27" s="3">
        <v>3.706</v>
      </c>
      <c r="DB27" s="3">
        <v>1.994</v>
      </c>
      <c r="DC27" s="3">
        <v>0.17499999999999999</v>
      </c>
      <c r="DD27" s="3">
        <v>0.61799999999999999</v>
      </c>
      <c r="DE27" s="3">
        <v>2.3940000000000001</v>
      </c>
      <c r="DF27" s="3">
        <v>-0.23499999999999999</v>
      </c>
      <c r="DG27" s="3">
        <v>1.9630000000000001</v>
      </c>
      <c r="DH27" s="3">
        <v>0.69299999999999995</v>
      </c>
    </row>
    <row r="28" spans="1:112" x14ac:dyDescent="0.3">
      <c r="A28" s="48" t="s">
        <v>310</v>
      </c>
      <c r="B28" s="49" t="s">
        <v>325</v>
      </c>
      <c r="C28" s="3">
        <v>33.256855799999997</v>
      </c>
      <c r="D28" s="3">
        <v>75.777270000000001</v>
      </c>
      <c r="E28" s="3">
        <v>34.074228599999998</v>
      </c>
      <c r="F28" s="3">
        <v>23.3887821</v>
      </c>
      <c r="G28" s="3">
        <v>23.3887821</v>
      </c>
      <c r="H28" s="3">
        <v>70.702747200000005</v>
      </c>
      <c r="I28" s="48" t="s">
        <v>310</v>
      </c>
      <c r="J28" s="49" t="s">
        <v>325</v>
      </c>
      <c r="K28" s="3">
        <v>33098</v>
      </c>
      <c r="L28" s="48" t="s">
        <v>310</v>
      </c>
      <c r="M28" s="49" t="s">
        <v>325</v>
      </c>
      <c r="N28" s="3">
        <v>2695.9148420000001</v>
      </c>
      <c r="O28" s="3">
        <v>3624.6301410000001</v>
      </c>
      <c r="P28" s="3">
        <v>1369.5276100000001</v>
      </c>
      <c r="Q28" s="3">
        <v>1500.1300650000001</v>
      </c>
      <c r="R28" s="3">
        <v>4168.4391329999999</v>
      </c>
      <c r="S28" s="3">
        <v>3664.9406880000001</v>
      </c>
      <c r="T28" s="3">
        <v>1116.2165849999999</v>
      </c>
      <c r="U28" s="3">
        <v>2778.3363650000001</v>
      </c>
      <c r="V28" s="3">
        <v>2088.7094320000001</v>
      </c>
      <c r="W28" s="3">
        <v>874.92630650000001</v>
      </c>
      <c r="X28" s="3">
        <v>2498.9283999999998</v>
      </c>
      <c r="Y28" s="3">
        <v>202.75289409999999</v>
      </c>
      <c r="Z28" s="3">
        <v>958.16664349999996</v>
      </c>
      <c r="AA28" s="48" t="s">
        <v>310</v>
      </c>
      <c r="AB28" s="49" t="s">
        <v>325</v>
      </c>
      <c r="AC28" s="3">
        <v>1282.0892739999999</v>
      </c>
      <c r="AD28" s="3">
        <v>1246.370073</v>
      </c>
      <c r="AE28" s="3">
        <v>761.10452099999998</v>
      </c>
      <c r="AF28" s="3">
        <v>229.63086609999999</v>
      </c>
      <c r="AG28" s="3">
        <v>2138.833615</v>
      </c>
      <c r="AH28" s="3">
        <v>1714.564108</v>
      </c>
      <c r="AI28" s="3">
        <v>1540.311737</v>
      </c>
      <c r="AJ28" s="3">
        <v>1587.966752</v>
      </c>
      <c r="AK28" s="3">
        <v>667.96366999999998</v>
      </c>
      <c r="AL28" s="3">
        <v>988.58331269999996</v>
      </c>
      <c r="AM28" s="3">
        <v>1779.194829</v>
      </c>
      <c r="AN28" s="3">
        <v>206.39425679999999</v>
      </c>
      <c r="AO28" s="3">
        <v>647.36093619999997</v>
      </c>
      <c r="AP28" s="48" t="s">
        <v>310</v>
      </c>
      <c r="AQ28" s="49" t="s">
        <v>325</v>
      </c>
      <c r="AR28" s="3">
        <v>698.67145919999996</v>
      </c>
      <c r="AS28" s="3">
        <v>1098.9319029999999</v>
      </c>
      <c r="AT28" s="3">
        <v>826.16298240000003</v>
      </c>
      <c r="AU28" s="3">
        <v>844.59756960000004</v>
      </c>
      <c r="AV28" s="3">
        <v>301.8951624</v>
      </c>
      <c r="AW28" s="3">
        <v>1390.41137</v>
      </c>
      <c r="AX28" s="3">
        <v>740.19152340000005</v>
      </c>
      <c r="AY28" s="3">
        <v>578.43236879999995</v>
      </c>
      <c r="AZ28" s="3">
        <v>644.83579680000003</v>
      </c>
      <c r="BA28" s="3">
        <v>315.4057608</v>
      </c>
      <c r="BB28" s="3">
        <v>423.5687178</v>
      </c>
      <c r="BC28" s="3">
        <v>148.450986</v>
      </c>
      <c r="BD28" s="3">
        <v>750.7754592</v>
      </c>
      <c r="BE28" s="48" t="s">
        <v>310</v>
      </c>
      <c r="BF28" s="49" t="s">
        <v>325</v>
      </c>
      <c r="BG28" s="3">
        <v>0</v>
      </c>
      <c r="BH28" s="3">
        <v>0.314</v>
      </c>
      <c r="BI28" s="3">
        <v>0.85750000000000004</v>
      </c>
      <c r="BJ28" s="3">
        <v>0</v>
      </c>
      <c r="BK28" s="3">
        <v>0.34200000000000003</v>
      </c>
      <c r="BL28" s="3">
        <v>0.80449999999999999</v>
      </c>
      <c r="BM28" s="3">
        <v>0</v>
      </c>
      <c r="BN28" s="3">
        <v>0.46300000000000002</v>
      </c>
      <c r="BO28" s="3">
        <v>0.78500000000000003</v>
      </c>
      <c r="BP28" s="3">
        <v>0</v>
      </c>
      <c r="BQ28" s="3">
        <v>0.27</v>
      </c>
      <c r="BR28" s="3">
        <v>0.81499999999999995</v>
      </c>
      <c r="BS28" s="3">
        <v>0</v>
      </c>
      <c r="BT28" s="3">
        <v>0.70199999999999996</v>
      </c>
      <c r="BU28" s="3">
        <v>0.79691666699999997</v>
      </c>
      <c r="BV28" s="3">
        <v>0</v>
      </c>
      <c r="BW28" s="3">
        <v>0.79600000000000004</v>
      </c>
      <c r="BX28" s="3">
        <v>0.86</v>
      </c>
      <c r="BY28" s="3">
        <v>0</v>
      </c>
      <c r="BZ28" s="3">
        <v>0.79600000000000004</v>
      </c>
      <c r="CA28" s="3">
        <v>0.78149999999999997</v>
      </c>
      <c r="CB28" s="3">
        <v>0</v>
      </c>
      <c r="CC28" s="3">
        <v>0.36699999999999999</v>
      </c>
      <c r="CD28" s="3">
        <v>0.73633333300000003</v>
      </c>
      <c r="CE28" s="3">
        <v>0</v>
      </c>
      <c r="CF28" s="3">
        <v>0.371</v>
      </c>
      <c r="CG28" s="3">
        <v>0.81299999999999994</v>
      </c>
      <c r="CH28" s="3">
        <v>0</v>
      </c>
      <c r="CI28" s="3">
        <v>0.58799999999999997</v>
      </c>
      <c r="CJ28" s="3">
        <v>0.84833333300000002</v>
      </c>
      <c r="CK28" s="3">
        <v>0</v>
      </c>
      <c r="CL28" s="3">
        <v>0.40500000000000003</v>
      </c>
      <c r="CM28" s="3">
        <v>0.01</v>
      </c>
      <c r="CN28" s="3">
        <v>0</v>
      </c>
      <c r="CO28" s="3">
        <v>0.67900000000000005</v>
      </c>
      <c r="CP28" s="3">
        <v>0.81</v>
      </c>
      <c r="CQ28" s="3">
        <v>0</v>
      </c>
      <c r="CR28" s="3">
        <v>0.65100000000000002</v>
      </c>
      <c r="CS28" s="3">
        <v>0.89300000000000002</v>
      </c>
      <c r="CT28" s="48" t="s">
        <v>310</v>
      </c>
      <c r="CU28" s="49" t="s">
        <v>325</v>
      </c>
      <c r="CV28" s="3">
        <v>-0.59399999999999997</v>
      </c>
      <c r="CW28" s="3">
        <v>-0.39700000000000002</v>
      </c>
      <c r="CX28" s="3">
        <v>-0.182</v>
      </c>
      <c r="CY28" s="3">
        <v>0.50600000000000001</v>
      </c>
      <c r="CZ28" s="3">
        <v>-1.1830000000000001</v>
      </c>
      <c r="DA28" s="3">
        <v>3.5649999999999999</v>
      </c>
      <c r="DB28" s="3">
        <v>1.6839999999999999</v>
      </c>
      <c r="DC28" s="3">
        <v>-2.7E-2</v>
      </c>
      <c r="DD28" s="3">
        <v>0.41599999999999998</v>
      </c>
      <c r="DE28" s="3">
        <v>2.2130000000000001</v>
      </c>
      <c r="DF28" s="3">
        <v>-0.58699999999999997</v>
      </c>
      <c r="DG28" s="3">
        <v>1.98</v>
      </c>
      <c r="DH28" s="3">
        <v>0.13700000000000001</v>
      </c>
    </row>
    <row r="29" spans="1:112" x14ac:dyDescent="0.3">
      <c r="A29" s="48" t="s">
        <v>310</v>
      </c>
      <c r="B29" s="49" t="s">
        <v>326</v>
      </c>
      <c r="C29" s="3">
        <v>30.447136799999999</v>
      </c>
      <c r="D29" s="3">
        <v>71.034804899999997</v>
      </c>
      <c r="E29" s="3">
        <v>32.286225600000002</v>
      </c>
      <c r="F29" s="3">
        <v>23.192953200000002</v>
      </c>
      <c r="G29" s="3">
        <v>23.192953200000002</v>
      </c>
      <c r="H29" s="3">
        <v>66.309368399999997</v>
      </c>
      <c r="I29" s="48" t="s">
        <v>310</v>
      </c>
      <c r="J29" s="49" t="s">
        <v>326</v>
      </c>
      <c r="K29" s="3">
        <v>32264</v>
      </c>
      <c r="L29" s="48" t="s">
        <v>310</v>
      </c>
      <c r="M29" s="49" t="s">
        <v>326</v>
      </c>
      <c r="N29" s="3">
        <v>2610.7892069999998</v>
      </c>
      <c r="O29" s="3">
        <v>3392.085853</v>
      </c>
      <c r="P29" s="3">
        <v>1278.301099</v>
      </c>
      <c r="Q29" s="3">
        <v>1476.5674710000001</v>
      </c>
      <c r="R29" s="3">
        <v>3735.9132439999998</v>
      </c>
      <c r="S29" s="3">
        <v>3252.798542</v>
      </c>
      <c r="T29" s="3">
        <v>986.60289769999997</v>
      </c>
      <c r="U29" s="3">
        <v>2404.3032130000001</v>
      </c>
      <c r="V29" s="3">
        <v>2019.2685019999999</v>
      </c>
      <c r="W29" s="3">
        <v>821.78680139999994</v>
      </c>
      <c r="X29" s="3">
        <v>2295.0909390000002</v>
      </c>
      <c r="Y29" s="3">
        <v>186.29450069999999</v>
      </c>
      <c r="Z29" s="3">
        <v>784.2409791</v>
      </c>
      <c r="AA29" s="48" t="s">
        <v>310</v>
      </c>
      <c r="AB29" s="49" t="s">
        <v>326</v>
      </c>
      <c r="AC29" s="3">
        <v>1282.0892739999999</v>
      </c>
      <c r="AD29" s="3">
        <v>1250.1242</v>
      </c>
      <c r="AE29" s="3">
        <v>763.39700449999998</v>
      </c>
      <c r="AF29" s="3">
        <v>230.3225253</v>
      </c>
      <c r="AG29" s="3">
        <v>2138.833615</v>
      </c>
      <c r="AH29" s="3">
        <v>1719.7284569999999</v>
      </c>
      <c r="AI29" s="3">
        <v>1544.9512299999999</v>
      </c>
      <c r="AJ29" s="3">
        <v>1587.966752</v>
      </c>
      <c r="AK29" s="3">
        <v>667.96366999999998</v>
      </c>
      <c r="AL29" s="3">
        <v>988.58331269999996</v>
      </c>
      <c r="AM29" s="3">
        <v>1784.5538489999999</v>
      </c>
      <c r="AN29" s="3">
        <v>207.01592629999999</v>
      </c>
      <c r="AO29" s="3">
        <v>647.36093619999997</v>
      </c>
      <c r="AP29" s="48" t="s">
        <v>310</v>
      </c>
      <c r="AQ29" s="49" t="s">
        <v>326</v>
      </c>
      <c r="AR29" s="3">
        <v>718.82544359999997</v>
      </c>
      <c r="AS29" s="3">
        <v>1123.122228</v>
      </c>
      <c r="AT29" s="3">
        <v>844.34896000000003</v>
      </c>
      <c r="AU29" s="3">
        <v>863.18934000000002</v>
      </c>
      <c r="AV29" s="3">
        <v>310.60367669999999</v>
      </c>
      <c r="AW29" s="3">
        <v>1421.01791</v>
      </c>
      <c r="AX29" s="3">
        <v>756.48504749999995</v>
      </c>
      <c r="AY29" s="3">
        <v>595.11791789999995</v>
      </c>
      <c r="AZ29" s="3">
        <v>663.43682939999997</v>
      </c>
      <c r="BA29" s="3">
        <v>324.50400389999999</v>
      </c>
      <c r="BB29" s="3">
        <v>432.89255750000001</v>
      </c>
      <c r="BC29" s="3">
        <v>151.71877499999999</v>
      </c>
      <c r="BD29" s="3">
        <v>772.43244360000006</v>
      </c>
      <c r="BE29" s="48" t="s">
        <v>310</v>
      </c>
      <c r="BF29" s="49" t="s">
        <v>326</v>
      </c>
      <c r="BG29" s="3">
        <v>0</v>
      </c>
      <c r="BH29" s="3">
        <v>0.33300000000000002</v>
      </c>
      <c r="BI29" s="3">
        <v>0.83350000000000002</v>
      </c>
      <c r="BJ29" s="3">
        <v>0</v>
      </c>
      <c r="BK29" s="3">
        <v>0.34899999999999998</v>
      </c>
      <c r="BL29" s="3">
        <v>0.82499999999999996</v>
      </c>
      <c r="BM29" s="3">
        <v>0</v>
      </c>
      <c r="BN29" s="3">
        <v>0.45800000000000002</v>
      </c>
      <c r="BO29" s="3">
        <v>0.70650000000000002</v>
      </c>
      <c r="BP29" s="3">
        <v>0</v>
      </c>
      <c r="BQ29" s="3">
        <v>0.28899999999999998</v>
      </c>
      <c r="BR29" s="3">
        <v>0.75466666699999996</v>
      </c>
      <c r="BS29" s="3">
        <v>0</v>
      </c>
      <c r="BT29" s="3">
        <v>0.69599999999999995</v>
      </c>
      <c r="BU29" s="3">
        <v>0.78658333400000002</v>
      </c>
      <c r="BV29" s="3">
        <v>0</v>
      </c>
      <c r="BW29" s="3">
        <v>0.77900000000000003</v>
      </c>
      <c r="BX29" s="3">
        <v>0.83099999999999996</v>
      </c>
      <c r="BY29" s="3">
        <v>0</v>
      </c>
      <c r="BZ29" s="3">
        <v>0.77900000000000003</v>
      </c>
      <c r="CA29" s="3">
        <v>0.80600000000000005</v>
      </c>
      <c r="CB29" s="3">
        <v>0</v>
      </c>
      <c r="CC29" s="3">
        <v>0.39700000000000002</v>
      </c>
      <c r="CD29" s="3">
        <v>0.73966666700000006</v>
      </c>
      <c r="CE29" s="3">
        <v>0</v>
      </c>
      <c r="CF29" s="3">
        <v>0.40899999999999997</v>
      </c>
      <c r="CG29" s="3">
        <v>0.82899999999999996</v>
      </c>
      <c r="CH29" s="3">
        <v>0</v>
      </c>
      <c r="CI29" s="3">
        <v>0.61599999999999999</v>
      </c>
      <c r="CJ29" s="3">
        <v>0.875</v>
      </c>
      <c r="CK29" s="3">
        <v>0</v>
      </c>
      <c r="CL29" s="3">
        <v>0.41299999999999998</v>
      </c>
      <c r="CM29" s="3">
        <v>0.01</v>
      </c>
      <c r="CN29" s="3">
        <v>0</v>
      </c>
      <c r="CO29" s="3">
        <v>0.69699999999999995</v>
      </c>
      <c r="CP29" s="3">
        <v>0.77233333299999996</v>
      </c>
      <c r="CQ29" s="3">
        <v>0</v>
      </c>
      <c r="CR29" s="3">
        <v>0.65500000000000003</v>
      </c>
      <c r="CS29" s="3">
        <v>0.89800000000000002</v>
      </c>
      <c r="CT29" s="48" t="s">
        <v>310</v>
      </c>
      <c r="CU29" s="49" t="s">
        <v>326</v>
      </c>
      <c r="CV29" s="3">
        <v>-0.68600000000000005</v>
      </c>
      <c r="CW29" s="3">
        <v>-0.61499999999999999</v>
      </c>
      <c r="CX29" s="3">
        <v>-0.41099999999999998</v>
      </c>
      <c r="CY29" s="3">
        <v>5.3999999999999999E-2</v>
      </c>
      <c r="CZ29" s="3">
        <v>-1.3759999999999999</v>
      </c>
      <c r="DA29" s="3">
        <v>3.5390000000000001</v>
      </c>
      <c r="DB29" s="3">
        <v>1.3720000000000001</v>
      </c>
      <c r="DC29" s="3">
        <v>-0.376</v>
      </c>
      <c r="DD29" s="3">
        <v>0.215</v>
      </c>
      <c r="DE29" s="3">
        <v>1.9730000000000001</v>
      </c>
      <c r="DF29" s="3">
        <v>-0.86099999999999999</v>
      </c>
      <c r="DG29" s="3">
        <v>1.966</v>
      </c>
      <c r="DH29" s="3">
        <v>-0.246</v>
      </c>
    </row>
    <row r="30" spans="1:112" x14ac:dyDescent="0.3">
      <c r="A30" s="48" t="s">
        <v>310</v>
      </c>
      <c r="B30" s="49" t="s">
        <v>327</v>
      </c>
      <c r="C30" s="3">
        <v>30.404565300000002</v>
      </c>
      <c r="D30" s="3">
        <v>68.999887200000003</v>
      </c>
      <c r="E30" s="3">
        <v>32.771540700000003</v>
      </c>
      <c r="F30" s="3">
        <v>23.380267799999999</v>
      </c>
      <c r="G30" s="3">
        <v>23.380267799999999</v>
      </c>
      <c r="H30" s="3">
        <v>64.5554226</v>
      </c>
      <c r="I30" s="48" t="s">
        <v>310</v>
      </c>
      <c r="J30" s="49" t="s">
        <v>327</v>
      </c>
      <c r="K30" s="3">
        <v>31558.5</v>
      </c>
      <c r="L30" s="48" t="s">
        <v>310</v>
      </c>
      <c r="M30" s="49" t="s">
        <v>327</v>
      </c>
      <c r="N30" s="3">
        <v>2329.028828</v>
      </c>
      <c r="O30" s="3">
        <v>3270.007333</v>
      </c>
      <c r="P30" s="3">
        <v>1188.4227550000001</v>
      </c>
      <c r="Q30" s="3">
        <v>1485.426708</v>
      </c>
      <c r="R30" s="3">
        <v>3200.9756750000001</v>
      </c>
      <c r="S30" s="3">
        <v>2915.132396</v>
      </c>
      <c r="T30" s="3">
        <v>881.28814650000004</v>
      </c>
      <c r="U30" s="3">
        <v>2275.0958009999999</v>
      </c>
      <c r="V30" s="3">
        <v>1974.6434690000001</v>
      </c>
      <c r="W30" s="3">
        <v>696.56167240000002</v>
      </c>
      <c r="X30" s="3">
        <v>1894.317528</v>
      </c>
      <c r="Y30" s="3">
        <v>67.341697319999994</v>
      </c>
      <c r="Z30" s="3">
        <v>721.65392139999994</v>
      </c>
      <c r="AA30" s="48" t="s">
        <v>310</v>
      </c>
      <c r="AB30" s="49" t="s">
        <v>327</v>
      </c>
      <c r="AC30" s="3">
        <v>1463.517002</v>
      </c>
      <c r="AD30" s="3">
        <v>1452.847043</v>
      </c>
      <c r="AE30" s="3">
        <v>887.19111329999998</v>
      </c>
      <c r="AF30" s="3">
        <v>267.672124</v>
      </c>
      <c r="AG30" s="3">
        <v>2441.4987489999999</v>
      </c>
      <c r="AH30" s="3">
        <v>1998.6033420000001</v>
      </c>
      <c r="AI30" s="3">
        <v>1795.483862</v>
      </c>
      <c r="AJ30" s="3">
        <v>1812.679028</v>
      </c>
      <c r="AK30" s="3">
        <v>762.48683089999997</v>
      </c>
      <c r="AL30" s="3">
        <v>1128.4771780000001</v>
      </c>
      <c r="AM30" s="3">
        <v>2073.9409599999999</v>
      </c>
      <c r="AN30" s="3">
        <v>240.58607649999999</v>
      </c>
      <c r="AO30" s="3">
        <v>738.96861590000003</v>
      </c>
      <c r="AP30" s="48" t="s">
        <v>310</v>
      </c>
      <c r="AQ30" s="49" t="s">
        <v>327</v>
      </c>
      <c r="AR30" s="3">
        <v>781.52672840000002</v>
      </c>
      <c r="AS30" s="3">
        <v>1192.2374420000001</v>
      </c>
      <c r="AT30" s="3">
        <v>896.308896</v>
      </c>
      <c r="AU30" s="3">
        <v>916.30868399999997</v>
      </c>
      <c r="AV30" s="3">
        <v>337.69683229999998</v>
      </c>
      <c r="AW30" s="3">
        <v>1508.465166</v>
      </c>
      <c r="AX30" s="3">
        <v>803.03797350000002</v>
      </c>
      <c r="AY30" s="3">
        <v>647.02851510000005</v>
      </c>
      <c r="AZ30" s="3">
        <v>721.30670859999998</v>
      </c>
      <c r="BA30" s="3">
        <v>352.8096491</v>
      </c>
      <c r="BB30" s="3">
        <v>459.53209950000002</v>
      </c>
      <c r="BC30" s="3">
        <v>161.05531500000001</v>
      </c>
      <c r="BD30" s="3">
        <v>839.80972840000004</v>
      </c>
      <c r="BE30" s="48" t="s">
        <v>310</v>
      </c>
      <c r="BF30" s="49" t="s">
        <v>327</v>
      </c>
      <c r="BG30" s="3">
        <v>0</v>
      </c>
      <c r="BH30" s="3">
        <v>0.35099999999999998</v>
      </c>
      <c r="BI30" s="3">
        <v>0.82350000000000001</v>
      </c>
      <c r="BJ30" s="3">
        <v>0</v>
      </c>
      <c r="BK30" s="3">
        <v>0.33300000000000002</v>
      </c>
      <c r="BL30" s="3">
        <v>0.85599999999999998</v>
      </c>
      <c r="BM30" s="3">
        <v>0</v>
      </c>
      <c r="BN30" s="3">
        <v>0.46</v>
      </c>
      <c r="BO30" s="3">
        <v>0.69099999999999995</v>
      </c>
      <c r="BP30" s="3">
        <v>0</v>
      </c>
      <c r="BQ30" s="3">
        <v>0.313</v>
      </c>
      <c r="BR30" s="3">
        <v>0.755</v>
      </c>
      <c r="BS30" s="3">
        <v>0</v>
      </c>
      <c r="BT30" s="3">
        <v>0.70199999999999996</v>
      </c>
      <c r="BU30" s="3">
        <v>0.79325000000000001</v>
      </c>
      <c r="BV30" s="3">
        <v>0</v>
      </c>
      <c r="BW30" s="3">
        <v>0.75</v>
      </c>
      <c r="BX30" s="3">
        <v>0.80300000000000005</v>
      </c>
      <c r="BY30" s="3">
        <v>0</v>
      </c>
      <c r="BZ30" s="3">
        <v>0.75</v>
      </c>
      <c r="CA30" s="3">
        <v>0.82099999999999995</v>
      </c>
      <c r="CB30" s="3">
        <v>0</v>
      </c>
      <c r="CC30" s="3">
        <v>0.42299999999999999</v>
      </c>
      <c r="CD30" s="3">
        <v>0.76300000000000001</v>
      </c>
      <c r="CE30" s="3">
        <v>0</v>
      </c>
      <c r="CF30" s="3">
        <v>0.436</v>
      </c>
      <c r="CG30" s="3">
        <v>0.84550000000000003</v>
      </c>
      <c r="CH30" s="3">
        <v>0</v>
      </c>
      <c r="CI30" s="3">
        <v>0.61299999999999999</v>
      </c>
      <c r="CJ30" s="3">
        <v>0.90233333299999996</v>
      </c>
      <c r="CK30" s="3">
        <v>0</v>
      </c>
      <c r="CL30" s="3">
        <v>0.41599999999999998</v>
      </c>
      <c r="CM30" s="3">
        <v>0.01</v>
      </c>
      <c r="CN30" s="3">
        <v>0</v>
      </c>
      <c r="CO30" s="3">
        <v>0.72099999999999997</v>
      </c>
      <c r="CP30" s="3">
        <v>0.74466666699999995</v>
      </c>
      <c r="CQ30" s="3">
        <v>0</v>
      </c>
      <c r="CR30" s="3">
        <v>0.65800000000000003</v>
      </c>
      <c r="CS30" s="3">
        <v>0.86199999999999999</v>
      </c>
      <c r="CT30" s="48" t="s">
        <v>310</v>
      </c>
      <c r="CU30" s="49" t="s">
        <v>327</v>
      </c>
      <c r="CV30" s="3">
        <v>-0.79500000000000004</v>
      </c>
      <c r="CW30" s="3">
        <v>-0.85199999999999998</v>
      </c>
      <c r="CX30" s="3">
        <v>-0.63700000000000001</v>
      </c>
      <c r="CY30" s="3">
        <v>-0.54</v>
      </c>
      <c r="CZ30" s="3">
        <v>-1.577</v>
      </c>
      <c r="DA30" s="3">
        <v>3.629</v>
      </c>
      <c r="DB30" s="3">
        <v>1.042</v>
      </c>
      <c r="DC30" s="3">
        <v>-0.75600000000000001</v>
      </c>
      <c r="DD30" s="3">
        <v>-5.0000000000000001E-3</v>
      </c>
      <c r="DE30" s="3">
        <v>1.6739999999999999</v>
      </c>
      <c r="DF30" s="3">
        <v>-1.0760000000000001</v>
      </c>
      <c r="DG30" s="3">
        <v>1.8260000000000001</v>
      </c>
      <c r="DH30" s="3">
        <v>-0.48599999999999999</v>
      </c>
    </row>
    <row r="31" spans="1:112" x14ac:dyDescent="0.3">
      <c r="A31" s="48" t="s">
        <v>310</v>
      </c>
      <c r="B31" s="49" t="s">
        <v>328</v>
      </c>
      <c r="C31" s="3">
        <v>30.404565300000002</v>
      </c>
      <c r="D31" s="3">
        <v>75.751727099999997</v>
      </c>
      <c r="E31" s="3">
        <v>35.257716299999998</v>
      </c>
      <c r="F31" s="3">
        <v>24.138040499999999</v>
      </c>
      <c r="G31" s="3">
        <v>24.138040499999999</v>
      </c>
      <c r="H31" s="3">
        <v>72.0820638</v>
      </c>
      <c r="I31" s="48" t="s">
        <v>310</v>
      </c>
      <c r="J31" s="49" t="s">
        <v>328</v>
      </c>
      <c r="K31" s="3">
        <v>31102</v>
      </c>
      <c r="L31" s="48" t="s">
        <v>310</v>
      </c>
      <c r="M31" s="49" t="s">
        <v>328</v>
      </c>
      <c r="N31" s="3">
        <v>2382.6218880000001</v>
      </c>
      <c r="O31" s="3">
        <v>3347.8932460000001</v>
      </c>
      <c r="P31" s="3">
        <v>1215.8019959999999</v>
      </c>
      <c r="Q31" s="3">
        <v>1600.094758</v>
      </c>
      <c r="R31" s="3">
        <v>3147.5651779999998</v>
      </c>
      <c r="S31" s="3">
        <v>3026.8668290000001</v>
      </c>
      <c r="T31" s="3">
        <v>651.71768699999996</v>
      </c>
      <c r="U31" s="3">
        <v>2384.8146919999999</v>
      </c>
      <c r="V31" s="3">
        <v>1990.5102199999999</v>
      </c>
      <c r="W31" s="3">
        <v>568.50596250000001</v>
      </c>
      <c r="X31" s="3">
        <v>1679.270767</v>
      </c>
      <c r="Y31" s="3">
        <v>65.462001659999999</v>
      </c>
      <c r="Z31" s="3">
        <v>576.20280979999995</v>
      </c>
      <c r="AA31" s="48" t="s">
        <v>310</v>
      </c>
      <c r="AB31" s="49" t="s">
        <v>328</v>
      </c>
      <c r="AC31" s="3">
        <v>1858.6262750000001</v>
      </c>
      <c r="AD31" s="3">
        <v>1719.3900410000001</v>
      </c>
      <c r="AE31" s="3">
        <v>1049.9574419999999</v>
      </c>
      <c r="AF31" s="3">
        <v>316.77992970000003</v>
      </c>
      <c r="AG31" s="3">
        <v>3100.636152</v>
      </c>
      <c r="AH31" s="3">
        <v>2365.272172</v>
      </c>
      <c r="AI31" s="3">
        <v>2124.887878</v>
      </c>
      <c r="AJ31" s="3">
        <v>2302.0524300000002</v>
      </c>
      <c r="AK31" s="3">
        <v>968.33727009999996</v>
      </c>
      <c r="AL31" s="3">
        <v>1433.1349279999999</v>
      </c>
      <c r="AM31" s="3">
        <v>2454.4314199999999</v>
      </c>
      <c r="AN31" s="3">
        <v>284.7246073</v>
      </c>
      <c r="AO31" s="3">
        <v>938.46978490000004</v>
      </c>
      <c r="AP31" s="48" t="s">
        <v>310</v>
      </c>
      <c r="AQ31" s="49" t="s">
        <v>328</v>
      </c>
      <c r="AR31" s="3">
        <v>853.18533960000002</v>
      </c>
      <c r="AS31" s="3">
        <v>1264.8084160000001</v>
      </c>
      <c r="AT31" s="3">
        <v>950.86682880000001</v>
      </c>
      <c r="AU31" s="3">
        <v>972.0839952</v>
      </c>
      <c r="AV31" s="3">
        <v>368.66043869999999</v>
      </c>
      <c r="AW31" s="3">
        <v>1600.2847850000001</v>
      </c>
      <c r="AX31" s="3">
        <v>851.91854579999995</v>
      </c>
      <c r="AY31" s="3">
        <v>706.35491190000005</v>
      </c>
      <c r="AZ31" s="3">
        <v>787.44371339999998</v>
      </c>
      <c r="BA31" s="3">
        <v>385.15895790000002</v>
      </c>
      <c r="BB31" s="3">
        <v>487.50361859999998</v>
      </c>
      <c r="BC31" s="3">
        <v>170.85868199999999</v>
      </c>
      <c r="BD31" s="3">
        <v>916.81233959999997</v>
      </c>
      <c r="BE31" s="48" t="s">
        <v>310</v>
      </c>
      <c r="BF31" s="49" t="s">
        <v>328</v>
      </c>
      <c r="BG31" s="3">
        <v>0</v>
      </c>
      <c r="BH31" s="3">
        <v>0.38</v>
      </c>
      <c r="BI31" s="3">
        <v>0.84850000000000003</v>
      </c>
      <c r="BJ31" s="3">
        <v>0</v>
      </c>
      <c r="BK31" s="3">
        <v>0.32100000000000001</v>
      </c>
      <c r="BL31" s="3">
        <v>0.86050000000000004</v>
      </c>
      <c r="BM31" s="3">
        <v>0</v>
      </c>
      <c r="BN31" s="3">
        <v>0.45500000000000002</v>
      </c>
      <c r="BO31" s="3">
        <v>0.72950000000000004</v>
      </c>
      <c r="BP31" s="3">
        <v>0</v>
      </c>
      <c r="BQ31" s="3">
        <v>0.33800000000000002</v>
      </c>
      <c r="BR31" s="3">
        <v>0.79033333299999997</v>
      </c>
      <c r="BS31" s="3">
        <v>0</v>
      </c>
      <c r="BT31" s="3">
        <v>0.73799999999999999</v>
      </c>
      <c r="BU31" s="3">
        <v>0.83574999999999999</v>
      </c>
      <c r="BV31" s="3">
        <v>0</v>
      </c>
      <c r="BW31" s="3">
        <v>0.70399999999999996</v>
      </c>
      <c r="BX31" s="3">
        <v>0.83599999999999997</v>
      </c>
      <c r="BY31" s="3">
        <v>0</v>
      </c>
      <c r="BZ31" s="3">
        <v>0.70399999999999996</v>
      </c>
      <c r="CA31" s="3">
        <v>0.82299999999999995</v>
      </c>
      <c r="CB31" s="3">
        <v>0</v>
      </c>
      <c r="CC31" s="3">
        <v>0.44900000000000001</v>
      </c>
      <c r="CD31" s="3">
        <v>0.82299999999999995</v>
      </c>
      <c r="CE31" s="3">
        <v>0</v>
      </c>
      <c r="CF31" s="3">
        <v>0.45700000000000002</v>
      </c>
      <c r="CG31" s="3">
        <v>0.86550000000000005</v>
      </c>
      <c r="CH31" s="3">
        <v>0</v>
      </c>
      <c r="CI31" s="3">
        <v>0.63200000000000001</v>
      </c>
      <c r="CJ31" s="3">
        <v>0.91833333299999997</v>
      </c>
      <c r="CK31" s="3">
        <v>0</v>
      </c>
      <c r="CL31" s="3">
        <v>0.40300000000000002</v>
      </c>
      <c r="CM31" s="3">
        <v>0.01</v>
      </c>
      <c r="CN31" s="3">
        <v>0</v>
      </c>
      <c r="CO31" s="3">
        <v>0.748</v>
      </c>
      <c r="CP31" s="3">
        <v>0.77700000000000002</v>
      </c>
      <c r="CQ31" s="3">
        <v>0</v>
      </c>
      <c r="CR31" s="3">
        <v>0.65200000000000002</v>
      </c>
      <c r="CS31" s="3">
        <v>0.83199999999999996</v>
      </c>
      <c r="CT31" s="48" t="s">
        <v>310</v>
      </c>
      <c r="CU31" s="49" t="s">
        <v>328</v>
      </c>
      <c r="CV31" s="3">
        <v>-0.94299999999999995</v>
      </c>
      <c r="CW31" s="3">
        <v>-0.98199999999999998</v>
      </c>
      <c r="CX31" s="3">
        <v>-0.77800000000000002</v>
      </c>
      <c r="CY31" s="3">
        <v>-0.84799999999999998</v>
      </c>
      <c r="CZ31" s="3">
        <v>-1.7789999999999999</v>
      </c>
      <c r="DA31" s="3">
        <v>3.7749999999999999</v>
      </c>
      <c r="DB31" s="3">
        <v>0.55400000000000005</v>
      </c>
      <c r="DC31" s="3">
        <v>-1.06</v>
      </c>
      <c r="DD31" s="3">
        <v>-0.23</v>
      </c>
      <c r="DE31" s="3">
        <v>1.3440000000000001</v>
      </c>
      <c r="DF31" s="3">
        <v>-1.262</v>
      </c>
      <c r="DG31" s="3">
        <v>1.64</v>
      </c>
      <c r="DH31" s="3">
        <v>-0.61499999999999999</v>
      </c>
    </row>
    <row r="32" spans="1:112" x14ac:dyDescent="0.3">
      <c r="A32" s="48" t="s">
        <v>310</v>
      </c>
      <c r="B32" s="49" t="s">
        <v>329</v>
      </c>
      <c r="C32" s="3">
        <v>30.4130796</v>
      </c>
      <c r="D32" s="3">
        <v>92.124725999999995</v>
      </c>
      <c r="E32" s="3">
        <v>38.0674353</v>
      </c>
      <c r="F32" s="3">
        <v>24.904327500000001</v>
      </c>
      <c r="G32" s="3">
        <v>24.904327500000001</v>
      </c>
      <c r="H32" s="3">
        <v>85.543172100000007</v>
      </c>
      <c r="I32" s="48" t="s">
        <v>310</v>
      </c>
      <c r="J32" s="49" t="s">
        <v>329</v>
      </c>
      <c r="K32" s="3">
        <v>32000.5</v>
      </c>
      <c r="L32" s="48" t="s">
        <v>310</v>
      </c>
      <c r="M32" s="49" t="s">
        <v>329</v>
      </c>
      <c r="N32" s="3">
        <v>3155.1254949999998</v>
      </c>
      <c r="O32" s="3">
        <v>4277.0539930000004</v>
      </c>
      <c r="P32" s="3">
        <v>1736.2212340000001</v>
      </c>
      <c r="Q32" s="3">
        <v>1952.6837270000001</v>
      </c>
      <c r="R32" s="3">
        <v>3847.64311</v>
      </c>
      <c r="S32" s="3">
        <v>3690.5437230000002</v>
      </c>
      <c r="T32" s="3">
        <v>1288.802459</v>
      </c>
      <c r="U32" s="3">
        <v>3431.8907690000001</v>
      </c>
      <c r="V32" s="3">
        <v>2709.61978</v>
      </c>
      <c r="W32" s="3">
        <v>1058.5443230000001</v>
      </c>
      <c r="X32" s="3">
        <v>2473.8060449999998</v>
      </c>
      <c r="Y32" s="3">
        <v>135.0585169</v>
      </c>
      <c r="Z32" s="3">
        <v>697.27353860000005</v>
      </c>
      <c r="AA32" s="48" t="s">
        <v>310</v>
      </c>
      <c r="AB32" s="49" t="s">
        <v>329</v>
      </c>
      <c r="AC32" s="3">
        <v>2019.895366</v>
      </c>
      <c r="AD32" s="3">
        <v>1726.8982940000001</v>
      </c>
      <c r="AE32" s="3">
        <v>1054.5424089999999</v>
      </c>
      <c r="AF32" s="3">
        <v>318.16324809999998</v>
      </c>
      <c r="AG32" s="3">
        <v>3369.6718270000001</v>
      </c>
      <c r="AH32" s="3">
        <v>2375.600872</v>
      </c>
      <c r="AI32" s="3">
        <v>2134.1668639999998</v>
      </c>
      <c r="AJ32" s="3">
        <v>2501.7966750000001</v>
      </c>
      <c r="AK32" s="3">
        <v>1052.357857</v>
      </c>
      <c r="AL32" s="3">
        <v>1557.4850300000001</v>
      </c>
      <c r="AM32" s="3">
        <v>2465.149461</v>
      </c>
      <c r="AN32" s="3">
        <v>285.96794619999997</v>
      </c>
      <c r="AO32" s="3">
        <v>1019.898834</v>
      </c>
      <c r="AP32" s="48" t="s">
        <v>310</v>
      </c>
      <c r="AQ32" s="49" t="s">
        <v>329</v>
      </c>
      <c r="AR32" s="3">
        <v>1034.571199</v>
      </c>
      <c r="AS32" s="3">
        <v>1558.548076</v>
      </c>
      <c r="AT32" s="3">
        <v>1171.696557</v>
      </c>
      <c r="AU32" s="3">
        <v>1197.8412069999999</v>
      </c>
      <c r="AV32" s="3">
        <v>447.03706740000001</v>
      </c>
      <c r="AW32" s="3">
        <v>1971.9356230000001</v>
      </c>
      <c r="AX32" s="3">
        <v>1049.7684810000001</v>
      </c>
      <c r="AY32" s="3">
        <v>856.52485379999996</v>
      </c>
      <c r="AZ32" s="3">
        <v>954.8530068</v>
      </c>
      <c r="BA32" s="3">
        <v>467.04314579999999</v>
      </c>
      <c r="BB32" s="3">
        <v>600.72167209999998</v>
      </c>
      <c r="BC32" s="3">
        <v>210.53897699999999</v>
      </c>
      <c r="BD32" s="3">
        <v>1111.725199</v>
      </c>
      <c r="BE32" s="48" t="s">
        <v>310</v>
      </c>
      <c r="BF32" s="49" t="s">
        <v>329</v>
      </c>
      <c r="BG32" s="3">
        <v>0</v>
      </c>
      <c r="BH32" s="3">
        <v>0.41799999999999998</v>
      </c>
      <c r="BI32" s="3">
        <v>0.87</v>
      </c>
      <c r="BJ32" s="3">
        <v>0</v>
      </c>
      <c r="BK32" s="3">
        <v>0.34100000000000003</v>
      </c>
      <c r="BL32" s="3">
        <v>0.86399999999999999</v>
      </c>
      <c r="BM32" s="3">
        <v>0</v>
      </c>
      <c r="BN32" s="3">
        <v>0.45400000000000001</v>
      </c>
      <c r="BO32" s="3">
        <v>0.76449999999999996</v>
      </c>
      <c r="BP32" s="3">
        <v>0</v>
      </c>
      <c r="BQ32" s="3">
        <v>0.36099999999999999</v>
      </c>
      <c r="BR32" s="3">
        <v>0.79566666699999999</v>
      </c>
      <c r="BS32" s="3">
        <v>0</v>
      </c>
      <c r="BT32" s="3">
        <v>0.77800000000000002</v>
      </c>
      <c r="BU32" s="3">
        <v>0.85750000000000004</v>
      </c>
      <c r="BV32" s="3">
        <v>0</v>
      </c>
      <c r="BW32" s="3">
        <v>0.65700000000000003</v>
      </c>
      <c r="BX32" s="3">
        <v>0.84599999999999997</v>
      </c>
      <c r="BY32" s="3">
        <v>0</v>
      </c>
      <c r="BZ32" s="3">
        <v>0.65700000000000003</v>
      </c>
      <c r="CA32" s="3">
        <v>0.87450000000000006</v>
      </c>
      <c r="CB32" s="3">
        <v>0</v>
      </c>
      <c r="CC32" s="3">
        <v>0.46600000000000003</v>
      </c>
      <c r="CD32" s="3">
        <v>0.84499999999999997</v>
      </c>
      <c r="CE32" s="3">
        <v>0</v>
      </c>
      <c r="CF32" s="3">
        <v>0.47</v>
      </c>
      <c r="CG32" s="3">
        <v>0.87</v>
      </c>
      <c r="CH32" s="3">
        <v>0</v>
      </c>
      <c r="CI32" s="3">
        <v>0.66500000000000004</v>
      </c>
      <c r="CJ32" s="3">
        <v>0.924666667</v>
      </c>
      <c r="CK32" s="3">
        <v>0</v>
      </c>
      <c r="CL32" s="3">
        <v>0.41599999999999998</v>
      </c>
      <c r="CM32" s="3">
        <v>0.01</v>
      </c>
      <c r="CN32" s="3">
        <v>0</v>
      </c>
      <c r="CO32" s="3">
        <v>0.755</v>
      </c>
      <c r="CP32" s="3">
        <v>0.80300000000000005</v>
      </c>
      <c r="CQ32" s="3">
        <v>0</v>
      </c>
      <c r="CR32" s="3">
        <v>0.65</v>
      </c>
      <c r="CS32" s="3">
        <v>0.83699999999999997</v>
      </c>
      <c r="CT32" s="48" t="s">
        <v>310</v>
      </c>
      <c r="CU32" s="49" t="s">
        <v>329</v>
      </c>
      <c r="CV32" s="3">
        <v>-1.119</v>
      </c>
      <c r="CW32" s="3">
        <v>-1.026</v>
      </c>
      <c r="CX32" s="3">
        <v>-0.83599999999999997</v>
      </c>
      <c r="CY32" s="3">
        <v>-1.4059999999999999</v>
      </c>
      <c r="CZ32" s="3">
        <v>-1.9890000000000001</v>
      </c>
      <c r="DA32" s="3">
        <v>3.8530000000000002</v>
      </c>
      <c r="DB32" s="3">
        <v>-4.7E-2</v>
      </c>
      <c r="DC32" s="3">
        <v>-1.294</v>
      </c>
      <c r="DD32" s="3">
        <v>-0.48199999999999998</v>
      </c>
      <c r="DE32" s="3">
        <v>1.1479999999999999</v>
      </c>
      <c r="DF32" s="3">
        <v>-1.4279999999999999</v>
      </c>
      <c r="DG32" s="3">
        <v>1.389</v>
      </c>
      <c r="DH32" s="3">
        <v>-0.68200000000000005</v>
      </c>
    </row>
    <row r="33" spans="1:112" x14ac:dyDescent="0.3">
      <c r="A33" s="48" t="s">
        <v>310</v>
      </c>
      <c r="B33" s="49" t="s">
        <v>330</v>
      </c>
      <c r="C33" s="3">
        <v>25.3044996</v>
      </c>
      <c r="D33" s="3">
        <v>127.7145</v>
      </c>
      <c r="E33" s="3">
        <v>50.259912900000003</v>
      </c>
      <c r="F33" s="3">
        <v>26.513530200000002</v>
      </c>
      <c r="G33" s="3">
        <v>26.513530200000002</v>
      </c>
      <c r="H33" s="3">
        <v>114.6705924</v>
      </c>
      <c r="I33" s="48" t="s">
        <v>310</v>
      </c>
      <c r="J33" s="49" t="s">
        <v>330</v>
      </c>
      <c r="K33" s="3">
        <v>36740</v>
      </c>
      <c r="L33" s="48" t="s">
        <v>310</v>
      </c>
      <c r="M33" s="49" t="s">
        <v>330</v>
      </c>
      <c r="N33" s="3">
        <v>5067.1490100000001</v>
      </c>
      <c r="O33" s="3">
        <v>6042.9469209999997</v>
      </c>
      <c r="P33" s="3">
        <v>3254.6791760000001</v>
      </c>
      <c r="Q33" s="3">
        <v>3146.3824920000002</v>
      </c>
      <c r="R33" s="3">
        <v>6053.0342979999996</v>
      </c>
      <c r="S33" s="3">
        <v>5082.5480269999998</v>
      </c>
      <c r="T33" s="3">
        <v>3010.4226800000001</v>
      </c>
      <c r="U33" s="3">
        <v>6934.6746590000002</v>
      </c>
      <c r="V33" s="3">
        <v>5303.4945950000001</v>
      </c>
      <c r="W33" s="3">
        <v>2568.8629099999998</v>
      </c>
      <c r="X33" s="3">
        <v>3557.22786</v>
      </c>
      <c r="Y33" s="3">
        <v>301.26770909999999</v>
      </c>
      <c r="Z33" s="3">
        <v>1003.275393</v>
      </c>
      <c r="AA33" s="48" t="s">
        <v>310</v>
      </c>
      <c r="AB33" s="49" t="s">
        <v>330</v>
      </c>
      <c r="AC33" s="3">
        <v>2495.6391840000001</v>
      </c>
      <c r="AD33" s="3">
        <v>2038.4908129999999</v>
      </c>
      <c r="AE33" s="3">
        <v>1244.8185390000001</v>
      </c>
      <c r="AF33" s="3">
        <v>375.57096469999999</v>
      </c>
      <c r="AG33" s="3">
        <v>4163.3270679999996</v>
      </c>
      <c r="AH33" s="3">
        <v>2804.2418990000001</v>
      </c>
      <c r="AI33" s="3">
        <v>2519.2447990000001</v>
      </c>
      <c r="AJ33" s="3">
        <v>3091.0421999999999</v>
      </c>
      <c r="AK33" s="3">
        <v>1300.2185899999999</v>
      </c>
      <c r="AL33" s="3">
        <v>1924.317832</v>
      </c>
      <c r="AM33" s="3">
        <v>2909.9481679999999</v>
      </c>
      <c r="AN33" s="3">
        <v>337.56651040000003</v>
      </c>
      <c r="AO33" s="3">
        <v>1260.114527</v>
      </c>
      <c r="AP33" s="48" t="s">
        <v>310</v>
      </c>
      <c r="AQ33" s="49" t="s">
        <v>330</v>
      </c>
      <c r="AR33" s="3">
        <v>1182.3670850000001</v>
      </c>
      <c r="AS33" s="3">
        <v>1793.5398029999999</v>
      </c>
      <c r="AT33" s="3">
        <v>1348.3603390000001</v>
      </c>
      <c r="AU33" s="3">
        <v>1378.4469770000001</v>
      </c>
      <c r="AV33" s="3">
        <v>510.8995056</v>
      </c>
      <c r="AW33" s="3">
        <v>2269.2562929999999</v>
      </c>
      <c r="AX33" s="3">
        <v>1208.0484300000001</v>
      </c>
      <c r="AY33" s="3">
        <v>978.88554720000002</v>
      </c>
      <c r="AZ33" s="3">
        <v>1091.260579</v>
      </c>
      <c r="BA33" s="3">
        <v>533.76359520000005</v>
      </c>
      <c r="BB33" s="3">
        <v>691.29611490000002</v>
      </c>
      <c r="BC33" s="3">
        <v>242.28321299999999</v>
      </c>
      <c r="BD33" s="3">
        <v>1270.543085</v>
      </c>
      <c r="BE33" s="48" t="s">
        <v>310</v>
      </c>
      <c r="BF33" s="49" t="s">
        <v>330</v>
      </c>
      <c r="BG33" s="3">
        <v>0</v>
      </c>
      <c r="BH33" s="3">
        <v>0.44500000000000001</v>
      </c>
      <c r="BI33" s="3">
        <v>0.88400000000000001</v>
      </c>
      <c r="BJ33" s="3">
        <v>0</v>
      </c>
      <c r="BK33" s="3">
        <v>0.374</v>
      </c>
      <c r="BL33" s="3">
        <v>0.872</v>
      </c>
      <c r="BM33" s="3">
        <v>0</v>
      </c>
      <c r="BN33" s="3">
        <v>0.46899999999999997</v>
      </c>
      <c r="BO33" s="3">
        <v>0.76249999999999996</v>
      </c>
      <c r="BP33" s="3">
        <v>0</v>
      </c>
      <c r="BQ33" s="3">
        <v>0.37</v>
      </c>
      <c r="BR33" s="3">
        <v>0.80433333299999998</v>
      </c>
      <c r="BS33" s="3">
        <v>0</v>
      </c>
      <c r="BT33" s="3">
        <v>0.80500000000000005</v>
      </c>
      <c r="BU33" s="3">
        <v>0.87583333399999996</v>
      </c>
      <c r="BV33" s="3">
        <v>0</v>
      </c>
      <c r="BW33" s="3">
        <v>0.61199999999999999</v>
      </c>
      <c r="BX33" s="3">
        <v>0.83899999999999997</v>
      </c>
      <c r="BY33" s="3">
        <v>0</v>
      </c>
      <c r="BZ33" s="3">
        <v>0.61199999999999999</v>
      </c>
      <c r="CA33" s="3">
        <v>0.9345</v>
      </c>
      <c r="CB33" s="3">
        <v>0</v>
      </c>
      <c r="CC33" s="3">
        <v>0.47799999999999998</v>
      </c>
      <c r="CD33" s="3">
        <v>0.86766666699999995</v>
      </c>
      <c r="CE33" s="3">
        <v>0</v>
      </c>
      <c r="CF33" s="3">
        <v>0.47599999999999998</v>
      </c>
      <c r="CG33" s="3">
        <v>0.86050000000000004</v>
      </c>
      <c r="CH33" s="3">
        <v>0</v>
      </c>
      <c r="CI33" s="3">
        <v>0.68400000000000005</v>
      </c>
      <c r="CJ33" s="3">
        <v>0.90766666699999998</v>
      </c>
      <c r="CK33" s="3">
        <v>0</v>
      </c>
      <c r="CL33" s="3">
        <v>0.45800000000000002</v>
      </c>
      <c r="CM33" s="3">
        <v>0.01</v>
      </c>
      <c r="CN33" s="3">
        <v>0</v>
      </c>
      <c r="CO33" s="3">
        <v>0.75</v>
      </c>
      <c r="CP33" s="3">
        <v>0.82699999999999996</v>
      </c>
      <c r="CQ33" s="3">
        <v>0</v>
      </c>
      <c r="CR33" s="3">
        <v>0.66900000000000004</v>
      </c>
      <c r="CS33" s="3">
        <v>0.86499999999999999</v>
      </c>
      <c r="CT33" s="48" t="s">
        <v>310</v>
      </c>
      <c r="CU33" s="49" t="s">
        <v>330</v>
      </c>
      <c r="CV33" s="3">
        <v>-1.3149999999999999</v>
      </c>
      <c r="CW33" s="3">
        <v>-1.008</v>
      </c>
      <c r="CX33" s="3">
        <v>-0.79800000000000004</v>
      </c>
      <c r="CY33" s="3">
        <v>-1.571</v>
      </c>
      <c r="CZ33" s="3">
        <v>-2.1840000000000002</v>
      </c>
      <c r="DA33" s="3">
        <v>3.7989999999999999</v>
      </c>
      <c r="DB33" s="3">
        <v>-0.72699999999999998</v>
      </c>
      <c r="DC33" s="3">
        <v>-1.4590000000000001</v>
      </c>
      <c r="DD33" s="3">
        <v>-0.65800000000000003</v>
      </c>
      <c r="DE33" s="3">
        <v>0.88</v>
      </c>
      <c r="DF33" s="3">
        <v>-1.5469999999999999</v>
      </c>
      <c r="DG33" s="3">
        <v>1.056</v>
      </c>
      <c r="DH33" s="3">
        <v>-0.755</v>
      </c>
    </row>
    <row r="34" spans="1:112" x14ac:dyDescent="0.3">
      <c r="A34" s="48" t="s">
        <v>310</v>
      </c>
      <c r="B34" s="49" t="s">
        <v>331</v>
      </c>
      <c r="C34" s="3">
        <v>33.699599399999997</v>
      </c>
      <c r="D34" s="3">
        <v>140.41783559999999</v>
      </c>
      <c r="E34" s="3">
        <v>51.477457800000003</v>
      </c>
      <c r="F34" s="3">
        <v>26.785987800000001</v>
      </c>
      <c r="G34" s="3">
        <v>26.785987800000001</v>
      </c>
      <c r="H34" s="3">
        <v>140.41783559999999</v>
      </c>
      <c r="I34" s="48" t="s">
        <v>310</v>
      </c>
      <c r="J34" s="49" t="s">
        <v>331</v>
      </c>
      <c r="K34" s="3">
        <v>43796.5</v>
      </c>
      <c r="L34" s="48" t="s">
        <v>310</v>
      </c>
      <c r="M34" s="49" t="s">
        <v>331</v>
      </c>
      <c r="N34" s="3">
        <v>10283.49437</v>
      </c>
      <c r="O34" s="3">
        <v>12062.84274</v>
      </c>
      <c r="P34" s="3">
        <v>6821.0110649999997</v>
      </c>
      <c r="Q34" s="3">
        <v>5804.2254720000001</v>
      </c>
      <c r="R34" s="3">
        <v>11208.474539999999</v>
      </c>
      <c r="S34" s="3">
        <v>11017.01187</v>
      </c>
      <c r="T34" s="3">
        <v>7104.627547</v>
      </c>
      <c r="U34" s="3">
        <v>14110.05552</v>
      </c>
      <c r="V34" s="3">
        <v>10485.59901</v>
      </c>
      <c r="W34" s="3">
        <v>6709.6142620000001</v>
      </c>
      <c r="X34" s="3">
        <v>8501.8575340000007</v>
      </c>
      <c r="Y34" s="3">
        <v>863.04464499999995</v>
      </c>
      <c r="Z34" s="3">
        <v>1970.0760069999999</v>
      </c>
      <c r="AA34" s="48" t="s">
        <v>310</v>
      </c>
      <c r="AB34" s="49" t="s">
        <v>331</v>
      </c>
      <c r="AC34" s="3">
        <v>2463.385366</v>
      </c>
      <c r="AD34" s="3">
        <v>2098.5568400000002</v>
      </c>
      <c r="AE34" s="3">
        <v>1281.4982749999999</v>
      </c>
      <c r="AF34" s="3">
        <v>386.63751239999999</v>
      </c>
      <c r="AG34" s="3">
        <v>4109.5199329999996</v>
      </c>
      <c r="AH34" s="3">
        <v>2886.871494</v>
      </c>
      <c r="AI34" s="3">
        <v>2593.47669</v>
      </c>
      <c r="AJ34" s="3">
        <v>3051.093351</v>
      </c>
      <c r="AK34" s="3">
        <v>1283.414473</v>
      </c>
      <c r="AL34" s="3">
        <v>1899.447811</v>
      </c>
      <c r="AM34" s="3">
        <v>2995.6924979999999</v>
      </c>
      <c r="AN34" s="3">
        <v>347.51322160000001</v>
      </c>
      <c r="AO34" s="3">
        <v>1243.8287170000001</v>
      </c>
      <c r="AP34" s="48" t="s">
        <v>310</v>
      </c>
      <c r="AQ34" s="49" t="s">
        <v>331</v>
      </c>
      <c r="AR34" s="3">
        <v>1218.1963900000001</v>
      </c>
      <c r="AS34" s="3">
        <v>1886.8453420000001</v>
      </c>
      <c r="AT34" s="3">
        <v>1418.506253</v>
      </c>
      <c r="AU34" s="3">
        <v>1450.158091</v>
      </c>
      <c r="AV34" s="3">
        <v>526.38130880000006</v>
      </c>
      <c r="AW34" s="3">
        <v>2387.3100890000001</v>
      </c>
      <c r="AX34" s="3">
        <v>1270.8948800000001</v>
      </c>
      <c r="AY34" s="3">
        <v>1008.5487460000001</v>
      </c>
      <c r="AZ34" s="3">
        <v>1124.329082</v>
      </c>
      <c r="BA34" s="3">
        <v>549.93824959999995</v>
      </c>
      <c r="BB34" s="3">
        <v>727.25949660000003</v>
      </c>
      <c r="BC34" s="3">
        <v>254.887542</v>
      </c>
      <c r="BD34" s="3">
        <v>1309.04439</v>
      </c>
      <c r="BE34" s="48" t="s">
        <v>310</v>
      </c>
      <c r="BF34" s="49" t="s">
        <v>331</v>
      </c>
      <c r="BG34" s="3">
        <v>0</v>
      </c>
      <c r="BH34" s="3">
        <v>0.44700000000000001</v>
      </c>
      <c r="BI34" s="3">
        <v>0.87450000000000006</v>
      </c>
      <c r="BJ34" s="3">
        <v>0</v>
      </c>
      <c r="BK34" s="3">
        <v>0.4</v>
      </c>
      <c r="BL34" s="3">
        <v>0.89</v>
      </c>
      <c r="BM34" s="3">
        <v>0</v>
      </c>
      <c r="BN34" s="3">
        <v>0.47699999999999998</v>
      </c>
      <c r="BO34" s="3">
        <v>0.77749999999999997</v>
      </c>
      <c r="BP34" s="3">
        <v>0</v>
      </c>
      <c r="BQ34" s="3">
        <v>0.35499999999999998</v>
      </c>
      <c r="BR34" s="3">
        <v>0.83766666700000003</v>
      </c>
      <c r="BS34" s="3">
        <v>0</v>
      </c>
      <c r="BT34" s="3">
        <v>0.82</v>
      </c>
      <c r="BU34" s="3">
        <v>0.87275000000000003</v>
      </c>
      <c r="BV34" s="3">
        <v>0</v>
      </c>
      <c r="BW34" s="3">
        <v>0.59299999999999997</v>
      </c>
      <c r="BX34" s="3">
        <v>0.84599999999999997</v>
      </c>
      <c r="BY34" s="3">
        <v>0</v>
      </c>
      <c r="BZ34" s="3">
        <v>0.59299999999999997</v>
      </c>
      <c r="CA34" s="3">
        <v>0.96099999999999997</v>
      </c>
      <c r="CB34" s="3">
        <v>0</v>
      </c>
      <c r="CC34" s="3">
        <v>0.47199999999999998</v>
      </c>
      <c r="CD34" s="3">
        <v>0.871</v>
      </c>
      <c r="CE34" s="3">
        <v>0</v>
      </c>
      <c r="CF34" s="3">
        <v>0.47299999999999998</v>
      </c>
      <c r="CG34" s="3">
        <v>0.85450000000000004</v>
      </c>
      <c r="CH34" s="3">
        <v>0</v>
      </c>
      <c r="CI34" s="3">
        <v>0.7</v>
      </c>
      <c r="CJ34" s="3">
        <v>0.87133333300000004</v>
      </c>
      <c r="CK34" s="3">
        <v>0</v>
      </c>
      <c r="CL34" s="3">
        <v>0.47899999999999998</v>
      </c>
      <c r="CM34" s="3">
        <v>0.01</v>
      </c>
      <c r="CN34" s="3">
        <v>0</v>
      </c>
      <c r="CO34" s="3">
        <v>0.755</v>
      </c>
      <c r="CP34" s="3">
        <v>0.82666666700000002</v>
      </c>
      <c r="CQ34" s="3">
        <v>0</v>
      </c>
      <c r="CR34" s="3">
        <v>0.68300000000000005</v>
      </c>
      <c r="CS34" s="3">
        <v>0.85599999999999998</v>
      </c>
      <c r="CT34" s="48" t="s">
        <v>310</v>
      </c>
      <c r="CU34" s="49" t="s">
        <v>331</v>
      </c>
      <c r="CV34" s="3">
        <v>-1.5580000000000001</v>
      </c>
      <c r="CW34" s="3">
        <v>-1.05</v>
      </c>
      <c r="CX34" s="3">
        <v>-0.754</v>
      </c>
      <c r="CY34" s="3">
        <v>-1.798</v>
      </c>
      <c r="CZ34" s="3">
        <v>-2.2389999999999999</v>
      </c>
      <c r="DA34" s="3">
        <v>3.5779999999999998</v>
      </c>
      <c r="DB34" s="3">
        <v>-1.5389999999999999</v>
      </c>
      <c r="DC34" s="3">
        <v>-1.452</v>
      </c>
      <c r="DD34" s="3">
        <v>-0.72499999999999998</v>
      </c>
      <c r="DE34" s="3">
        <v>0.63700000000000001</v>
      </c>
      <c r="DF34" s="3">
        <v>-1.716</v>
      </c>
      <c r="DG34" s="3">
        <v>0.79900000000000004</v>
      </c>
      <c r="DH34" s="3">
        <v>-0.92500000000000004</v>
      </c>
    </row>
    <row r="35" spans="1:112" x14ac:dyDescent="0.3">
      <c r="A35" s="48" t="s">
        <v>310</v>
      </c>
      <c r="B35" s="49" t="s">
        <v>332</v>
      </c>
      <c r="C35" s="3">
        <v>52.184144699999997</v>
      </c>
      <c r="D35" s="3">
        <v>127.7145</v>
      </c>
      <c r="E35" s="3">
        <v>58.271869199999998</v>
      </c>
      <c r="F35" s="3">
        <v>26.683816199999999</v>
      </c>
      <c r="G35" s="3">
        <v>26.683816199999999</v>
      </c>
      <c r="H35" s="3">
        <v>110.4474996</v>
      </c>
      <c r="I35" s="48" t="s">
        <v>310</v>
      </c>
      <c r="J35" s="49" t="s">
        <v>332</v>
      </c>
      <c r="K35" s="3">
        <v>45913</v>
      </c>
      <c r="L35" s="48" t="s">
        <v>310</v>
      </c>
      <c r="M35" s="49" t="s">
        <v>332</v>
      </c>
      <c r="N35" s="3">
        <v>12199.570949999999</v>
      </c>
      <c r="O35" s="3">
        <v>14659.04795</v>
      </c>
      <c r="P35" s="3">
        <v>8468.7594520000002</v>
      </c>
      <c r="Q35" s="3">
        <v>7254.200801</v>
      </c>
      <c r="R35" s="3">
        <v>13306.25668</v>
      </c>
      <c r="S35" s="3">
        <v>14330.943579999999</v>
      </c>
      <c r="T35" s="3">
        <v>9186.3719600000004</v>
      </c>
      <c r="U35" s="3">
        <v>16015.137360000001</v>
      </c>
      <c r="V35" s="3">
        <v>12178.303449999999</v>
      </c>
      <c r="W35" s="3">
        <v>8602.7416030000004</v>
      </c>
      <c r="X35" s="3">
        <v>11142.62112</v>
      </c>
      <c r="Y35" s="3">
        <v>1257.517059</v>
      </c>
      <c r="Z35" s="3">
        <v>3172.318323</v>
      </c>
      <c r="AA35" s="48" t="s">
        <v>310</v>
      </c>
      <c r="AB35" s="49" t="s">
        <v>332</v>
      </c>
      <c r="AC35" s="3">
        <v>2374.6873660000001</v>
      </c>
      <c r="AD35" s="3">
        <v>2023.4743060000001</v>
      </c>
      <c r="AE35" s="3">
        <v>1235.6486050000001</v>
      </c>
      <c r="AF35" s="3">
        <v>372.80432769999999</v>
      </c>
      <c r="AG35" s="3">
        <v>3961.5503119999998</v>
      </c>
      <c r="AH35" s="3">
        <v>2783.5844999999999</v>
      </c>
      <c r="AI35" s="3">
        <v>2500.6868260000001</v>
      </c>
      <c r="AJ35" s="3">
        <v>2941.2340159999999</v>
      </c>
      <c r="AK35" s="3">
        <v>1237.2031500000001</v>
      </c>
      <c r="AL35" s="3">
        <v>1831.055255</v>
      </c>
      <c r="AM35" s="3">
        <v>2888.5120860000002</v>
      </c>
      <c r="AN35" s="3">
        <v>335.07983259999997</v>
      </c>
      <c r="AO35" s="3">
        <v>1199.0427400000001</v>
      </c>
      <c r="AP35" s="48" t="s">
        <v>310</v>
      </c>
      <c r="AQ35" s="49" t="s">
        <v>332</v>
      </c>
      <c r="AR35" s="3">
        <v>1191.3244110000001</v>
      </c>
      <c r="AS35" s="3">
        <v>1859.199257</v>
      </c>
      <c r="AT35" s="3">
        <v>1397.722278</v>
      </c>
      <c r="AU35" s="3">
        <v>1428.9103540000001</v>
      </c>
      <c r="AV35" s="3">
        <v>514.76995639999996</v>
      </c>
      <c r="AW35" s="3">
        <v>2352.3311859999999</v>
      </c>
      <c r="AX35" s="3">
        <v>1252.2737090000001</v>
      </c>
      <c r="AY35" s="3">
        <v>986.30134680000003</v>
      </c>
      <c r="AZ35" s="3">
        <v>1099.527705</v>
      </c>
      <c r="BA35" s="3">
        <v>537.8072588</v>
      </c>
      <c r="BB35" s="3">
        <v>716.60367980000001</v>
      </c>
      <c r="BC35" s="3">
        <v>251.15292600000001</v>
      </c>
      <c r="BD35" s="3">
        <v>1280.1684110000001</v>
      </c>
      <c r="BE35" s="48" t="s">
        <v>310</v>
      </c>
      <c r="BF35" s="49" t="s">
        <v>332</v>
      </c>
      <c r="BG35" s="3">
        <v>6.0000000000000001E-3</v>
      </c>
      <c r="BH35" s="3">
        <v>0.432</v>
      </c>
      <c r="BI35" s="3">
        <v>0.87450000000000006</v>
      </c>
      <c r="BJ35" s="3">
        <v>6.6000000000000003E-2</v>
      </c>
      <c r="BK35" s="3">
        <v>0.40799999999999997</v>
      </c>
      <c r="BL35" s="3">
        <v>0.878</v>
      </c>
      <c r="BM35" s="3">
        <v>7.9000000000000001E-2</v>
      </c>
      <c r="BN35" s="3">
        <v>0.48499999999999999</v>
      </c>
      <c r="BO35" s="3">
        <v>0.78849999999999998</v>
      </c>
      <c r="BP35" s="3">
        <v>6.0000000000000001E-3</v>
      </c>
      <c r="BQ35" s="3">
        <v>0.35499999999999998</v>
      </c>
      <c r="BR35" s="3">
        <v>0.85733333300000003</v>
      </c>
      <c r="BS35" s="3">
        <v>5.0000000000000001E-3</v>
      </c>
      <c r="BT35" s="3">
        <v>0.82799999999999996</v>
      </c>
      <c r="BU35" s="3">
        <v>0.85824999999999996</v>
      </c>
      <c r="BV35" s="3">
        <v>4.8000000000000001E-2</v>
      </c>
      <c r="BW35" s="3">
        <v>0.59</v>
      </c>
      <c r="BX35" s="3">
        <v>0.85099999999999998</v>
      </c>
      <c r="BY35" s="3">
        <v>0</v>
      </c>
      <c r="BZ35" s="3">
        <v>0.59</v>
      </c>
      <c r="CA35" s="3">
        <v>0.96899999999999997</v>
      </c>
      <c r="CB35" s="3">
        <v>7.0000000000000001E-3</v>
      </c>
      <c r="CC35" s="3">
        <v>0.46400000000000002</v>
      </c>
      <c r="CD35" s="3">
        <v>0.84199999999999997</v>
      </c>
      <c r="CE35" s="3">
        <v>8.0000000000000002E-3</v>
      </c>
      <c r="CF35" s="3">
        <v>0.46300000000000002</v>
      </c>
      <c r="CG35" s="3">
        <v>0.83550000000000002</v>
      </c>
      <c r="CH35" s="3">
        <v>8.9999999999999993E-3</v>
      </c>
      <c r="CI35" s="3">
        <v>0.70399999999999996</v>
      </c>
      <c r="CJ35" s="3">
        <v>0.89300000000000002</v>
      </c>
      <c r="CK35" s="3">
        <v>2.3E-2</v>
      </c>
      <c r="CL35" s="3">
        <v>0.47399999999999998</v>
      </c>
      <c r="CM35" s="3">
        <v>0.01</v>
      </c>
      <c r="CN35" s="3">
        <v>0.04</v>
      </c>
      <c r="CO35" s="3">
        <v>0.78200000000000003</v>
      </c>
      <c r="CP35" s="3">
        <v>0.80866666700000001</v>
      </c>
      <c r="CQ35" s="3">
        <v>0.04</v>
      </c>
      <c r="CR35" s="3">
        <v>0.73099999999999998</v>
      </c>
      <c r="CS35" s="3">
        <v>0.82599999999999996</v>
      </c>
      <c r="CT35" s="48" t="s">
        <v>310</v>
      </c>
      <c r="CU35" s="49" t="s">
        <v>332</v>
      </c>
      <c r="CV35" s="3">
        <v>-1.4450000000000001</v>
      </c>
      <c r="CW35" s="3">
        <v>-0.93</v>
      </c>
      <c r="CX35" s="3">
        <v>-0.70699999999999996</v>
      </c>
      <c r="CY35" s="3">
        <v>-1.653</v>
      </c>
      <c r="CZ35" s="3">
        <v>-1.905</v>
      </c>
      <c r="DA35" s="3">
        <v>3.2669999999999999</v>
      </c>
      <c r="DB35" s="3">
        <v>-2.0230000000000001</v>
      </c>
      <c r="DC35" s="3">
        <v>-1.1779999999999999</v>
      </c>
      <c r="DD35" s="3">
        <v>-0.42399999999999999</v>
      </c>
      <c r="DE35" s="3">
        <v>0.79</v>
      </c>
      <c r="DF35" s="3">
        <v>-1.6160000000000001</v>
      </c>
      <c r="DG35" s="3">
        <v>0.68899999999999995</v>
      </c>
      <c r="DH35" s="3">
        <v>-0.94599999999999995</v>
      </c>
    </row>
    <row r="36" spans="1:112" x14ac:dyDescent="0.3">
      <c r="A36" s="48" t="s">
        <v>310</v>
      </c>
      <c r="B36" s="49" t="s">
        <v>333</v>
      </c>
      <c r="C36" s="3">
        <v>51.7924869</v>
      </c>
      <c r="D36" s="3">
        <v>107.3568087</v>
      </c>
      <c r="E36" s="3">
        <v>59.557528499999997</v>
      </c>
      <c r="F36" s="3">
        <v>26.666787599999999</v>
      </c>
      <c r="G36" s="3">
        <v>26.666787599999999</v>
      </c>
      <c r="H36" s="3">
        <v>141.91635239999999</v>
      </c>
      <c r="I36" s="48" t="s">
        <v>310</v>
      </c>
      <c r="J36" s="49" t="s">
        <v>333</v>
      </c>
      <c r="K36" s="3">
        <v>47380</v>
      </c>
      <c r="L36" s="48" t="s">
        <v>310</v>
      </c>
      <c r="M36" s="49" t="s">
        <v>333</v>
      </c>
      <c r="N36" s="3">
        <v>10286.25215</v>
      </c>
      <c r="O36" s="3">
        <v>12993.151830000001</v>
      </c>
      <c r="P36" s="3">
        <v>7560.5589819999996</v>
      </c>
      <c r="Q36" s="3">
        <v>6667.9538759999996</v>
      </c>
      <c r="R36" s="3">
        <v>11743.00359</v>
      </c>
      <c r="S36" s="3">
        <v>13130.784019999999</v>
      </c>
      <c r="T36" s="3">
        <v>8195.6592619999992</v>
      </c>
      <c r="U36" s="3">
        <v>13132.69836</v>
      </c>
      <c r="V36" s="3">
        <v>10139.145039999999</v>
      </c>
      <c r="W36" s="3">
        <v>7024.6638000000003</v>
      </c>
      <c r="X36" s="3">
        <v>9894.5593640000006</v>
      </c>
      <c r="Y36" s="3">
        <v>1148.0820289999999</v>
      </c>
      <c r="Z36" s="3">
        <v>3602.975974</v>
      </c>
      <c r="AA36" s="48" t="s">
        <v>310</v>
      </c>
      <c r="AB36" s="49" t="s">
        <v>333</v>
      </c>
      <c r="AC36" s="3">
        <v>2148.9106390000002</v>
      </c>
      <c r="AD36" s="3">
        <v>1933.375264</v>
      </c>
      <c r="AE36" s="3">
        <v>1180.629001</v>
      </c>
      <c r="AF36" s="3">
        <v>356.2045061</v>
      </c>
      <c r="AG36" s="3">
        <v>3584.9003670000002</v>
      </c>
      <c r="AH36" s="3">
        <v>2659.6401070000002</v>
      </c>
      <c r="AI36" s="3">
        <v>2389.3389889999999</v>
      </c>
      <c r="AJ36" s="3">
        <v>2661.5920719999999</v>
      </c>
      <c r="AK36" s="3">
        <v>1119.574327</v>
      </c>
      <c r="AL36" s="3">
        <v>1656.9651120000001</v>
      </c>
      <c r="AM36" s="3">
        <v>2759.8955930000002</v>
      </c>
      <c r="AN36" s="3">
        <v>320.1597658</v>
      </c>
      <c r="AO36" s="3">
        <v>1085.042072</v>
      </c>
      <c r="AP36" s="48" t="s">
        <v>310</v>
      </c>
      <c r="AQ36" s="49" t="s">
        <v>333</v>
      </c>
      <c r="AR36" s="3">
        <v>1142.0591159999999</v>
      </c>
      <c r="AS36" s="3">
        <v>1793.5398029999999</v>
      </c>
      <c r="AT36" s="3">
        <v>1348.3603390000001</v>
      </c>
      <c r="AU36" s="3">
        <v>1378.4469770000001</v>
      </c>
      <c r="AV36" s="3">
        <v>493.48247700000002</v>
      </c>
      <c r="AW36" s="3">
        <v>2269.2562929999999</v>
      </c>
      <c r="AX36" s="3">
        <v>1208.0484300000001</v>
      </c>
      <c r="AY36" s="3">
        <v>945.51444900000001</v>
      </c>
      <c r="AZ36" s="3">
        <v>1054.0585140000001</v>
      </c>
      <c r="BA36" s="3">
        <v>515.56710899999996</v>
      </c>
      <c r="BB36" s="3">
        <v>691.29611490000002</v>
      </c>
      <c r="BC36" s="3">
        <v>242.28321299999999</v>
      </c>
      <c r="BD36" s="3">
        <v>1227.229116</v>
      </c>
      <c r="BE36" s="48" t="s">
        <v>310</v>
      </c>
      <c r="BF36" s="49" t="s">
        <v>333</v>
      </c>
      <c r="BG36" s="3">
        <v>0.13600000000000001</v>
      </c>
      <c r="BH36" s="3">
        <v>0.46</v>
      </c>
      <c r="BI36" s="3">
        <v>0.88049999999999995</v>
      </c>
      <c r="BJ36" s="3">
        <v>0.26900000000000002</v>
      </c>
      <c r="BK36" s="3">
        <v>0.433</v>
      </c>
      <c r="BL36" s="3">
        <v>0.80649999999999999</v>
      </c>
      <c r="BM36" s="3">
        <v>0.24</v>
      </c>
      <c r="BN36" s="3">
        <v>0.54500000000000004</v>
      </c>
      <c r="BO36" s="3">
        <v>0.80449999999999999</v>
      </c>
      <c r="BP36" s="3">
        <v>3.9E-2</v>
      </c>
      <c r="BQ36" s="3">
        <v>0.38700000000000001</v>
      </c>
      <c r="BR36" s="3">
        <v>0.87833333300000005</v>
      </c>
      <c r="BS36" s="3">
        <v>6.5000000000000002E-2</v>
      </c>
      <c r="BT36" s="3">
        <v>0.83299999999999996</v>
      </c>
      <c r="BU36" s="3">
        <v>0.82725000000000004</v>
      </c>
      <c r="BV36" s="3">
        <v>0.13200000000000001</v>
      </c>
      <c r="BW36" s="3">
        <v>0.58599999999999997</v>
      </c>
      <c r="BX36" s="3">
        <v>0.85799999999999998</v>
      </c>
      <c r="BY36" s="3">
        <v>3.2000000000000001E-2</v>
      </c>
      <c r="BZ36" s="3">
        <v>0.58599999999999997</v>
      </c>
      <c r="CA36" s="3">
        <v>0.96499999999999997</v>
      </c>
      <c r="CB36" s="3">
        <v>2.5999999999999999E-2</v>
      </c>
      <c r="CC36" s="3">
        <v>0.44800000000000001</v>
      </c>
      <c r="CD36" s="3">
        <v>0.77400000000000002</v>
      </c>
      <c r="CE36" s="3">
        <v>9.1999999999999998E-2</v>
      </c>
      <c r="CF36" s="3">
        <v>0.45700000000000002</v>
      </c>
      <c r="CG36" s="3">
        <v>0.79649999999999999</v>
      </c>
      <c r="CH36" s="3">
        <v>9.2999999999999999E-2</v>
      </c>
      <c r="CI36" s="3">
        <v>0.70399999999999996</v>
      </c>
      <c r="CJ36" s="3">
        <v>0.92533333299999998</v>
      </c>
      <c r="CK36" s="3">
        <v>0.125</v>
      </c>
      <c r="CL36" s="3">
        <v>0.54600000000000004</v>
      </c>
      <c r="CM36" s="3">
        <v>0.01</v>
      </c>
      <c r="CN36" s="3">
        <v>0.217</v>
      </c>
      <c r="CO36" s="3">
        <v>0.80300000000000005</v>
      </c>
      <c r="CP36" s="3">
        <v>0.81299999999999994</v>
      </c>
      <c r="CQ36" s="3">
        <v>0.14599999999999999</v>
      </c>
      <c r="CR36" s="3">
        <v>0.76300000000000001</v>
      </c>
      <c r="CS36" s="3">
        <v>0.751</v>
      </c>
      <c r="CT36" s="48" t="s">
        <v>310</v>
      </c>
      <c r="CU36" s="49" t="s">
        <v>333</v>
      </c>
      <c r="CV36" s="3">
        <v>-1.224</v>
      </c>
      <c r="CW36" s="3">
        <v>-0.64200000000000002</v>
      </c>
      <c r="CX36" s="3">
        <v>-0.28199999999999997</v>
      </c>
      <c r="CY36" s="3">
        <v>-1.0840000000000001</v>
      </c>
      <c r="CZ36" s="3">
        <v>-1.4219999999999999</v>
      </c>
      <c r="DA36" s="3">
        <v>3.0409999999999999</v>
      </c>
      <c r="DB36" s="3">
        <v>-1.3140000000000001</v>
      </c>
      <c r="DC36" s="3">
        <v>-0.80800000000000005</v>
      </c>
      <c r="DD36" s="3">
        <v>0.124</v>
      </c>
      <c r="DE36" s="3">
        <v>1.409</v>
      </c>
      <c r="DF36" s="3">
        <v>-1.1339999999999999</v>
      </c>
      <c r="DG36" s="3">
        <v>0.92700000000000005</v>
      </c>
      <c r="DH36" s="3">
        <v>-0.65300000000000002</v>
      </c>
    </row>
    <row r="37" spans="1:112" x14ac:dyDescent="0.3">
      <c r="A37" s="48" t="s">
        <v>310</v>
      </c>
      <c r="B37" s="49" t="s">
        <v>334</v>
      </c>
      <c r="C37" s="3">
        <v>48.795453299999998</v>
      </c>
      <c r="D37" s="3">
        <v>102.1716</v>
      </c>
      <c r="E37" s="3">
        <v>51.085799999999999</v>
      </c>
      <c r="F37" s="3">
        <v>26.564616000000001</v>
      </c>
      <c r="G37" s="3">
        <v>26.564616000000001</v>
      </c>
      <c r="H37" s="3">
        <v>102.1716</v>
      </c>
      <c r="I37" s="48" t="s">
        <v>310</v>
      </c>
      <c r="J37" s="49" t="s">
        <v>334</v>
      </c>
      <c r="K37" s="3">
        <v>47637.5</v>
      </c>
      <c r="L37" s="48" t="s">
        <v>310</v>
      </c>
      <c r="M37" s="49" t="s">
        <v>334</v>
      </c>
      <c r="N37" s="3">
        <v>8401.8167300000005</v>
      </c>
      <c r="O37" s="3">
        <v>11180.99662</v>
      </c>
      <c r="P37" s="3">
        <v>6490.4022999999997</v>
      </c>
      <c r="Q37" s="3">
        <v>5923.3049950000004</v>
      </c>
      <c r="R37" s="3">
        <v>9527.2131530000006</v>
      </c>
      <c r="S37" s="3">
        <v>11017.11384</v>
      </c>
      <c r="T37" s="3">
        <v>6456.1169060000002</v>
      </c>
      <c r="U37" s="3">
        <v>10878.319890000001</v>
      </c>
      <c r="V37" s="3">
        <v>8245.2735209999992</v>
      </c>
      <c r="W37" s="3">
        <v>5663.7628640000003</v>
      </c>
      <c r="X37" s="3">
        <v>8428.6358529999998</v>
      </c>
      <c r="Y37" s="3">
        <v>919.36364470000001</v>
      </c>
      <c r="Z37" s="3">
        <v>3270.4554659999999</v>
      </c>
      <c r="AA37" s="48" t="s">
        <v>310</v>
      </c>
      <c r="AB37" s="49" t="s">
        <v>334</v>
      </c>
      <c r="AC37" s="3">
        <v>2190.8406020000002</v>
      </c>
      <c r="AD37" s="3">
        <v>1990.437991</v>
      </c>
      <c r="AE37" s="3">
        <v>1215.4747500000001</v>
      </c>
      <c r="AF37" s="3">
        <v>366.7177264</v>
      </c>
      <c r="AG37" s="3">
        <v>3654.849643</v>
      </c>
      <c r="AH37" s="3">
        <v>2738.138222</v>
      </c>
      <c r="AI37" s="3">
        <v>2459.8592859999999</v>
      </c>
      <c r="AJ37" s="3">
        <v>2713.525576</v>
      </c>
      <c r="AK37" s="3">
        <v>1141.41968</v>
      </c>
      <c r="AL37" s="3">
        <v>1689.296139</v>
      </c>
      <c r="AM37" s="3">
        <v>2841.3527049999998</v>
      </c>
      <c r="AN37" s="3">
        <v>329.60914150000002</v>
      </c>
      <c r="AO37" s="3">
        <v>1106.2136250000001</v>
      </c>
      <c r="AP37" s="48" t="s">
        <v>310</v>
      </c>
      <c r="AQ37" s="49" t="s">
        <v>334</v>
      </c>
      <c r="AR37" s="3">
        <v>1090.5544890000001</v>
      </c>
      <c r="AS37" s="3">
        <v>1686.411222</v>
      </c>
      <c r="AT37" s="3">
        <v>1267.8224379999999</v>
      </c>
      <c r="AU37" s="3">
        <v>1296.1119940000001</v>
      </c>
      <c r="AV37" s="3">
        <v>471.2273849</v>
      </c>
      <c r="AW37" s="3">
        <v>2133.7130459999998</v>
      </c>
      <c r="AX37" s="3">
        <v>1135.891394</v>
      </c>
      <c r="AY37" s="3">
        <v>902.87360130000002</v>
      </c>
      <c r="AZ37" s="3">
        <v>1006.522542</v>
      </c>
      <c r="BA37" s="3">
        <v>492.31604329999999</v>
      </c>
      <c r="BB37" s="3">
        <v>650.00482480000005</v>
      </c>
      <c r="BC37" s="3">
        <v>227.811576</v>
      </c>
      <c r="BD37" s="3">
        <v>1171.8834890000001</v>
      </c>
      <c r="BE37" s="48" t="s">
        <v>310</v>
      </c>
      <c r="BF37" s="49" t="s">
        <v>334</v>
      </c>
      <c r="BG37" s="3">
        <v>0.38600000000000001</v>
      </c>
      <c r="BH37" s="3">
        <v>0.46600000000000003</v>
      </c>
      <c r="BI37" s="3">
        <v>0.88200000000000001</v>
      </c>
      <c r="BJ37" s="3">
        <v>0.33500000000000002</v>
      </c>
      <c r="BK37" s="3">
        <v>0.46300000000000002</v>
      </c>
      <c r="BL37" s="3">
        <v>0.82950000000000002</v>
      </c>
      <c r="BM37" s="3">
        <v>0.249</v>
      </c>
      <c r="BN37" s="3">
        <v>0.57199999999999995</v>
      </c>
      <c r="BO37" s="3">
        <v>0.87450000000000006</v>
      </c>
      <c r="BP37" s="3">
        <v>9.7000000000000003E-2</v>
      </c>
      <c r="BQ37" s="3">
        <v>0.38400000000000001</v>
      </c>
      <c r="BR37" s="3">
        <v>0.89800000000000002</v>
      </c>
      <c r="BS37" s="3">
        <v>0.18</v>
      </c>
      <c r="BT37" s="3">
        <v>0.83299999999999996</v>
      </c>
      <c r="BU37" s="3">
        <v>0.83033333399999998</v>
      </c>
      <c r="BV37" s="3">
        <v>0.19900000000000001</v>
      </c>
      <c r="BW37" s="3">
        <v>0.629</v>
      </c>
      <c r="BX37" s="3">
        <v>0.86</v>
      </c>
      <c r="BY37" s="3">
        <v>7.0000000000000007E-2</v>
      </c>
      <c r="BZ37" s="3">
        <v>0.629</v>
      </c>
      <c r="CA37" s="3">
        <v>0.96150000000000002</v>
      </c>
      <c r="CB37" s="3">
        <v>0.105</v>
      </c>
      <c r="CC37" s="3">
        <v>0.42099999999999999</v>
      </c>
      <c r="CD37" s="3">
        <v>0.77866666699999998</v>
      </c>
      <c r="CE37" s="3">
        <v>0.17</v>
      </c>
      <c r="CF37" s="3">
        <v>0.443</v>
      </c>
      <c r="CG37" s="3">
        <v>0.82299999999999995</v>
      </c>
      <c r="CH37" s="3">
        <v>0.17199999999999999</v>
      </c>
      <c r="CI37" s="3">
        <v>0.72099999999999997</v>
      </c>
      <c r="CJ37" s="3">
        <v>0.91466666699999999</v>
      </c>
      <c r="CK37" s="3">
        <v>0.24399999999999999</v>
      </c>
      <c r="CL37" s="3">
        <v>0.57099999999999995</v>
      </c>
      <c r="CM37" s="3">
        <v>0.01</v>
      </c>
      <c r="CN37" s="3">
        <v>0.26400000000000001</v>
      </c>
      <c r="CO37" s="3">
        <v>0.8</v>
      </c>
      <c r="CP37" s="3">
        <v>0.822333333</v>
      </c>
      <c r="CQ37" s="3">
        <v>0.28499999999999998</v>
      </c>
      <c r="CR37" s="3">
        <v>0.76</v>
      </c>
      <c r="CS37" s="3">
        <v>0.76100000000000001</v>
      </c>
      <c r="CT37" s="48" t="s">
        <v>310</v>
      </c>
      <c r="CU37" s="49" t="s">
        <v>334</v>
      </c>
      <c r="CV37" s="3">
        <v>-0.96299999999999997</v>
      </c>
      <c r="CW37" s="3">
        <v>-0.314</v>
      </c>
      <c r="CX37" s="3">
        <v>0.158</v>
      </c>
      <c r="CY37" s="3">
        <v>-0.33200000000000002</v>
      </c>
      <c r="CZ37" s="3">
        <v>-0.83799999999999997</v>
      </c>
      <c r="DA37" s="3">
        <v>2.927</v>
      </c>
      <c r="DB37" s="3">
        <v>-0.439</v>
      </c>
      <c r="DC37" s="3">
        <v>-0.39400000000000002</v>
      </c>
      <c r="DD37" s="3">
        <v>0.78500000000000003</v>
      </c>
      <c r="DE37" s="3">
        <v>2.2810000000000001</v>
      </c>
      <c r="DF37" s="3">
        <v>-0.63700000000000001</v>
      </c>
      <c r="DG37" s="3">
        <v>1.3779999999999999</v>
      </c>
      <c r="DH37" s="3">
        <v>-0.16</v>
      </c>
    </row>
    <row r="38" spans="1:112" x14ac:dyDescent="0.3">
      <c r="A38" s="48" t="s">
        <v>310</v>
      </c>
      <c r="B38" s="49" t="s">
        <v>335</v>
      </c>
      <c r="C38" s="3">
        <v>46.7009355</v>
      </c>
      <c r="D38" s="3">
        <v>86.232830399999997</v>
      </c>
      <c r="E38" s="3">
        <v>46.062362999999998</v>
      </c>
      <c r="F38" s="3">
        <v>26.479472999999999</v>
      </c>
      <c r="G38" s="3">
        <v>26.479472999999999</v>
      </c>
      <c r="H38" s="3">
        <v>86.232830399999997</v>
      </c>
      <c r="I38" s="48" t="s">
        <v>310</v>
      </c>
      <c r="J38" s="49" t="s">
        <v>335</v>
      </c>
      <c r="K38" s="3">
        <v>47960</v>
      </c>
      <c r="L38" s="48" t="s">
        <v>310</v>
      </c>
      <c r="M38" s="49" t="s">
        <v>335</v>
      </c>
      <c r="N38" s="3">
        <v>7896.4507450000001</v>
      </c>
      <c r="O38" s="3">
        <v>10685.43706</v>
      </c>
      <c r="P38" s="3">
        <v>6169.3648080000003</v>
      </c>
      <c r="Q38" s="3">
        <v>5605.8497500000003</v>
      </c>
      <c r="R38" s="3">
        <v>9167.3768170000003</v>
      </c>
      <c r="S38" s="3">
        <v>10325.860070000001</v>
      </c>
      <c r="T38" s="3">
        <v>5377.6369510000004</v>
      </c>
      <c r="U38" s="3">
        <v>10543.125969999999</v>
      </c>
      <c r="V38" s="3">
        <v>7768.6154420000003</v>
      </c>
      <c r="W38" s="3">
        <v>4987.0180019999998</v>
      </c>
      <c r="X38" s="3">
        <v>7786.1313899999996</v>
      </c>
      <c r="Y38" s="3">
        <v>802.40105800000003</v>
      </c>
      <c r="Z38" s="3">
        <v>2733.3466389999999</v>
      </c>
      <c r="AA38" s="48" t="s">
        <v>310</v>
      </c>
      <c r="AB38" s="49" t="s">
        <v>335</v>
      </c>
      <c r="AC38" s="3">
        <v>2278.2081320000002</v>
      </c>
      <c r="AD38" s="3">
        <v>2116.8018959999999</v>
      </c>
      <c r="AE38" s="3">
        <v>1292.6397449999999</v>
      </c>
      <c r="AF38" s="3">
        <v>389.99897629999998</v>
      </c>
      <c r="AG38" s="3">
        <v>3800.5997189999998</v>
      </c>
      <c r="AH38" s="3">
        <v>2911.9702339999999</v>
      </c>
      <c r="AI38" s="3">
        <v>2616.0246259999999</v>
      </c>
      <c r="AJ38" s="3">
        <v>2821.7370209999999</v>
      </c>
      <c r="AK38" s="3">
        <v>1186.937833</v>
      </c>
      <c r="AL38" s="3">
        <v>1756.6628069999999</v>
      </c>
      <c r="AM38" s="3">
        <v>3021.737337</v>
      </c>
      <c r="AN38" s="3">
        <v>350.53453510000003</v>
      </c>
      <c r="AO38" s="3">
        <v>1150.327812</v>
      </c>
      <c r="AP38" s="48" t="s">
        <v>310</v>
      </c>
      <c r="AQ38" s="49" t="s">
        <v>335</v>
      </c>
      <c r="AR38" s="3">
        <v>1027.853204</v>
      </c>
      <c r="AS38" s="3">
        <v>1600.017204</v>
      </c>
      <c r="AT38" s="3">
        <v>1202.8725179999999</v>
      </c>
      <c r="AU38" s="3">
        <v>1229.712814</v>
      </c>
      <c r="AV38" s="3">
        <v>444.13422930000002</v>
      </c>
      <c r="AW38" s="3">
        <v>2024.4039760000001</v>
      </c>
      <c r="AX38" s="3">
        <v>1077.700237</v>
      </c>
      <c r="AY38" s="3">
        <v>850.96300410000003</v>
      </c>
      <c r="AZ38" s="3">
        <v>948.65266259999999</v>
      </c>
      <c r="BA38" s="3">
        <v>464.01039809999997</v>
      </c>
      <c r="BB38" s="3">
        <v>616.70539729999996</v>
      </c>
      <c r="BC38" s="3">
        <v>216.14090100000001</v>
      </c>
      <c r="BD38" s="3">
        <v>1104.506204</v>
      </c>
      <c r="BE38" s="48" t="s">
        <v>310</v>
      </c>
      <c r="BF38" s="49" t="s">
        <v>335</v>
      </c>
      <c r="BG38" s="3">
        <v>0.40899999999999997</v>
      </c>
      <c r="BH38" s="3">
        <v>0.46600000000000003</v>
      </c>
      <c r="BI38" s="3">
        <v>0.90600000000000003</v>
      </c>
      <c r="BJ38" s="3">
        <v>0.28899999999999998</v>
      </c>
      <c r="BK38" s="3">
        <v>0.48199999999999998</v>
      </c>
      <c r="BL38" s="3">
        <v>0.89900000000000002</v>
      </c>
      <c r="BM38" s="3">
        <v>0.24299999999999999</v>
      </c>
      <c r="BN38" s="3">
        <v>0.6</v>
      </c>
      <c r="BO38" s="3">
        <v>0.91100000000000003</v>
      </c>
      <c r="BP38" s="3">
        <v>0.11700000000000001</v>
      </c>
      <c r="BQ38" s="3">
        <v>0.377</v>
      </c>
      <c r="BR38" s="3">
        <v>0.92200000000000004</v>
      </c>
      <c r="BS38" s="3">
        <v>0.33600000000000002</v>
      </c>
      <c r="BT38" s="3">
        <v>0.83099999999999996</v>
      </c>
      <c r="BU38" s="3">
        <v>0.89216666700000002</v>
      </c>
      <c r="BV38" s="3">
        <v>0.23400000000000001</v>
      </c>
      <c r="BW38" s="3">
        <v>0.66100000000000003</v>
      </c>
      <c r="BX38" s="3">
        <v>0.90900000000000003</v>
      </c>
      <c r="BY38" s="3">
        <v>0.11899999999999999</v>
      </c>
      <c r="BZ38" s="3">
        <v>0.66100000000000003</v>
      </c>
      <c r="CA38" s="3">
        <v>0.96099999999999997</v>
      </c>
      <c r="CB38" s="3">
        <v>0.23</v>
      </c>
      <c r="CC38" s="3">
        <v>0.38200000000000001</v>
      </c>
      <c r="CD38" s="3">
        <v>0.87833333300000005</v>
      </c>
      <c r="CE38" s="3">
        <v>0.28299999999999997</v>
      </c>
      <c r="CF38" s="3">
        <v>0.42599999999999999</v>
      </c>
      <c r="CG38" s="3">
        <v>0.85350000000000004</v>
      </c>
      <c r="CH38" s="3">
        <v>0.28599999999999998</v>
      </c>
      <c r="CI38" s="3">
        <v>0.71</v>
      </c>
      <c r="CJ38" s="3">
        <v>0.90333333299999996</v>
      </c>
      <c r="CK38" s="3">
        <v>0.39600000000000002</v>
      </c>
      <c r="CL38" s="3">
        <v>0.58099999999999996</v>
      </c>
      <c r="CM38" s="3">
        <v>0.01</v>
      </c>
      <c r="CN38" s="3">
        <v>0.30399999999999999</v>
      </c>
      <c r="CO38" s="3">
        <v>0.79</v>
      </c>
      <c r="CP38" s="3">
        <v>0.82966666700000002</v>
      </c>
      <c r="CQ38" s="3">
        <v>0.42799999999999999</v>
      </c>
      <c r="CR38" s="3">
        <v>0.75</v>
      </c>
      <c r="CS38" s="3">
        <v>0.79300000000000004</v>
      </c>
      <c r="CT38" s="48" t="s">
        <v>310</v>
      </c>
      <c r="CU38" s="49" t="s">
        <v>335</v>
      </c>
      <c r="CV38" s="3">
        <v>-0.61499999999999999</v>
      </c>
      <c r="CW38" s="3">
        <v>1.6E-2</v>
      </c>
      <c r="CX38" s="3">
        <v>0.56599999999999995</v>
      </c>
      <c r="CY38" s="3">
        <v>0.40600000000000003</v>
      </c>
      <c r="CZ38" s="3">
        <v>-7.0000000000000007E-2</v>
      </c>
      <c r="DA38" s="3">
        <v>2.84</v>
      </c>
      <c r="DB38" s="3">
        <v>0.48799999999999999</v>
      </c>
      <c r="DC38" s="3">
        <v>0.13500000000000001</v>
      </c>
      <c r="DD38" s="3">
        <v>1.45</v>
      </c>
      <c r="DE38" s="3">
        <v>3.22</v>
      </c>
      <c r="DF38" s="3">
        <v>-6.3E-2</v>
      </c>
      <c r="DG38" s="3">
        <v>2.129</v>
      </c>
      <c r="DH38" s="3">
        <v>0.45400000000000001</v>
      </c>
    </row>
    <row r="39" spans="1:112" x14ac:dyDescent="0.3">
      <c r="A39" s="48" t="s">
        <v>310</v>
      </c>
      <c r="B39" s="49" t="s">
        <v>336</v>
      </c>
      <c r="C39" s="3">
        <v>45.977220000000003</v>
      </c>
      <c r="D39" s="3">
        <v>75.606983999999997</v>
      </c>
      <c r="E39" s="3">
        <v>45.219447299999999</v>
      </c>
      <c r="F39" s="3">
        <v>26.419872900000001</v>
      </c>
      <c r="G39" s="3">
        <v>26.419872900000001</v>
      </c>
      <c r="H39" s="3">
        <v>75.606983999999997</v>
      </c>
      <c r="I39" s="48" t="s">
        <v>310</v>
      </c>
      <c r="J39" s="49" t="s">
        <v>336</v>
      </c>
      <c r="K39" s="3">
        <v>48233</v>
      </c>
      <c r="L39" s="48" t="s">
        <v>310</v>
      </c>
      <c r="M39" s="49" t="s">
        <v>336</v>
      </c>
      <c r="N39" s="3">
        <v>8066.6355640000002</v>
      </c>
      <c r="O39" s="3">
        <v>10785.45397</v>
      </c>
      <c r="P39" s="3">
        <v>6222.8345559999998</v>
      </c>
      <c r="Q39" s="3">
        <v>5496.5741619999999</v>
      </c>
      <c r="R39" s="3">
        <v>9341.8327079999999</v>
      </c>
      <c r="S39" s="3">
        <v>10486.71315</v>
      </c>
      <c r="T39" s="3">
        <v>5046.5082259999999</v>
      </c>
      <c r="U39" s="3">
        <v>10323.45493</v>
      </c>
      <c r="V39" s="3">
        <v>7897.8435170000002</v>
      </c>
      <c r="W39" s="3">
        <v>5090.8353189999998</v>
      </c>
      <c r="X39" s="3">
        <v>8065.9160700000002</v>
      </c>
      <c r="Y39" s="3">
        <v>747.22467949999998</v>
      </c>
      <c r="Z39" s="3">
        <v>2332.4456909999999</v>
      </c>
      <c r="AA39" s="48" t="s">
        <v>310</v>
      </c>
      <c r="AB39" s="49" t="s">
        <v>336</v>
      </c>
      <c r="AC39" s="3">
        <v>2161.1267720000001</v>
      </c>
      <c r="AD39" s="3">
        <v>2016.867043</v>
      </c>
      <c r="AE39" s="3">
        <v>1231.613834</v>
      </c>
      <c r="AF39" s="3">
        <v>371.58700750000003</v>
      </c>
      <c r="AG39" s="3">
        <v>3605.2798200000002</v>
      </c>
      <c r="AH39" s="3">
        <v>2774.4952440000002</v>
      </c>
      <c r="AI39" s="3">
        <v>2492.5213180000001</v>
      </c>
      <c r="AJ39" s="3">
        <v>2676.722698</v>
      </c>
      <c r="AK39" s="3">
        <v>1125.938887</v>
      </c>
      <c r="AL39" s="3">
        <v>1666.384632</v>
      </c>
      <c r="AM39" s="3">
        <v>2879.0802100000001</v>
      </c>
      <c r="AN39" s="3">
        <v>333.9856944</v>
      </c>
      <c r="AO39" s="3">
        <v>1091.210323</v>
      </c>
      <c r="AP39" s="48" t="s">
        <v>310</v>
      </c>
      <c r="AQ39" s="49" t="s">
        <v>336</v>
      </c>
      <c r="AR39" s="3">
        <v>971.86991439999997</v>
      </c>
      <c r="AS39" s="3">
        <v>1548.1807940000001</v>
      </c>
      <c r="AT39" s="3">
        <v>1163.902566</v>
      </c>
      <c r="AU39" s="3">
        <v>1189.873306</v>
      </c>
      <c r="AV39" s="3">
        <v>419.94391180000002</v>
      </c>
      <c r="AW39" s="3">
        <v>1958.818534</v>
      </c>
      <c r="AX39" s="3">
        <v>1042.7855420000001</v>
      </c>
      <c r="AY39" s="3">
        <v>804.61425659999998</v>
      </c>
      <c r="AZ39" s="3">
        <v>896.98312759999999</v>
      </c>
      <c r="BA39" s="3">
        <v>438.73750059999998</v>
      </c>
      <c r="BB39" s="3">
        <v>596.72574080000004</v>
      </c>
      <c r="BC39" s="3">
        <v>209.138496</v>
      </c>
      <c r="BD39" s="3">
        <v>1044.3479139999999</v>
      </c>
      <c r="BE39" s="48" t="s">
        <v>310</v>
      </c>
      <c r="BF39" s="49" t="s">
        <v>336</v>
      </c>
      <c r="BG39" s="3">
        <v>0.29599999999999999</v>
      </c>
      <c r="BH39" s="3">
        <v>0.433</v>
      </c>
      <c r="BI39" s="3">
        <v>0.91849999999999998</v>
      </c>
      <c r="BJ39" s="3">
        <v>0.17499999999999999</v>
      </c>
      <c r="BK39" s="3">
        <v>0.48299999999999998</v>
      </c>
      <c r="BL39" s="3">
        <v>0.92549999999999999</v>
      </c>
      <c r="BM39" s="3">
        <v>0.13300000000000001</v>
      </c>
      <c r="BN39" s="3">
        <v>0.61699999999999999</v>
      </c>
      <c r="BO39" s="3">
        <v>0.92749999999999999</v>
      </c>
      <c r="BP39" s="3">
        <v>7.0999999999999994E-2</v>
      </c>
      <c r="BQ39" s="3">
        <v>0.35199999999999998</v>
      </c>
      <c r="BR39" s="3">
        <v>0.928666667</v>
      </c>
      <c r="BS39" s="3">
        <v>0.33500000000000002</v>
      </c>
      <c r="BT39" s="3">
        <v>0.82599999999999996</v>
      </c>
      <c r="BU39" s="3">
        <v>0.88241666699999999</v>
      </c>
      <c r="BV39" s="3">
        <v>9.0999999999999998E-2</v>
      </c>
      <c r="BW39" s="3">
        <v>0.66900000000000004</v>
      </c>
      <c r="BX39" s="3">
        <v>0.92</v>
      </c>
      <c r="BY39" s="3">
        <v>9.5000000000000001E-2</v>
      </c>
      <c r="BZ39" s="3">
        <v>0.66900000000000004</v>
      </c>
      <c r="CA39" s="3">
        <v>0.95550000000000002</v>
      </c>
      <c r="CB39" s="3">
        <v>0.34100000000000003</v>
      </c>
      <c r="CC39" s="3">
        <v>0.33800000000000002</v>
      </c>
      <c r="CD39" s="3">
        <v>0.84633333300000002</v>
      </c>
      <c r="CE39" s="3">
        <v>0.34100000000000003</v>
      </c>
      <c r="CF39" s="3">
        <v>0.40600000000000003</v>
      </c>
      <c r="CG39" s="3">
        <v>0.82399999999999995</v>
      </c>
      <c r="CH39" s="3">
        <v>0.34100000000000003</v>
      </c>
      <c r="CI39" s="3">
        <v>0.71499999999999997</v>
      </c>
      <c r="CJ39" s="3">
        <v>0.87366666699999995</v>
      </c>
      <c r="CK39" s="3">
        <v>0.34499999999999997</v>
      </c>
      <c r="CL39" s="3">
        <v>0.57699999999999996</v>
      </c>
      <c r="CM39" s="3">
        <v>0.01</v>
      </c>
      <c r="CN39" s="3">
        <v>0.17599999999999999</v>
      </c>
      <c r="CO39" s="3">
        <v>0.78600000000000003</v>
      </c>
      <c r="CP39" s="3">
        <v>0.83066666700000003</v>
      </c>
      <c r="CQ39" s="3">
        <v>0.24399999999999999</v>
      </c>
      <c r="CR39" s="3">
        <v>0.73299999999999998</v>
      </c>
      <c r="CS39" s="3">
        <v>0.78300000000000003</v>
      </c>
      <c r="CT39" s="48" t="s">
        <v>310</v>
      </c>
      <c r="CU39" s="49" t="s">
        <v>336</v>
      </c>
      <c r="CV39" s="3">
        <v>-0.26900000000000002</v>
      </c>
      <c r="CW39" s="3">
        <v>0.40899999999999997</v>
      </c>
      <c r="CX39" s="3">
        <v>0.77100000000000002</v>
      </c>
      <c r="CY39" s="3">
        <v>0.89800000000000002</v>
      </c>
      <c r="CZ39" s="3">
        <v>0.68400000000000005</v>
      </c>
      <c r="DA39" s="3">
        <v>2.7650000000000001</v>
      </c>
      <c r="DB39" s="3">
        <v>1.1910000000000001</v>
      </c>
      <c r="DC39" s="3">
        <v>0.77800000000000002</v>
      </c>
      <c r="DD39" s="3">
        <v>1.9750000000000001</v>
      </c>
      <c r="DE39" s="3">
        <v>3.7109999999999999</v>
      </c>
      <c r="DF39" s="3">
        <v>0.63600000000000001</v>
      </c>
      <c r="DG39" s="3">
        <v>2.8879999999999999</v>
      </c>
      <c r="DH39" s="3">
        <v>0.995</v>
      </c>
    </row>
    <row r="40" spans="1:112" x14ac:dyDescent="0.3">
      <c r="A40" s="48" t="s">
        <v>310</v>
      </c>
      <c r="B40" s="49" t="s">
        <v>337</v>
      </c>
      <c r="C40" s="3">
        <v>44.529789000000001</v>
      </c>
      <c r="D40" s="3">
        <v>81.796880099999996</v>
      </c>
      <c r="E40" s="3">
        <v>44.359502999999997</v>
      </c>
      <c r="F40" s="3">
        <v>26.4113586</v>
      </c>
      <c r="G40" s="3">
        <v>26.4113586</v>
      </c>
      <c r="H40" s="3">
        <v>81.796880099999996</v>
      </c>
      <c r="I40" s="48" t="s">
        <v>310</v>
      </c>
      <c r="J40" s="49" t="s">
        <v>337</v>
      </c>
      <c r="K40" s="3">
        <v>48128.5</v>
      </c>
      <c r="L40" s="48" t="s">
        <v>310</v>
      </c>
      <c r="M40" s="49" t="s">
        <v>337</v>
      </c>
      <c r="N40" s="3">
        <v>8579.5639809999993</v>
      </c>
      <c r="O40" s="3">
        <v>11146.45124</v>
      </c>
      <c r="P40" s="3">
        <v>6540.7788399999999</v>
      </c>
      <c r="Q40" s="3">
        <v>5537.611148</v>
      </c>
      <c r="R40" s="3">
        <v>9749.6114500000003</v>
      </c>
      <c r="S40" s="3">
        <v>11052.438969999999</v>
      </c>
      <c r="T40" s="3">
        <v>4869.8922140000004</v>
      </c>
      <c r="U40" s="3">
        <v>10839.56941</v>
      </c>
      <c r="V40" s="3">
        <v>8031.6199569999999</v>
      </c>
      <c r="W40" s="3">
        <v>5282.6211789999998</v>
      </c>
      <c r="X40" s="3">
        <v>8357.6909300000007</v>
      </c>
      <c r="Y40" s="3">
        <v>805.81723360000001</v>
      </c>
      <c r="Z40" s="3">
        <v>2106.056474</v>
      </c>
      <c r="AA40" s="48" t="s">
        <v>310</v>
      </c>
      <c r="AB40" s="49" t="s">
        <v>337</v>
      </c>
      <c r="AC40" s="3">
        <v>2087.950922</v>
      </c>
      <c r="AD40" s="3">
        <v>2016.867043</v>
      </c>
      <c r="AE40" s="3">
        <v>1231.613834</v>
      </c>
      <c r="AF40" s="3">
        <v>371.58700750000003</v>
      </c>
      <c r="AG40" s="3">
        <v>3483.204882</v>
      </c>
      <c r="AH40" s="3">
        <v>2774.4952440000002</v>
      </c>
      <c r="AI40" s="3">
        <v>2492.5213180000001</v>
      </c>
      <c r="AJ40" s="3">
        <v>2586.0887469999998</v>
      </c>
      <c r="AK40" s="3">
        <v>1087.814545</v>
      </c>
      <c r="AL40" s="3">
        <v>1609.9607739999999</v>
      </c>
      <c r="AM40" s="3">
        <v>2879.0802100000001</v>
      </c>
      <c r="AN40" s="3">
        <v>333.9856944</v>
      </c>
      <c r="AO40" s="3">
        <v>1054.261892</v>
      </c>
      <c r="AP40" s="48" t="s">
        <v>310</v>
      </c>
      <c r="AQ40" s="49" t="s">
        <v>337</v>
      </c>
      <c r="AR40" s="3">
        <v>956.19459319999999</v>
      </c>
      <c r="AS40" s="3">
        <v>1503.255905</v>
      </c>
      <c r="AT40" s="3">
        <v>1130.128608</v>
      </c>
      <c r="AU40" s="3">
        <v>1155.345732</v>
      </c>
      <c r="AV40" s="3">
        <v>413.17062290000001</v>
      </c>
      <c r="AW40" s="3">
        <v>1901.9778180000001</v>
      </c>
      <c r="AX40" s="3">
        <v>1012.5261410000001</v>
      </c>
      <c r="AY40" s="3">
        <v>791.63660730000004</v>
      </c>
      <c r="AZ40" s="3">
        <v>882.51565779999999</v>
      </c>
      <c r="BA40" s="3">
        <v>431.66108930000001</v>
      </c>
      <c r="BB40" s="3">
        <v>579.41003850000004</v>
      </c>
      <c r="BC40" s="3">
        <v>203.06974500000001</v>
      </c>
      <c r="BD40" s="3">
        <v>1027.5035929999999</v>
      </c>
      <c r="BE40" s="48" t="s">
        <v>310</v>
      </c>
      <c r="BF40" s="49" t="s">
        <v>337</v>
      </c>
      <c r="BG40" s="3">
        <v>0.129</v>
      </c>
      <c r="BH40" s="3">
        <v>0.39400000000000002</v>
      </c>
      <c r="BI40" s="3">
        <v>0.92400000000000004</v>
      </c>
      <c r="BJ40" s="3">
        <v>6.3E-2</v>
      </c>
      <c r="BK40" s="3">
        <v>0.45500000000000002</v>
      </c>
      <c r="BL40" s="3">
        <v>0.9395</v>
      </c>
      <c r="BM40" s="3">
        <v>5.8000000000000003E-2</v>
      </c>
      <c r="BN40" s="3">
        <v>0.60599999999999998</v>
      </c>
      <c r="BO40" s="3">
        <v>0.93049999999999999</v>
      </c>
      <c r="BP40" s="3">
        <v>5.2999999999999999E-2</v>
      </c>
      <c r="BQ40" s="3">
        <v>0.32800000000000001</v>
      </c>
      <c r="BR40" s="3">
        <v>0.92333333299999998</v>
      </c>
      <c r="BS40" s="3">
        <v>0.154</v>
      </c>
      <c r="BT40" s="3">
        <v>0.81899999999999995</v>
      </c>
      <c r="BU40" s="3">
        <v>0.87683333399999996</v>
      </c>
      <c r="BV40" s="3">
        <v>5.5E-2</v>
      </c>
      <c r="BW40" s="3">
        <v>0.66900000000000004</v>
      </c>
      <c r="BX40" s="3">
        <v>0.91300000000000003</v>
      </c>
      <c r="BY40" s="3">
        <v>0.108</v>
      </c>
      <c r="BZ40" s="3">
        <v>0.66900000000000004</v>
      </c>
      <c r="CA40" s="3">
        <v>0.94950000000000001</v>
      </c>
      <c r="CB40" s="3">
        <v>0.23</v>
      </c>
      <c r="CC40" s="3">
        <v>0.311</v>
      </c>
      <c r="CD40" s="3">
        <v>0.82966666700000002</v>
      </c>
      <c r="CE40" s="3">
        <v>0.159</v>
      </c>
      <c r="CF40" s="3">
        <v>0.38400000000000001</v>
      </c>
      <c r="CG40" s="3">
        <v>0.77700000000000002</v>
      </c>
      <c r="CH40" s="3">
        <v>0.158</v>
      </c>
      <c r="CI40" s="3">
        <v>0.72399999999999998</v>
      </c>
      <c r="CJ40" s="3">
        <v>0.82599999999999996</v>
      </c>
      <c r="CK40" s="3">
        <v>0.183</v>
      </c>
      <c r="CL40" s="3">
        <v>0.54900000000000004</v>
      </c>
      <c r="CM40" s="3">
        <v>0.01</v>
      </c>
      <c r="CN40" s="3">
        <v>6.8000000000000005E-2</v>
      </c>
      <c r="CO40" s="3">
        <v>0.78400000000000003</v>
      </c>
      <c r="CP40" s="3">
        <v>0.83799999999999997</v>
      </c>
      <c r="CQ40" s="3">
        <v>0.17199999999999999</v>
      </c>
      <c r="CR40" s="3">
        <v>0.70299999999999996</v>
      </c>
      <c r="CS40" s="3">
        <v>0.80500000000000005</v>
      </c>
      <c r="CT40" s="48" t="s">
        <v>310</v>
      </c>
      <c r="CU40" s="49" t="s">
        <v>337</v>
      </c>
      <c r="CV40" s="3">
        <v>-5.2999999999999999E-2</v>
      </c>
      <c r="CW40" s="3">
        <v>0.68100000000000005</v>
      </c>
      <c r="CX40" s="3">
        <v>0.79600000000000004</v>
      </c>
      <c r="CY40" s="3">
        <v>1.036</v>
      </c>
      <c r="CZ40" s="3">
        <v>1.1830000000000001</v>
      </c>
      <c r="DA40" s="3">
        <v>2.6760000000000002</v>
      </c>
      <c r="DB40" s="3">
        <v>1.4770000000000001</v>
      </c>
      <c r="DC40" s="3">
        <v>1.391</v>
      </c>
      <c r="DD40" s="3">
        <v>2.3210000000000002</v>
      </c>
      <c r="DE40" s="3">
        <v>3.8340000000000001</v>
      </c>
      <c r="DF40" s="3">
        <v>1.131</v>
      </c>
      <c r="DG40" s="3">
        <v>3.306</v>
      </c>
      <c r="DH40" s="3">
        <v>1.347</v>
      </c>
    </row>
    <row r="41" spans="1:112" x14ac:dyDescent="0.3">
      <c r="A41" s="48" t="s">
        <v>310</v>
      </c>
      <c r="B41" s="49" t="s">
        <v>338</v>
      </c>
      <c r="C41" s="3">
        <v>43.678359</v>
      </c>
      <c r="D41" s="3">
        <v>95.896560899999997</v>
      </c>
      <c r="E41" s="3">
        <v>47.194764900000003</v>
      </c>
      <c r="F41" s="3">
        <v>26.470958700000001</v>
      </c>
      <c r="G41" s="3">
        <v>26.470958700000001</v>
      </c>
      <c r="H41" s="3">
        <v>95.896560899999997</v>
      </c>
      <c r="I41" s="48" t="s">
        <v>310</v>
      </c>
      <c r="J41" s="49" t="s">
        <v>338</v>
      </c>
      <c r="K41" s="3">
        <v>47648</v>
      </c>
      <c r="L41" s="48" t="s">
        <v>310</v>
      </c>
      <c r="M41" s="49" t="s">
        <v>338</v>
      </c>
      <c r="N41" s="3">
        <v>8569.3557650000002</v>
      </c>
      <c r="O41" s="3">
        <v>11474.765160000001</v>
      </c>
      <c r="P41" s="3">
        <v>6676.5274129999998</v>
      </c>
      <c r="Q41" s="3">
        <v>5533.7354859999996</v>
      </c>
      <c r="R41" s="3">
        <v>9759.6082330000008</v>
      </c>
      <c r="S41" s="3">
        <v>11359.044159999999</v>
      </c>
      <c r="T41" s="3">
        <v>4716.902118</v>
      </c>
      <c r="U41" s="3">
        <v>10816.85771</v>
      </c>
      <c r="V41" s="3">
        <v>8002.5752259999999</v>
      </c>
      <c r="W41" s="3">
        <v>5395.0258489999997</v>
      </c>
      <c r="X41" s="3">
        <v>8583.5669959999996</v>
      </c>
      <c r="Y41" s="3">
        <v>805.33711640000001</v>
      </c>
      <c r="Z41" s="3">
        <v>2055.4428659999999</v>
      </c>
      <c r="AA41" s="48" t="s">
        <v>310</v>
      </c>
      <c r="AB41" s="49" t="s">
        <v>338</v>
      </c>
      <c r="AC41" s="3">
        <v>1955.7465529999999</v>
      </c>
      <c r="AD41" s="3">
        <v>1943.857837</v>
      </c>
      <c r="AE41" s="3">
        <v>1187.0302569999999</v>
      </c>
      <c r="AF41" s="3">
        <v>358.1358123</v>
      </c>
      <c r="AG41" s="3">
        <v>3262.6561620000002</v>
      </c>
      <c r="AH41" s="3">
        <v>2674.0604170000001</v>
      </c>
      <c r="AI41" s="3">
        <v>2402.2937529999999</v>
      </c>
      <c r="AJ41" s="3">
        <v>2422.3434080000002</v>
      </c>
      <c r="AK41" s="3">
        <v>1018.936568</v>
      </c>
      <c r="AL41" s="3">
        <v>1508.0216680000001</v>
      </c>
      <c r="AM41" s="3">
        <v>2774.8594779999999</v>
      </c>
      <c r="AN41" s="3">
        <v>321.89564100000001</v>
      </c>
      <c r="AO41" s="3">
        <v>987.50839370000006</v>
      </c>
      <c r="AP41" s="48" t="s">
        <v>310</v>
      </c>
      <c r="AQ41" s="49" t="s">
        <v>338</v>
      </c>
      <c r="AR41" s="3">
        <v>940.519272</v>
      </c>
      <c r="AS41" s="3">
        <v>1454.8752549999999</v>
      </c>
      <c r="AT41" s="3">
        <v>1093.7566529999999</v>
      </c>
      <c r="AU41" s="3">
        <v>1118.1621909999999</v>
      </c>
      <c r="AV41" s="3">
        <v>406.397334</v>
      </c>
      <c r="AW41" s="3">
        <v>1840.764739</v>
      </c>
      <c r="AX41" s="3">
        <v>979.93909229999997</v>
      </c>
      <c r="AY41" s="3">
        <v>778.65895799999998</v>
      </c>
      <c r="AZ41" s="3">
        <v>868.04818799999998</v>
      </c>
      <c r="BA41" s="3">
        <v>424.584678</v>
      </c>
      <c r="BB41" s="3">
        <v>560.76235910000003</v>
      </c>
      <c r="BC41" s="3">
        <v>196.534167</v>
      </c>
      <c r="BD41" s="3">
        <v>1010.659272</v>
      </c>
      <c r="BE41" s="48" t="s">
        <v>310</v>
      </c>
      <c r="BF41" s="49" t="s">
        <v>338</v>
      </c>
      <c r="BG41" s="3">
        <v>4.1000000000000002E-2</v>
      </c>
      <c r="BH41" s="3">
        <v>0.36899999999999999</v>
      </c>
      <c r="BI41" s="3">
        <v>0.92149999999999999</v>
      </c>
      <c r="BJ41" s="3">
        <v>2.8000000000000001E-2</v>
      </c>
      <c r="BK41" s="3">
        <v>0.41699999999999998</v>
      </c>
      <c r="BL41" s="3">
        <v>0.9405</v>
      </c>
      <c r="BM41" s="3">
        <v>3.3000000000000002E-2</v>
      </c>
      <c r="BN41" s="3">
        <v>0.56799999999999995</v>
      </c>
      <c r="BO41" s="3">
        <v>0.92349999999999999</v>
      </c>
      <c r="BP41" s="3">
        <v>4.2999999999999997E-2</v>
      </c>
      <c r="BQ41" s="3">
        <v>0.309</v>
      </c>
      <c r="BR41" s="3">
        <v>0.90766666699999998</v>
      </c>
      <c r="BS41" s="3">
        <v>5.3999999999999999E-2</v>
      </c>
      <c r="BT41" s="3">
        <v>0.82899999999999996</v>
      </c>
      <c r="BU41" s="3">
        <v>0.87675000000000003</v>
      </c>
      <c r="BV41" s="3">
        <v>4.1000000000000002E-2</v>
      </c>
      <c r="BW41" s="3">
        <v>0.60499999999999998</v>
      </c>
      <c r="BX41" s="3">
        <v>0.89800000000000002</v>
      </c>
      <c r="BY41" s="3">
        <v>9.8000000000000004E-2</v>
      </c>
      <c r="BZ41" s="3">
        <v>0.60499999999999998</v>
      </c>
      <c r="CA41" s="3">
        <v>0.95099999999999996</v>
      </c>
      <c r="CB41" s="3">
        <v>8.1000000000000003E-2</v>
      </c>
      <c r="CC41" s="3">
        <v>0.28799999999999998</v>
      </c>
      <c r="CD41" s="3">
        <v>0.83199999999999996</v>
      </c>
      <c r="CE41" s="3">
        <v>5.3999999999999999E-2</v>
      </c>
      <c r="CF41" s="3">
        <v>0.37</v>
      </c>
      <c r="CG41" s="3">
        <v>0.74950000000000006</v>
      </c>
      <c r="CH41" s="3">
        <v>5.3999999999999999E-2</v>
      </c>
      <c r="CI41" s="3">
        <v>0.70199999999999996</v>
      </c>
      <c r="CJ41" s="3">
        <v>0.80700000000000005</v>
      </c>
      <c r="CK41" s="3">
        <v>9.0999999999999998E-2</v>
      </c>
      <c r="CL41" s="3">
        <v>0.53300000000000003</v>
      </c>
      <c r="CM41" s="3">
        <v>0.01</v>
      </c>
      <c r="CN41" s="3">
        <v>4.3999999999999997E-2</v>
      </c>
      <c r="CO41" s="3">
        <v>0.78600000000000003</v>
      </c>
      <c r="CP41" s="3">
        <v>0.83966666700000003</v>
      </c>
      <c r="CQ41" s="3">
        <v>8.7999999999999995E-2</v>
      </c>
      <c r="CR41" s="3">
        <v>0.65800000000000003</v>
      </c>
      <c r="CS41" s="3">
        <v>0.81799999999999995</v>
      </c>
      <c r="CT41" s="48" t="s">
        <v>310</v>
      </c>
      <c r="CU41" s="49" t="s">
        <v>338</v>
      </c>
      <c r="CV41" s="3">
        <v>-0.157</v>
      </c>
      <c r="CW41" s="3">
        <v>0.49099999999999999</v>
      </c>
      <c r="CX41" s="3">
        <v>0.61299999999999999</v>
      </c>
      <c r="CY41" s="3">
        <v>0.70399999999999996</v>
      </c>
      <c r="CZ41" s="3">
        <v>1.1679999999999999</v>
      </c>
      <c r="DA41" s="3">
        <v>2.7069999999999999</v>
      </c>
      <c r="DB41" s="3">
        <v>1.2010000000000001</v>
      </c>
      <c r="DC41" s="3">
        <v>1.7709999999999999</v>
      </c>
      <c r="DD41" s="3">
        <v>2.4159999999999999</v>
      </c>
      <c r="DE41" s="3">
        <v>3.6579999999999999</v>
      </c>
      <c r="DF41" s="3">
        <v>1.1839999999999999</v>
      </c>
      <c r="DG41" s="3">
        <v>3.21</v>
      </c>
      <c r="DH41" s="3">
        <v>1.3979999999999999</v>
      </c>
    </row>
    <row r="42" spans="1:112" x14ac:dyDescent="0.3">
      <c r="A42" s="48" t="s">
        <v>310</v>
      </c>
      <c r="B42" s="49" t="s">
        <v>339</v>
      </c>
      <c r="C42" s="3">
        <v>45.951677099999998</v>
      </c>
      <c r="D42" s="3">
        <v>104.72589000000001</v>
      </c>
      <c r="E42" s="3">
        <v>49.638368999999997</v>
      </c>
      <c r="F42" s="3">
        <v>26.6327304</v>
      </c>
      <c r="G42" s="3">
        <v>26.6327304</v>
      </c>
      <c r="H42" s="3">
        <v>94.2873582</v>
      </c>
      <c r="I42" s="48" t="s">
        <v>310</v>
      </c>
      <c r="J42" s="49" t="s">
        <v>339</v>
      </c>
      <c r="K42" s="3">
        <v>47762</v>
      </c>
      <c r="L42" s="48" t="s">
        <v>310</v>
      </c>
      <c r="M42" s="49" t="s">
        <v>339</v>
      </c>
      <c r="N42" s="3">
        <v>8619.1945510000005</v>
      </c>
      <c r="O42" s="3">
        <v>11872.35079</v>
      </c>
      <c r="P42" s="3">
        <v>6854.6047360000002</v>
      </c>
      <c r="Q42" s="3">
        <v>5927.046147</v>
      </c>
      <c r="R42" s="3">
        <v>9736.9581209999997</v>
      </c>
      <c r="S42" s="3">
        <v>11897.729660000001</v>
      </c>
      <c r="T42" s="3">
        <v>4924.8396279999997</v>
      </c>
      <c r="U42" s="3">
        <v>10729.14062</v>
      </c>
      <c r="V42" s="3">
        <v>8072.1822519999996</v>
      </c>
      <c r="W42" s="3">
        <v>5486.9386009999998</v>
      </c>
      <c r="X42" s="3">
        <v>8884.6953599999997</v>
      </c>
      <c r="Y42" s="3">
        <v>819.45794420000004</v>
      </c>
      <c r="Z42" s="3">
        <v>2277.787433</v>
      </c>
      <c r="AA42" s="48" t="s">
        <v>310</v>
      </c>
      <c r="AB42" s="49" t="s">
        <v>339</v>
      </c>
      <c r="AC42" s="3">
        <v>1965.991172</v>
      </c>
      <c r="AD42" s="3">
        <v>1916.9321890000001</v>
      </c>
      <c r="AE42" s="3">
        <v>1170.587923</v>
      </c>
      <c r="AF42" s="3">
        <v>353.17503859999999</v>
      </c>
      <c r="AG42" s="3">
        <v>3279.7466530000002</v>
      </c>
      <c r="AH42" s="3">
        <v>2637.0202549999999</v>
      </c>
      <c r="AI42" s="3">
        <v>2369.0180089999999</v>
      </c>
      <c r="AJ42" s="3">
        <v>2435.0321610000001</v>
      </c>
      <c r="AK42" s="3">
        <v>1024.2739759999999</v>
      </c>
      <c r="AL42" s="3">
        <v>1515.9210089999999</v>
      </c>
      <c r="AM42" s="3">
        <v>2736.4230819999998</v>
      </c>
      <c r="AN42" s="3">
        <v>317.43685369999997</v>
      </c>
      <c r="AO42" s="3">
        <v>992.68117400000006</v>
      </c>
      <c r="AP42" s="48" t="s">
        <v>310</v>
      </c>
      <c r="AQ42" s="49" t="s">
        <v>339</v>
      </c>
      <c r="AR42" s="3">
        <v>944.99793520000003</v>
      </c>
      <c r="AS42" s="3">
        <v>1434.1406910000001</v>
      </c>
      <c r="AT42" s="3">
        <v>1078.168672</v>
      </c>
      <c r="AU42" s="3">
        <v>1102.226388</v>
      </c>
      <c r="AV42" s="3">
        <v>408.33255939999998</v>
      </c>
      <c r="AW42" s="3">
        <v>1814.5305619999999</v>
      </c>
      <c r="AX42" s="3">
        <v>965.97321450000004</v>
      </c>
      <c r="AY42" s="3">
        <v>782.36685780000005</v>
      </c>
      <c r="AZ42" s="3">
        <v>872.18175080000003</v>
      </c>
      <c r="BA42" s="3">
        <v>426.60650980000003</v>
      </c>
      <c r="BB42" s="3">
        <v>552.77049650000004</v>
      </c>
      <c r="BC42" s="3">
        <v>193.733205</v>
      </c>
      <c r="BD42" s="3">
        <v>1015.471935</v>
      </c>
      <c r="BE42" s="48" t="s">
        <v>310</v>
      </c>
      <c r="BF42" s="49" t="s">
        <v>339</v>
      </c>
      <c r="BG42" s="3">
        <v>8.0000000000000002E-3</v>
      </c>
      <c r="BH42" s="3">
        <v>0.309</v>
      </c>
      <c r="BI42" s="3">
        <v>0.91600000000000004</v>
      </c>
      <c r="BJ42" s="3">
        <v>8.0000000000000002E-3</v>
      </c>
      <c r="BK42" s="3">
        <v>0.374</v>
      </c>
      <c r="BL42" s="3">
        <v>0.93149999999999999</v>
      </c>
      <c r="BM42" s="3">
        <v>1.2999999999999999E-2</v>
      </c>
      <c r="BN42" s="3">
        <v>0.53300000000000003</v>
      </c>
      <c r="BO42" s="3">
        <v>0.90649999999999997</v>
      </c>
      <c r="BP42" s="3">
        <v>2.9000000000000001E-2</v>
      </c>
      <c r="BQ42" s="3">
        <v>0.28100000000000003</v>
      </c>
      <c r="BR42" s="3">
        <v>0.89800000000000002</v>
      </c>
      <c r="BS42" s="3">
        <v>1.2999999999999999E-2</v>
      </c>
      <c r="BT42" s="3">
        <v>0.83899999999999997</v>
      </c>
      <c r="BU42" s="3">
        <v>0.87533333400000002</v>
      </c>
      <c r="BV42" s="3">
        <v>1.4999999999999999E-2</v>
      </c>
      <c r="BW42" s="3">
        <v>0.58199999999999996</v>
      </c>
      <c r="BX42" s="3">
        <v>0.88400000000000001</v>
      </c>
      <c r="BY42" s="3">
        <v>2.1000000000000001E-2</v>
      </c>
      <c r="BZ42" s="3">
        <v>0.58199999999999996</v>
      </c>
      <c r="CA42" s="3">
        <v>0.93</v>
      </c>
      <c r="CB42" s="3">
        <v>1.6E-2</v>
      </c>
      <c r="CC42" s="3">
        <v>0.30599999999999999</v>
      </c>
      <c r="CD42" s="3">
        <v>0.83466666700000003</v>
      </c>
      <c r="CE42" s="3">
        <v>0.02</v>
      </c>
      <c r="CF42" s="3">
        <v>0.38100000000000001</v>
      </c>
      <c r="CG42" s="3">
        <v>0.76049999999999995</v>
      </c>
      <c r="CH42" s="3">
        <v>0.02</v>
      </c>
      <c r="CI42" s="3">
        <v>0.625</v>
      </c>
      <c r="CJ42" s="3">
        <v>0.81866666700000001</v>
      </c>
      <c r="CK42" s="3">
        <v>3.2000000000000001E-2</v>
      </c>
      <c r="CL42" s="3">
        <v>0.499</v>
      </c>
      <c r="CM42" s="3">
        <v>0.01</v>
      </c>
      <c r="CN42" s="3">
        <v>1.7000000000000001E-2</v>
      </c>
      <c r="CO42" s="3">
        <v>0.77100000000000002</v>
      </c>
      <c r="CP42" s="3">
        <v>0.83133333300000001</v>
      </c>
      <c r="CQ42" s="3">
        <v>4.1000000000000002E-2</v>
      </c>
      <c r="CR42" s="3">
        <v>0.621</v>
      </c>
      <c r="CS42" s="3">
        <v>0.81200000000000006</v>
      </c>
      <c r="CT42" s="48" t="s">
        <v>310</v>
      </c>
      <c r="CU42" s="49" t="s">
        <v>339</v>
      </c>
      <c r="CV42" s="3">
        <v>-0.80500000000000005</v>
      </c>
      <c r="CW42" s="3">
        <v>-0.36699999999999999</v>
      </c>
      <c r="CX42" s="3">
        <v>-8.4000000000000005E-2</v>
      </c>
      <c r="CY42" s="3">
        <v>-0.20799999999999999</v>
      </c>
      <c r="CZ42" s="3">
        <v>0.01</v>
      </c>
      <c r="DA42" s="3">
        <v>2.7629999999999999</v>
      </c>
      <c r="DB42" s="3">
        <v>7.9000000000000001E-2</v>
      </c>
      <c r="DC42" s="3">
        <v>1.494</v>
      </c>
      <c r="DD42" s="3">
        <v>1.7470000000000001</v>
      </c>
      <c r="DE42" s="3">
        <v>2.9769999999999999</v>
      </c>
      <c r="DF42" s="3">
        <v>0.68100000000000005</v>
      </c>
      <c r="DG42" s="3">
        <v>2.5939999999999999</v>
      </c>
      <c r="DH42" s="3">
        <v>0.83299999999999996</v>
      </c>
    </row>
    <row r="43" spans="1:112" x14ac:dyDescent="0.3">
      <c r="A43" s="48" t="s">
        <v>310</v>
      </c>
      <c r="B43" s="49" t="s">
        <v>340</v>
      </c>
      <c r="C43" s="3">
        <v>52.1586018</v>
      </c>
      <c r="D43" s="3">
        <v>114.347049</v>
      </c>
      <c r="E43" s="3">
        <v>60.809130600000003</v>
      </c>
      <c r="F43" s="3">
        <v>26.922216599999999</v>
      </c>
      <c r="G43" s="3">
        <v>26.922216599999999</v>
      </c>
      <c r="H43" s="3">
        <v>149.00024999999999</v>
      </c>
      <c r="I43" s="48" t="s">
        <v>310</v>
      </c>
      <c r="J43" s="49" t="s">
        <v>340</v>
      </c>
      <c r="K43" s="3">
        <v>49187</v>
      </c>
      <c r="L43" s="48" t="s">
        <v>310</v>
      </c>
      <c r="M43" s="49" t="s">
        <v>340</v>
      </c>
      <c r="N43" s="3">
        <v>10351.51953</v>
      </c>
      <c r="O43" s="3">
        <v>13831.559450000001</v>
      </c>
      <c r="P43" s="3">
        <v>8289.8556649999991</v>
      </c>
      <c r="Q43" s="3">
        <v>7039.8388169999998</v>
      </c>
      <c r="R43" s="3">
        <v>11564.97781</v>
      </c>
      <c r="S43" s="3">
        <v>14349.830980000001</v>
      </c>
      <c r="T43" s="3">
        <v>6790.2947709999999</v>
      </c>
      <c r="U43" s="3">
        <v>13031.256240000001</v>
      </c>
      <c r="V43" s="3">
        <v>9320.1537690000005</v>
      </c>
      <c r="W43" s="3">
        <v>6529.7363150000001</v>
      </c>
      <c r="X43" s="3">
        <v>10894.61031</v>
      </c>
      <c r="Y43" s="3">
        <v>1101.3883310000001</v>
      </c>
      <c r="Z43" s="3">
        <v>2449.4852310000001</v>
      </c>
      <c r="AA43" s="48" t="s">
        <v>310</v>
      </c>
      <c r="AB43" s="49" t="s">
        <v>340</v>
      </c>
      <c r="AC43" s="3">
        <v>1552.2150019999999</v>
      </c>
      <c r="AD43" s="3">
        <v>1490.3883109999999</v>
      </c>
      <c r="AE43" s="3">
        <v>910.11594830000001</v>
      </c>
      <c r="AF43" s="3">
        <v>274.58871629999999</v>
      </c>
      <c r="AG43" s="3">
        <v>2589.46837</v>
      </c>
      <c r="AH43" s="3">
        <v>2050.2468389999999</v>
      </c>
      <c r="AI43" s="3">
        <v>1841.878794</v>
      </c>
      <c r="AJ43" s="3">
        <v>1922.5383629999999</v>
      </c>
      <c r="AK43" s="3">
        <v>808.69815400000005</v>
      </c>
      <c r="AL43" s="3">
        <v>1196.8697340000001</v>
      </c>
      <c r="AM43" s="3">
        <v>2127.5311649999999</v>
      </c>
      <c r="AN43" s="3">
        <v>246.80277100000001</v>
      </c>
      <c r="AO43" s="3">
        <v>783.75459260000002</v>
      </c>
      <c r="AP43" s="48" t="s">
        <v>310</v>
      </c>
      <c r="AQ43" s="49" t="s">
        <v>340</v>
      </c>
      <c r="AR43" s="3">
        <v>947.23726680000004</v>
      </c>
      <c r="AS43" s="3">
        <v>1430.6849299999999</v>
      </c>
      <c r="AT43" s="3">
        <v>1075.5706749999999</v>
      </c>
      <c r="AU43" s="3">
        <v>1099.5704209999999</v>
      </c>
      <c r="AV43" s="3">
        <v>409.3001721</v>
      </c>
      <c r="AW43" s="3">
        <v>1810.158199</v>
      </c>
      <c r="AX43" s="3">
        <v>963.64556819999996</v>
      </c>
      <c r="AY43" s="3">
        <v>784.22080770000002</v>
      </c>
      <c r="AZ43" s="3">
        <v>874.2485322</v>
      </c>
      <c r="BA43" s="3">
        <v>427.61742570000001</v>
      </c>
      <c r="BB43" s="3">
        <v>551.43851940000002</v>
      </c>
      <c r="BC43" s="3">
        <v>193.266378</v>
      </c>
      <c r="BD43" s="3">
        <v>1017.8782670000001</v>
      </c>
      <c r="BE43" s="48" t="s">
        <v>310</v>
      </c>
      <c r="BF43" s="49" t="s">
        <v>340</v>
      </c>
      <c r="BG43" s="3">
        <v>0</v>
      </c>
      <c r="BH43" s="3">
        <v>0.315</v>
      </c>
      <c r="BI43" s="3">
        <v>0.90700000000000003</v>
      </c>
      <c r="BJ43" s="3">
        <v>0</v>
      </c>
      <c r="BK43" s="3">
        <v>0.36299999999999999</v>
      </c>
      <c r="BL43" s="3">
        <v>0.91800000000000004</v>
      </c>
      <c r="BM43" s="3">
        <v>0</v>
      </c>
      <c r="BN43" s="3">
        <v>0.53300000000000003</v>
      </c>
      <c r="BO43" s="3">
        <v>0.88649999999999995</v>
      </c>
      <c r="BP43" s="3">
        <v>0</v>
      </c>
      <c r="BQ43" s="3">
        <v>0.373</v>
      </c>
      <c r="BR43" s="3">
        <v>0.87033333300000004</v>
      </c>
      <c r="BS43" s="3">
        <v>0</v>
      </c>
      <c r="BT43" s="3">
        <v>0.83399999999999996</v>
      </c>
      <c r="BU43" s="3">
        <v>0.87966666699999996</v>
      </c>
      <c r="BV43" s="3">
        <v>0</v>
      </c>
      <c r="BW43" s="3">
        <v>0.628</v>
      </c>
      <c r="BX43" s="3">
        <v>0.86299999999999999</v>
      </c>
      <c r="BY43" s="3">
        <v>0</v>
      </c>
      <c r="BZ43" s="3">
        <v>0.628</v>
      </c>
      <c r="CA43" s="3">
        <v>0.92249999999999999</v>
      </c>
      <c r="CB43" s="3">
        <v>0</v>
      </c>
      <c r="CC43" s="3">
        <v>0.41599999999999998</v>
      </c>
      <c r="CD43" s="3">
        <v>0.85233333300000003</v>
      </c>
      <c r="CE43" s="3">
        <v>0</v>
      </c>
      <c r="CF43" s="3">
        <v>0.49199999999999999</v>
      </c>
      <c r="CG43" s="3">
        <v>0.77700000000000002</v>
      </c>
      <c r="CH43" s="3">
        <v>0</v>
      </c>
      <c r="CI43" s="3">
        <v>0.625</v>
      </c>
      <c r="CJ43" s="3">
        <v>0.825333333</v>
      </c>
      <c r="CK43" s="3">
        <v>1E-3</v>
      </c>
      <c r="CL43" s="3">
        <v>0.49399999999999999</v>
      </c>
      <c r="CM43" s="3">
        <v>0.01</v>
      </c>
      <c r="CN43" s="3">
        <v>0</v>
      </c>
      <c r="CO43" s="3">
        <v>0.76500000000000001</v>
      </c>
      <c r="CP43" s="3">
        <v>0.82799999999999996</v>
      </c>
      <c r="CQ43" s="3">
        <v>1E-3</v>
      </c>
      <c r="CR43" s="3">
        <v>0.66200000000000003</v>
      </c>
      <c r="CS43" s="3">
        <v>0.78600000000000003</v>
      </c>
      <c r="CT43" s="48" t="s">
        <v>310</v>
      </c>
      <c r="CU43" s="49" t="s">
        <v>340</v>
      </c>
      <c r="CV43" s="3">
        <v>-2.5859999999999999</v>
      </c>
      <c r="CW43" s="3">
        <v>-1.909</v>
      </c>
      <c r="CX43" s="3">
        <v>-1.0469999999999999</v>
      </c>
      <c r="CY43" s="3">
        <v>-1.37</v>
      </c>
      <c r="CZ43" s="3">
        <v>-2.242</v>
      </c>
      <c r="DA43" s="3">
        <v>2.863</v>
      </c>
      <c r="DB43" s="3">
        <v>-1.474</v>
      </c>
      <c r="DC43" s="3">
        <v>0.89900000000000002</v>
      </c>
      <c r="DD43" s="3">
        <v>0.438</v>
      </c>
      <c r="DE43" s="3">
        <v>1.5940000000000001</v>
      </c>
      <c r="DF43" s="3">
        <v>-0.66600000000000004</v>
      </c>
      <c r="DG43" s="3">
        <v>1.5409999999999999</v>
      </c>
      <c r="DH43" s="3">
        <v>-6.9000000000000006E-2</v>
      </c>
    </row>
    <row r="44" spans="1:112" x14ac:dyDescent="0.3">
      <c r="A44" s="48" t="s">
        <v>310</v>
      </c>
      <c r="B44" s="49" t="s">
        <v>341</v>
      </c>
      <c r="C44" s="3">
        <v>54.329748299999999</v>
      </c>
      <c r="D44" s="3">
        <v>118.34877</v>
      </c>
      <c r="E44" s="3">
        <v>51.000656999999997</v>
      </c>
      <c r="F44" s="3">
        <v>26.7263877</v>
      </c>
      <c r="G44" s="3">
        <v>26.7263877</v>
      </c>
      <c r="H44" s="3">
        <v>118.34877</v>
      </c>
      <c r="I44" s="48" t="s">
        <v>310</v>
      </c>
      <c r="J44" s="49" t="s">
        <v>341</v>
      </c>
      <c r="K44" s="3">
        <v>51643.5</v>
      </c>
      <c r="L44" s="48" t="s">
        <v>310</v>
      </c>
      <c r="M44" s="49" t="s">
        <v>341</v>
      </c>
      <c r="N44" s="3">
        <v>12405.349050000001</v>
      </c>
      <c r="O44" s="3">
        <v>16409.020629999999</v>
      </c>
      <c r="P44" s="3">
        <v>9771.1220379999995</v>
      </c>
      <c r="Q44" s="3">
        <v>8355.5799449999995</v>
      </c>
      <c r="R44" s="3">
        <v>13588.228810000001</v>
      </c>
      <c r="S44" s="3">
        <v>17376.804929999998</v>
      </c>
      <c r="T44" s="3">
        <v>9522.1047170000002</v>
      </c>
      <c r="U44" s="3">
        <v>15624.713610000001</v>
      </c>
      <c r="V44" s="3">
        <v>11967.469090000001</v>
      </c>
      <c r="W44" s="3">
        <v>8835.3209330000009</v>
      </c>
      <c r="X44" s="3">
        <v>12647.963159999999</v>
      </c>
      <c r="Y44" s="3">
        <v>1442.0270049999999</v>
      </c>
      <c r="Z44" s="3">
        <v>3278.5707830000001</v>
      </c>
      <c r="AA44" s="48" t="s">
        <v>310</v>
      </c>
      <c r="AB44" s="49" t="s">
        <v>341</v>
      </c>
      <c r="AC44" s="3">
        <v>1560.278456</v>
      </c>
      <c r="AD44" s="3">
        <v>1501.6506910000001</v>
      </c>
      <c r="AE44" s="3">
        <v>916.99339880000002</v>
      </c>
      <c r="AF44" s="3">
        <v>276.66369400000002</v>
      </c>
      <c r="AG44" s="3">
        <v>2602.9201539999999</v>
      </c>
      <c r="AH44" s="3">
        <v>2065.7398889999999</v>
      </c>
      <c r="AI44" s="3">
        <v>1855.7972729999999</v>
      </c>
      <c r="AJ44" s="3">
        <v>1932.525576</v>
      </c>
      <c r="AK44" s="3">
        <v>812.8991833</v>
      </c>
      <c r="AL44" s="3">
        <v>1203.087239</v>
      </c>
      <c r="AM44" s="3">
        <v>2143.6082270000002</v>
      </c>
      <c r="AN44" s="3">
        <v>248.66777930000001</v>
      </c>
      <c r="AO44" s="3">
        <v>787.82604509999999</v>
      </c>
      <c r="AP44" s="48" t="s">
        <v>310</v>
      </c>
      <c r="AQ44" s="49" t="s">
        <v>341</v>
      </c>
      <c r="AR44" s="3">
        <v>965.15191960000004</v>
      </c>
      <c r="AS44" s="3">
        <v>1472.1540580000001</v>
      </c>
      <c r="AT44" s="3">
        <v>1106.746637</v>
      </c>
      <c r="AU44" s="3">
        <v>1131.4420270000001</v>
      </c>
      <c r="AV44" s="3">
        <v>417.04107370000003</v>
      </c>
      <c r="AW44" s="3">
        <v>1862.6265530000001</v>
      </c>
      <c r="AX44" s="3">
        <v>991.57732380000004</v>
      </c>
      <c r="AY44" s="3">
        <v>799.05240690000005</v>
      </c>
      <c r="AZ44" s="3">
        <v>890.78278339999997</v>
      </c>
      <c r="BA44" s="3">
        <v>435.70475290000002</v>
      </c>
      <c r="BB44" s="3">
        <v>567.4222446</v>
      </c>
      <c r="BC44" s="3">
        <v>198.868302</v>
      </c>
      <c r="BD44" s="3">
        <v>1037.1289200000001</v>
      </c>
      <c r="BE44" s="48" t="s">
        <v>310</v>
      </c>
      <c r="BF44" s="49" t="s">
        <v>341</v>
      </c>
      <c r="BG44" s="3">
        <v>0</v>
      </c>
      <c r="BH44" s="3">
        <v>0.37</v>
      </c>
      <c r="BI44" s="3">
        <v>0.88949999999999996</v>
      </c>
      <c r="BJ44" s="3">
        <v>0</v>
      </c>
      <c r="BK44" s="3">
        <v>0.39300000000000002</v>
      </c>
      <c r="BL44" s="3">
        <v>0.88249999999999995</v>
      </c>
      <c r="BM44" s="3">
        <v>0</v>
      </c>
      <c r="BN44" s="3">
        <v>0.497</v>
      </c>
      <c r="BO44" s="3">
        <v>0.83599999999999997</v>
      </c>
      <c r="BP44" s="3">
        <v>0</v>
      </c>
      <c r="BQ44" s="3">
        <v>0.45400000000000001</v>
      </c>
      <c r="BR44" s="3">
        <v>0.81433333299999999</v>
      </c>
      <c r="BS44" s="3">
        <v>0</v>
      </c>
      <c r="BT44" s="3">
        <v>0.81100000000000005</v>
      </c>
      <c r="BU44" s="3">
        <v>0.87541666699999998</v>
      </c>
      <c r="BV44" s="3">
        <v>0</v>
      </c>
      <c r="BW44" s="3">
        <v>0.63</v>
      </c>
      <c r="BX44" s="3">
        <v>0.82</v>
      </c>
      <c r="BY44" s="3">
        <v>0</v>
      </c>
      <c r="BZ44" s="3">
        <v>0.63</v>
      </c>
      <c r="CA44" s="3">
        <v>0.90649999999999997</v>
      </c>
      <c r="CB44" s="3">
        <v>0</v>
      </c>
      <c r="CC44" s="3">
        <v>0.53500000000000003</v>
      </c>
      <c r="CD44" s="3">
        <v>0.86133333300000003</v>
      </c>
      <c r="CE44" s="3">
        <v>0</v>
      </c>
      <c r="CF44" s="3">
        <v>0.58899999999999997</v>
      </c>
      <c r="CG44" s="3">
        <v>0.77449999999999997</v>
      </c>
      <c r="CH44" s="3">
        <v>0</v>
      </c>
      <c r="CI44" s="3">
        <v>0.66900000000000004</v>
      </c>
      <c r="CJ44" s="3">
        <v>0.823333333</v>
      </c>
      <c r="CK44" s="3">
        <v>0</v>
      </c>
      <c r="CL44" s="3">
        <v>0.47699999999999998</v>
      </c>
      <c r="CM44" s="3">
        <v>0.01</v>
      </c>
      <c r="CN44" s="3">
        <v>0</v>
      </c>
      <c r="CO44" s="3">
        <v>0.75600000000000001</v>
      </c>
      <c r="CP44" s="3">
        <v>0.82066666700000002</v>
      </c>
      <c r="CQ44" s="3">
        <v>0</v>
      </c>
      <c r="CR44" s="3">
        <v>0.68899999999999995</v>
      </c>
      <c r="CS44" s="3">
        <v>0.79</v>
      </c>
      <c r="CT44" s="48" t="s">
        <v>310</v>
      </c>
      <c r="CU44" s="49" t="s">
        <v>341</v>
      </c>
      <c r="CV44" s="3">
        <v>-2.7610000000000001</v>
      </c>
      <c r="CW44" s="3">
        <v>-2.42</v>
      </c>
      <c r="CX44" s="3">
        <v>-1.4690000000000001</v>
      </c>
      <c r="CY44" s="3">
        <v>-1.8160000000000001</v>
      </c>
      <c r="CZ44" s="3">
        <v>-2.2469999999999999</v>
      </c>
      <c r="DA44" s="3">
        <v>2.9910000000000001</v>
      </c>
      <c r="DB44" s="3">
        <v>-2.0419999999999998</v>
      </c>
      <c r="DC44" s="3">
        <v>1.175</v>
      </c>
      <c r="DD44" s="3">
        <v>0.79700000000000004</v>
      </c>
      <c r="DE44" s="3">
        <v>1.2609999999999999</v>
      </c>
      <c r="DF44" s="3">
        <v>-1.9670000000000001</v>
      </c>
      <c r="DG44" s="3">
        <v>0.88400000000000001</v>
      </c>
      <c r="DH44" s="3">
        <v>-0.66800000000000004</v>
      </c>
    </row>
    <row r="45" spans="1:112" x14ac:dyDescent="0.3">
      <c r="A45" s="48" t="s">
        <v>310</v>
      </c>
      <c r="B45" s="49" t="s">
        <v>342</v>
      </c>
      <c r="C45" s="3">
        <v>53.291003699999997</v>
      </c>
      <c r="D45" s="3">
        <v>103.278459</v>
      </c>
      <c r="E45" s="3">
        <v>38.229207000000002</v>
      </c>
      <c r="F45" s="3">
        <v>26.402844300000002</v>
      </c>
      <c r="G45" s="3">
        <v>26.402844300000002</v>
      </c>
      <c r="H45" s="3">
        <v>103.278459</v>
      </c>
      <c r="I45" s="48" t="s">
        <v>310</v>
      </c>
      <c r="J45" s="49" t="s">
        <v>342</v>
      </c>
      <c r="K45" s="3">
        <v>51329</v>
      </c>
      <c r="L45" s="48" t="s">
        <v>310</v>
      </c>
      <c r="M45" s="49" t="s">
        <v>342</v>
      </c>
      <c r="N45" s="3">
        <v>13588.30377</v>
      </c>
      <c r="O45" s="3">
        <v>17240.260630000001</v>
      </c>
      <c r="P45" s="3">
        <v>10374.84605</v>
      </c>
      <c r="Q45" s="3">
        <v>8804.6675950000008</v>
      </c>
      <c r="R45" s="3">
        <v>15017.00539</v>
      </c>
      <c r="S45" s="3">
        <v>18677.45016</v>
      </c>
      <c r="T45" s="3">
        <v>10858.477129999999</v>
      </c>
      <c r="U45" s="3">
        <v>17644.71125</v>
      </c>
      <c r="V45" s="3">
        <v>13214.952939999999</v>
      </c>
      <c r="W45" s="3">
        <v>10067.588250000001</v>
      </c>
      <c r="X45" s="3">
        <v>13644.36047</v>
      </c>
      <c r="Y45" s="3">
        <v>1660.38066</v>
      </c>
      <c r="Z45" s="3">
        <v>4293.9462249999997</v>
      </c>
      <c r="AA45" s="48" t="s">
        <v>310</v>
      </c>
      <c r="AB45" s="49" t="s">
        <v>342</v>
      </c>
      <c r="AC45" s="3">
        <v>1491.739092</v>
      </c>
      <c r="AD45" s="3">
        <v>1422.81403</v>
      </c>
      <c r="AE45" s="3">
        <v>868.85124529999996</v>
      </c>
      <c r="AF45" s="3">
        <v>262.13885010000001</v>
      </c>
      <c r="AG45" s="3">
        <v>2488.5799919999999</v>
      </c>
      <c r="AH45" s="3">
        <v>1957.288544</v>
      </c>
      <c r="AI45" s="3">
        <v>1758.367917</v>
      </c>
      <c r="AJ45" s="3">
        <v>1847.6342709999999</v>
      </c>
      <c r="AK45" s="3">
        <v>777.19043369999997</v>
      </c>
      <c r="AL45" s="3">
        <v>1150.2384460000001</v>
      </c>
      <c r="AM45" s="3">
        <v>2031.0687949999999</v>
      </c>
      <c r="AN45" s="3">
        <v>235.6127209</v>
      </c>
      <c r="AO45" s="3">
        <v>753.21869939999999</v>
      </c>
      <c r="AP45" s="48" t="s">
        <v>310</v>
      </c>
      <c r="AQ45" s="49" t="s">
        <v>342</v>
      </c>
      <c r="AR45" s="3">
        <v>956.19459319999999</v>
      </c>
      <c r="AS45" s="3">
        <v>1465.2425370000001</v>
      </c>
      <c r="AT45" s="3">
        <v>1101.550643</v>
      </c>
      <c r="AU45" s="3">
        <v>1126.130093</v>
      </c>
      <c r="AV45" s="3">
        <v>413.17062290000001</v>
      </c>
      <c r="AW45" s="3">
        <v>1853.8818269999999</v>
      </c>
      <c r="AX45" s="3">
        <v>986.92203119999999</v>
      </c>
      <c r="AY45" s="3">
        <v>791.63660730000004</v>
      </c>
      <c r="AZ45" s="3">
        <v>882.51565779999999</v>
      </c>
      <c r="BA45" s="3">
        <v>431.66108930000001</v>
      </c>
      <c r="BB45" s="3">
        <v>564.75829039999996</v>
      </c>
      <c r="BC45" s="3">
        <v>197.93464800000001</v>
      </c>
      <c r="BD45" s="3">
        <v>1027.5035929999999</v>
      </c>
      <c r="BE45" s="48" t="s">
        <v>310</v>
      </c>
      <c r="BF45" s="49" t="s">
        <v>342</v>
      </c>
      <c r="BG45" s="3">
        <v>0</v>
      </c>
      <c r="BH45" s="3">
        <v>0.40600000000000003</v>
      </c>
      <c r="BI45" s="3">
        <v>0.85450000000000004</v>
      </c>
      <c r="BJ45" s="3">
        <v>0</v>
      </c>
      <c r="BK45" s="3">
        <v>0.37</v>
      </c>
      <c r="BL45" s="3">
        <v>0.81699999999999995</v>
      </c>
      <c r="BM45" s="3">
        <v>0</v>
      </c>
      <c r="BN45" s="3">
        <v>0.496</v>
      </c>
      <c r="BO45" s="3">
        <v>0.81100000000000005</v>
      </c>
      <c r="BP45" s="3">
        <v>0</v>
      </c>
      <c r="BQ45" s="3">
        <v>0.47299999999999998</v>
      </c>
      <c r="BR45" s="3">
        <v>0.79900000000000004</v>
      </c>
      <c r="BS45" s="3">
        <v>0</v>
      </c>
      <c r="BT45" s="3">
        <v>0.77200000000000002</v>
      </c>
      <c r="BU45" s="3">
        <v>0.85824999999999996</v>
      </c>
      <c r="BV45" s="3">
        <v>0</v>
      </c>
      <c r="BW45" s="3">
        <v>0.60399999999999998</v>
      </c>
      <c r="BX45" s="3">
        <v>0.80100000000000005</v>
      </c>
      <c r="BY45" s="3">
        <v>0</v>
      </c>
      <c r="BZ45" s="3">
        <v>0.60399999999999998</v>
      </c>
      <c r="CA45" s="3">
        <v>0.879</v>
      </c>
      <c r="CB45" s="3">
        <v>0</v>
      </c>
      <c r="CC45" s="3">
        <v>0.59699999999999998</v>
      </c>
      <c r="CD45" s="3">
        <v>0.86199999999999999</v>
      </c>
      <c r="CE45" s="3">
        <v>0</v>
      </c>
      <c r="CF45" s="3">
        <v>0.63500000000000001</v>
      </c>
      <c r="CG45" s="3">
        <v>0.77900000000000003</v>
      </c>
      <c r="CH45" s="3">
        <v>0</v>
      </c>
      <c r="CI45" s="3">
        <v>0.69199999999999995</v>
      </c>
      <c r="CJ45" s="3">
        <v>0.83633333300000001</v>
      </c>
      <c r="CK45" s="3">
        <v>0</v>
      </c>
      <c r="CL45" s="3">
        <v>0.439</v>
      </c>
      <c r="CM45" s="3">
        <v>0.01</v>
      </c>
      <c r="CN45" s="3">
        <v>0</v>
      </c>
      <c r="CO45" s="3">
        <v>0.73899999999999999</v>
      </c>
      <c r="CP45" s="3">
        <v>0.806666667</v>
      </c>
      <c r="CQ45" s="3">
        <v>0</v>
      </c>
      <c r="CR45" s="3">
        <v>0.71199999999999997</v>
      </c>
      <c r="CS45" s="3">
        <v>0.8</v>
      </c>
      <c r="CT45" s="48" t="s">
        <v>310</v>
      </c>
      <c r="CU45" s="49" t="s">
        <v>342</v>
      </c>
      <c r="CV45" s="3">
        <v>-2.6419999999999999</v>
      </c>
      <c r="CW45" s="3">
        <v>-2.5619999999999998</v>
      </c>
      <c r="CX45" s="3">
        <v>-2.0110000000000001</v>
      </c>
      <c r="CY45" s="3">
        <v>-2.0190000000000001</v>
      </c>
      <c r="CZ45" s="3">
        <v>-2.0630000000000002</v>
      </c>
      <c r="DA45" s="3">
        <v>3.165</v>
      </c>
      <c r="DB45" s="3">
        <v>-2.4340000000000002</v>
      </c>
      <c r="DC45" s="3">
        <v>1.3939999999999999</v>
      </c>
      <c r="DD45" s="3">
        <v>1.268</v>
      </c>
      <c r="DE45" s="3">
        <v>1.331</v>
      </c>
      <c r="DF45" s="3">
        <v>-2.39</v>
      </c>
      <c r="DG45" s="3">
        <v>0.55900000000000005</v>
      </c>
      <c r="DH45" s="3">
        <v>-1.0509999999999999</v>
      </c>
    </row>
    <row r="46" spans="1:112" x14ac:dyDescent="0.3">
      <c r="A46" s="48" t="s">
        <v>310</v>
      </c>
      <c r="B46" s="49" t="s">
        <v>343</v>
      </c>
      <c r="C46" s="3">
        <v>53.291003699999997</v>
      </c>
      <c r="D46" s="3">
        <v>84.376712999999995</v>
      </c>
      <c r="E46" s="3">
        <v>39.055094099999998</v>
      </c>
      <c r="F46" s="3">
        <v>25.5088428</v>
      </c>
      <c r="G46" s="3">
        <v>25.5088428</v>
      </c>
      <c r="H46" s="3">
        <v>84.376712999999995</v>
      </c>
      <c r="I46" s="48" t="s">
        <v>310</v>
      </c>
      <c r="J46" s="49" t="s">
        <v>343</v>
      </c>
      <c r="K46" s="3">
        <v>50343</v>
      </c>
      <c r="L46" s="48" t="s">
        <v>310</v>
      </c>
      <c r="M46" s="49" t="s">
        <v>343</v>
      </c>
      <c r="N46" s="3">
        <v>14126.31415</v>
      </c>
      <c r="O46" s="3">
        <v>17741.613130000002</v>
      </c>
      <c r="P46" s="3">
        <v>10598.461209999999</v>
      </c>
      <c r="Q46" s="3">
        <v>8859.5758330000008</v>
      </c>
      <c r="R46" s="3">
        <v>16455.427390000001</v>
      </c>
      <c r="S46" s="3">
        <v>19500.359339999999</v>
      </c>
      <c r="T46" s="3">
        <v>11240.59086</v>
      </c>
      <c r="U46" s="3">
        <v>18939.812399999999</v>
      </c>
      <c r="V46" s="3">
        <v>13203.751899999999</v>
      </c>
      <c r="W46" s="3">
        <v>10518.735549999999</v>
      </c>
      <c r="X46" s="3">
        <v>14284.45205</v>
      </c>
      <c r="Y46" s="3">
        <v>1735.9982480000001</v>
      </c>
      <c r="Z46" s="3">
        <v>4860.707144</v>
      </c>
      <c r="AA46" s="48" t="s">
        <v>310</v>
      </c>
      <c r="AB46" s="49" t="s">
        <v>343</v>
      </c>
      <c r="AC46" s="3">
        <v>1015.995274</v>
      </c>
      <c r="AD46" s="3">
        <v>977.57459979999999</v>
      </c>
      <c r="AE46" s="3">
        <v>596.96270259999994</v>
      </c>
      <c r="AF46" s="3">
        <v>180.10806479999999</v>
      </c>
      <c r="AG46" s="3">
        <v>1694.924751</v>
      </c>
      <c r="AH46" s="3">
        <v>1344.7966670000001</v>
      </c>
      <c r="AI46" s="3">
        <v>1208.1240250000001</v>
      </c>
      <c r="AJ46" s="3">
        <v>1258.388747</v>
      </c>
      <c r="AK46" s="3">
        <v>529.32970079999996</v>
      </c>
      <c r="AL46" s="3">
        <v>783.40564400000005</v>
      </c>
      <c r="AM46" s="3">
        <v>1395.4889559999999</v>
      </c>
      <c r="AN46" s="3">
        <v>161.88272430000001</v>
      </c>
      <c r="AO46" s="3">
        <v>513.00300609999999</v>
      </c>
      <c r="AP46" s="48" t="s">
        <v>310</v>
      </c>
      <c r="AQ46" s="49" t="s">
        <v>343</v>
      </c>
      <c r="AR46" s="3">
        <v>936.04060879999997</v>
      </c>
      <c r="AS46" s="3">
        <v>1441.0522120000001</v>
      </c>
      <c r="AT46" s="3">
        <v>1083.3646659999999</v>
      </c>
      <c r="AU46" s="3">
        <v>1107.5383220000001</v>
      </c>
      <c r="AV46" s="3">
        <v>404.46210860000002</v>
      </c>
      <c r="AW46" s="3">
        <v>1823.275288</v>
      </c>
      <c r="AX46" s="3">
        <v>970.62850709999998</v>
      </c>
      <c r="AY46" s="3">
        <v>774.95105820000003</v>
      </c>
      <c r="AZ46" s="3">
        <v>863.91462520000005</v>
      </c>
      <c r="BA46" s="3">
        <v>422.56284620000002</v>
      </c>
      <c r="BB46" s="3">
        <v>555.43445069999996</v>
      </c>
      <c r="BC46" s="3">
        <v>194.66685899999999</v>
      </c>
      <c r="BD46" s="3">
        <v>1005.8466089999999</v>
      </c>
      <c r="BE46" s="48" t="s">
        <v>310</v>
      </c>
      <c r="BF46" s="49" t="s">
        <v>343</v>
      </c>
      <c r="BG46" s="3">
        <v>0</v>
      </c>
      <c r="BH46" s="3">
        <v>0.42899999999999999</v>
      </c>
      <c r="BI46" s="3">
        <v>0.81850000000000001</v>
      </c>
      <c r="BJ46" s="3">
        <v>0</v>
      </c>
      <c r="BK46" s="3">
        <v>0.35699999999999998</v>
      </c>
      <c r="BL46" s="3">
        <v>0.78249999999999997</v>
      </c>
      <c r="BM46" s="3">
        <v>0</v>
      </c>
      <c r="BN46" s="3">
        <v>0.49</v>
      </c>
      <c r="BO46" s="3">
        <v>0.79249999999999998</v>
      </c>
      <c r="BP46" s="3">
        <v>0</v>
      </c>
      <c r="BQ46" s="3">
        <v>0.47099999999999997</v>
      </c>
      <c r="BR46" s="3">
        <v>0.79</v>
      </c>
      <c r="BS46" s="3">
        <v>0</v>
      </c>
      <c r="BT46" s="3">
        <v>0.71799999999999997</v>
      </c>
      <c r="BU46" s="3">
        <v>0.82908333400000001</v>
      </c>
      <c r="BV46" s="3">
        <v>0</v>
      </c>
      <c r="BW46" s="3">
        <v>0.60399999999999998</v>
      </c>
      <c r="BX46" s="3">
        <v>0.77700000000000002</v>
      </c>
      <c r="BY46" s="3">
        <v>0</v>
      </c>
      <c r="BZ46" s="3">
        <v>0.60399999999999998</v>
      </c>
      <c r="CA46" s="3">
        <v>0.86550000000000005</v>
      </c>
      <c r="CB46" s="3">
        <v>0</v>
      </c>
      <c r="CC46" s="3">
        <v>0.60599999999999998</v>
      </c>
      <c r="CD46" s="3">
        <v>0.83966666700000003</v>
      </c>
      <c r="CE46" s="3">
        <v>0</v>
      </c>
      <c r="CF46" s="3">
        <v>0.64400000000000002</v>
      </c>
      <c r="CG46" s="3">
        <v>0.76049999999999995</v>
      </c>
      <c r="CH46" s="3">
        <v>0</v>
      </c>
      <c r="CI46" s="3">
        <v>0.71399999999999997</v>
      </c>
      <c r="CJ46" s="3">
        <v>0.84299999999999997</v>
      </c>
      <c r="CK46" s="3">
        <v>0</v>
      </c>
      <c r="CL46" s="3">
        <v>0.39600000000000002</v>
      </c>
      <c r="CM46" s="3">
        <v>0.01</v>
      </c>
      <c r="CN46" s="3">
        <v>0</v>
      </c>
      <c r="CO46" s="3">
        <v>0.71099999999999997</v>
      </c>
      <c r="CP46" s="3">
        <v>0.78566666699999999</v>
      </c>
      <c r="CQ46" s="3">
        <v>0</v>
      </c>
      <c r="CR46" s="3">
        <v>0.7</v>
      </c>
      <c r="CS46" s="3">
        <v>0.80100000000000005</v>
      </c>
      <c r="CT46" s="48" t="s">
        <v>310</v>
      </c>
      <c r="CU46" s="49" t="s">
        <v>343</v>
      </c>
      <c r="CV46" s="3">
        <v>-2.4239999999999999</v>
      </c>
      <c r="CW46" s="3">
        <v>-2.7709999999999999</v>
      </c>
      <c r="CX46" s="3">
        <v>-2.1539999999999999</v>
      </c>
      <c r="CY46" s="3">
        <v>-2.1190000000000002</v>
      </c>
      <c r="CZ46" s="3">
        <v>-1.8220000000000001</v>
      </c>
      <c r="DA46" s="3">
        <v>3.367</v>
      </c>
      <c r="DB46" s="3">
        <v>-2.6280000000000001</v>
      </c>
      <c r="DC46" s="3">
        <v>1.409</v>
      </c>
      <c r="DD46" s="3">
        <v>1.4510000000000001</v>
      </c>
      <c r="DE46" s="3">
        <v>1.4650000000000001</v>
      </c>
      <c r="DF46" s="3">
        <v>-2.6589999999999998</v>
      </c>
      <c r="DG46" s="3">
        <v>0.30199999999999999</v>
      </c>
      <c r="DH46" s="3">
        <v>-1.363</v>
      </c>
    </row>
    <row r="47" spans="1:112" x14ac:dyDescent="0.3">
      <c r="A47" s="48" t="s">
        <v>310</v>
      </c>
      <c r="B47" s="49" t="s">
        <v>344</v>
      </c>
      <c r="C47" s="3">
        <v>48.6932817</v>
      </c>
      <c r="D47" s="3">
        <v>76.798985999999999</v>
      </c>
      <c r="E47" s="3">
        <v>38.331378600000001</v>
      </c>
      <c r="F47" s="3">
        <v>25.3811283</v>
      </c>
      <c r="G47" s="3">
        <v>25.3811283</v>
      </c>
      <c r="H47" s="3">
        <v>72.2268069</v>
      </c>
      <c r="I47" s="48" t="s">
        <v>310</v>
      </c>
      <c r="J47" s="49" t="s">
        <v>344</v>
      </c>
      <c r="K47" s="3">
        <v>47564.5</v>
      </c>
      <c r="L47" s="48" t="s">
        <v>310</v>
      </c>
      <c r="M47" s="49" t="s">
        <v>344</v>
      </c>
      <c r="N47" s="3">
        <v>13225.831550000001</v>
      </c>
      <c r="O47" s="3">
        <v>16375.490390000001</v>
      </c>
      <c r="P47" s="3">
        <v>9890.1801720000003</v>
      </c>
      <c r="Q47" s="3">
        <v>8354.0669099999996</v>
      </c>
      <c r="R47" s="3">
        <v>16078.22063</v>
      </c>
      <c r="S47" s="3">
        <v>18567.09258</v>
      </c>
      <c r="T47" s="3">
        <v>10734.29753</v>
      </c>
      <c r="U47" s="3">
        <v>17776.189610000001</v>
      </c>
      <c r="V47" s="3">
        <v>12068.351409999999</v>
      </c>
      <c r="W47" s="3">
        <v>9542.8294609999994</v>
      </c>
      <c r="X47" s="3">
        <v>13472.052729999999</v>
      </c>
      <c r="Y47" s="3">
        <v>1610.240562</v>
      </c>
      <c r="Z47" s="3">
        <v>4496.9362140000003</v>
      </c>
      <c r="AA47" s="48" t="s">
        <v>310</v>
      </c>
      <c r="AB47" s="49" t="s">
        <v>344</v>
      </c>
      <c r="AC47" s="3">
        <v>990.59539189999998</v>
      </c>
      <c r="AD47" s="3">
        <v>961.80726749999997</v>
      </c>
      <c r="AE47" s="3">
        <v>587.33427189999998</v>
      </c>
      <c r="AF47" s="3">
        <v>177.20309599999999</v>
      </c>
      <c r="AG47" s="3">
        <v>1652.551633</v>
      </c>
      <c r="AH47" s="3">
        <v>1323.106399</v>
      </c>
      <c r="AI47" s="3">
        <v>1188.638154</v>
      </c>
      <c r="AJ47" s="3">
        <v>1226.929028</v>
      </c>
      <c r="AK47" s="3">
        <v>516.09645829999999</v>
      </c>
      <c r="AL47" s="3">
        <v>763.82050289999995</v>
      </c>
      <c r="AM47" s="3">
        <v>1372.98107</v>
      </c>
      <c r="AN47" s="3">
        <v>159.2717126</v>
      </c>
      <c r="AO47" s="3">
        <v>500.17793089999998</v>
      </c>
      <c r="AP47" s="48" t="s">
        <v>310</v>
      </c>
      <c r="AQ47" s="49" t="s">
        <v>344</v>
      </c>
      <c r="AR47" s="3">
        <v>893.49330840000005</v>
      </c>
      <c r="AS47" s="3">
        <v>1358.113955</v>
      </c>
      <c r="AT47" s="3">
        <v>1021.012742</v>
      </c>
      <c r="AU47" s="3">
        <v>1043.79511</v>
      </c>
      <c r="AV47" s="3">
        <v>386.07746730000002</v>
      </c>
      <c r="AW47" s="3">
        <v>1718.3385800000001</v>
      </c>
      <c r="AX47" s="3">
        <v>914.76499590000003</v>
      </c>
      <c r="AY47" s="3">
        <v>739.72601010000005</v>
      </c>
      <c r="AZ47" s="3">
        <v>824.64577859999997</v>
      </c>
      <c r="BA47" s="3">
        <v>403.3554441</v>
      </c>
      <c r="BB47" s="3">
        <v>523.4670003</v>
      </c>
      <c r="BC47" s="3">
        <v>183.46301099999999</v>
      </c>
      <c r="BD47" s="3">
        <v>960.12630839999997</v>
      </c>
      <c r="BE47" s="48" t="s">
        <v>310</v>
      </c>
      <c r="BF47" s="49" t="s">
        <v>344</v>
      </c>
      <c r="BG47" s="3">
        <v>0</v>
      </c>
      <c r="BH47" s="3">
        <v>0.45</v>
      </c>
      <c r="BI47" s="3">
        <v>0.78749999999999998</v>
      </c>
      <c r="BJ47" s="3">
        <v>0</v>
      </c>
      <c r="BK47" s="3">
        <v>0.34200000000000003</v>
      </c>
      <c r="BL47" s="3">
        <v>0.77349999999999997</v>
      </c>
      <c r="BM47" s="3">
        <v>0</v>
      </c>
      <c r="BN47" s="3">
        <v>0.48599999999999999</v>
      </c>
      <c r="BO47" s="3">
        <v>0.78049999999999997</v>
      </c>
      <c r="BP47" s="3">
        <v>0</v>
      </c>
      <c r="BQ47" s="3">
        <v>0.45900000000000002</v>
      </c>
      <c r="BR47" s="3">
        <v>0.78633333299999997</v>
      </c>
      <c r="BS47" s="3">
        <v>0</v>
      </c>
      <c r="BT47" s="3">
        <v>0.65800000000000003</v>
      </c>
      <c r="BU47" s="3">
        <v>0.81591666699999998</v>
      </c>
      <c r="BV47" s="3">
        <v>0</v>
      </c>
      <c r="BW47" s="3">
        <v>0.59699999999999998</v>
      </c>
      <c r="BX47" s="3">
        <v>0.76500000000000001</v>
      </c>
      <c r="BY47" s="3">
        <v>0</v>
      </c>
      <c r="BZ47" s="3">
        <v>0.59699999999999998</v>
      </c>
      <c r="CA47" s="3">
        <v>0.85950000000000004</v>
      </c>
      <c r="CB47" s="3">
        <v>0</v>
      </c>
      <c r="CC47" s="3">
        <v>0.58099999999999996</v>
      </c>
      <c r="CD47" s="3">
        <v>0.84433333300000002</v>
      </c>
      <c r="CE47" s="3">
        <v>0</v>
      </c>
      <c r="CF47" s="3">
        <v>0.629</v>
      </c>
      <c r="CG47" s="3">
        <v>0.77900000000000003</v>
      </c>
      <c r="CH47" s="3">
        <v>0</v>
      </c>
      <c r="CI47" s="3">
        <v>0.72099999999999997</v>
      </c>
      <c r="CJ47" s="3">
        <v>0.82799999999999996</v>
      </c>
      <c r="CK47" s="3">
        <v>0</v>
      </c>
      <c r="CL47" s="3">
        <v>0.35799999999999998</v>
      </c>
      <c r="CM47" s="3">
        <v>0.01</v>
      </c>
      <c r="CN47" s="3">
        <v>0</v>
      </c>
      <c r="CO47" s="3">
        <v>0.71199999999999997</v>
      </c>
      <c r="CP47" s="3">
        <v>0.74533333300000004</v>
      </c>
      <c r="CQ47" s="3">
        <v>0</v>
      </c>
      <c r="CR47" s="3">
        <v>0.65800000000000003</v>
      </c>
      <c r="CS47" s="3">
        <v>0.77300000000000002</v>
      </c>
      <c r="CT47" s="48" t="s">
        <v>310</v>
      </c>
      <c r="CU47" s="49" t="s">
        <v>344</v>
      </c>
      <c r="CV47" s="3">
        <v>-2.125</v>
      </c>
      <c r="CW47" s="3">
        <v>-2.746</v>
      </c>
      <c r="CX47" s="3">
        <v>-2.202</v>
      </c>
      <c r="CY47" s="3">
        <v>-2.3820000000000001</v>
      </c>
      <c r="CZ47" s="3">
        <v>-1.698</v>
      </c>
      <c r="DA47" s="3">
        <v>3.6190000000000002</v>
      </c>
      <c r="DB47" s="3">
        <v>-2.7410000000000001</v>
      </c>
      <c r="DC47" s="3">
        <v>1.3029999999999999</v>
      </c>
      <c r="DD47" s="3">
        <v>1.391</v>
      </c>
      <c r="DE47" s="3">
        <v>1.74</v>
      </c>
      <c r="DF47" s="3">
        <v>-2.843</v>
      </c>
      <c r="DG47" s="3">
        <v>0.29899999999999999</v>
      </c>
      <c r="DH47" s="3">
        <v>-1.651</v>
      </c>
    </row>
    <row r="48" spans="1:112" x14ac:dyDescent="0.3">
      <c r="A48" s="48" t="s">
        <v>310</v>
      </c>
      <c r="B48" s="49" t="s">
        <v>345</v>
      </c>
      <c r="C48" s="3">
        <v>45.270533100000002</v>
      </c>
      <c r="D48" s="3">
        <v>75.010982999999996</v>
      </c>
      <c r="E48" s="3">
        <v>38.399493</v>
      </c>
      <c r="F48" s="3">
        <v>24.870270300000001</v>
      </c>
      <c r="G48" s="3">
        <v>24.870270300000001</v>
      </c>
      <c r="H48" s="3">
        <v>68.403886200000002</v>
      </c>
      <c r="I48" s="48" t="s">
        <v>310</v>
      </c>
      <c r="J48" s="49" t="s">
        <v>345</v>
      </c>
      <c r="K48" s="3">
        <v>43251.5</v>
      </c>
      <c r="L48" s="48" t="s">
        <v>310</v>
      </c>
      <c r="M48" s="49" t="s">
        <v>345</v>
      </c>
      <c r="N48" s="3">
        <v>12160.33591</v>
      </c>
      <c r="O48" s="3">
        <v>14600.415419999999</v>
      </c>
      <c r="P48" s="3">
        <v>8847.4307160000008</v>
      </c>
      <c r="Q48" s="3">
        <v>7394.1958809999996</v>
      </c>
      <c r="R48" s="3">
        <v>15236.346009999999</v>
      </c>
      <c r="S48" s="3">
        <v>16901.171009999998</v>
      </c>
      <c r="T48" s="3">
        <v>10033.71355</v>
      </c>
      <c r="U48" s="3">
        <v>16387.14431</v>
      </c>
      <c r="V48" s="3">
        <v>10823.977720000001</v>
      </c>
      <c r="W48" s="3">
        <v>8520.6659660000005</v>
      </c>
      <c r="X48" s="3">
        <v>12372.816639999999</v>
      </c>
      <c r="Y48" s="3">
        <v>1463.1836840000001</v>
      </c>
      <c r="Z48" s="3">
        <v>3970.8751609999999</v>
      </c>
      <c r="AA48" s="48" t="s">
        <v>310</v>
      </c>
      <c r="AB48" s="49" t="s">
        <v>345</v>
      </c>
      <c r="AC48" s="3">
        <v>903.10690999999997</v>
      </c>
      <c r="AD48" s="3">
        <v>861.94749660000002</v>
      </c>
      <c r="AE48" s="3">
        <v>526.3542109</v>
      </c>
      <c r="AF48" s="3">
        <v>158.8049604</v>
      </c>
      <c r="AG48" s="3">
        <v>1506.5997789999999</v>
      </c>
      <c r="AH48" s="3">
        <v>1185.734696</v>
      </c>
      <c r="AI48" s="3">
        <v>1065.227635</v>
      </c>
      <c r="AJ48" s="3">
        <v>1118.567775</v>
      </c>
      <c r="AK48" s="3">
        <v>470.51528960000002</v>
      </c>
      <c r="AL48" s="3">
        <v>696.36057249999999</v>
      </c>
      <c r="AM48" s="3">
        <v>1230.431122</v>
      </c>
      <c r="AN48" s="3">
        <v>142.73530529999999</v>
      </c>
      <c r="AO48" s="3">
        <v>456.00267209999998</v>
      </c>
      <c r="AP48" s="48" t="s">
        <v>310</v>
      </c>
      <c r="AQ48" s="49" t="s">
        <v>345</v>
      </c>
      <c r="AR48" s="3">
        <v>850.94600800000001</v>
      </c>
      <c r="AS48" s="3">
        <v>1292.454502</v>
      </c>
      <c r="AT48" s="3">
        <v>971.65080320000004</v>
      </c>
      <c r="AU48" s="3">
        <v>993.33173280000005</v>
      </c>
      <c r="AV48" s="3">
        <v>367.69282600000003</v>
      </c>
      <c r="AW48" s="3">
        <v>1635.2636869999999</v>
      </c>
      <c r="AX48" s="3">
        <v>870.53971620000004</v>
      </c>
      <c r="AY48" s="3">
        <v>704.50096199999996</v>
      </c>
      <c r="AZ48" s="3">
        <v>785.37693200000001</v>
      </c>
      <c r="BA48" s="3">
        <v>384.14804199999998</v>
      </c>
      <c r="BB48" s="3">
        <v>498.15943540000001</v>
      </c>
      <c r="BC48" s="3">
        <v>174.593298</v>
      </c>
      <c r="BD48" s="3">
        <v>914.40600800000004</v>
      </c>
      <c r="BE48" s="48" t="s">
        <v>310</v>
      </c>
      <c r="BF48" s="49" t="s">
        <v>345</v>
      </c>
      <c r="BG48" s="3">
        <v>0</v>
      </c>
      <c r="BH48" s="3">
        <v>0.46200000000000002</v>
      </c>
      <c r="BI48" s="3">
        <v>0.75749999999999995</v>
      </c>
      <c r="BJ48" s="3">
        <v>0</v>
      </c>
      <c r="BK48" s="3">
        <v>0.29499999999999998</v>
      </c>
      <c r="BL48" s="3">
        <v>0.76349999999999996</v>
      </c>
      <c r="BM48" s="3">
        <v>0</v>
      </c>
      <c r="BN48" s="3">
        <v>0.49199999999999999</v>
      </c>
      <c r="BO48" s="3">
        <v>0.77600000000000002</v>
      </c>
      <c r="BP48" s="3">
        <v>0</v>
      </c>
      <c r="BQ48" s="3">
        <v>0.45300000000000001</v>
      </c>
      <c r="BR48" s="3">
        <v>0.77666666699999998</v>
      </c>
      <c r="BS48" s="3">
        <v>0</v>
      </c>
      <c r="BT48" s="3">
        <v>0.59599999999999997</v>
      </c>
      <c r="BU48" s="3">
        <v>0.79341666700000002</v>
      </c>
      <c r="BV48" s="3">
        <v>0</v>
      </c>
      <c r="BW48" s="3">
        <v>0.56599999999999995</v>
      </c>
      <c r="BX48" s="3">
        <v>0.75600000000000001</v>
      </c>
      <c r="BY48" s="3">
        <v>0</v>
      </c>
      <c r="BZ48" s="3">
        <v>0.56599999999999995</v>
      </c>
      <c r="CA48" s="3">
        <v>0.82399999999999995</v>
      </c>
      <c r="CB48" s="3">
        <v>0</v>
      </c>
      <c r="CC48" s="3">
        <v>0.54200000000000004</v>
      </c>
      <c r="CD48" s="3">
        <v>0.82933333300000001</v>
      </c>
      <c r="CE48" s="3">
        <v>0</v>
      </c>
      <c r="CF48" s="3">
        <v>0.60199999999999998</v>
      </c>
      <c r="CG48" s="3">
        <v>0.78249999999999997</v>
      </c>
      <c r="CH48" s="3">
        <v>0</v>
      </c>
      <c r="CI48" s="3">
        <v>0.71</v>
      </c>
      <c r="CJ48" s="3">
        <v>0.78733333299999997</v>
      </c>
      <c r="CK48" s="3">
        <v>0</v>
      </c>
      <c r="CL48" s="3">
        <v>0.36099999999999999</v>
      </c>
      <c r="CM48" s="3">
        <v>0.01</v>
      </c>
      <c r="CN48" s="3">
        <v>0</v>
      </c>
      <c r="CO48" s="3">
        <v>0.7</v>
      </c>
      <c r="CP48" s="3">
        <v>0.70799999999999996</v>
      </c>
      <c r="CQ48" s="3">
        <v>0</v>
      </c>
      <c r="CR48" s="3">
        <v>0.65</v>
      </c>
      <c r="CS48" s="3">
        <v>0.76100000000000001</v>
      </c>
      <c r="CT48" s="48" t="s">
        <v>310</v>
      </c>
      <c r="CU48" s="49" t="s">
        <v>345</v>
      </c>
      <c r="CV48" s="3">
        <v>-1.9350000000000001</v>
      </c>
      <c r="CW48" s="3">
        <v>-2.6640000000000001</v>
      </c>
      <c r="CX48" s="3">
        <v>-2.2530000000000001</v>
      </c>
      <c r="CY48" s="3">
        <v>-2.4750000000000001</v>
      </c>
      <c r="CZ48" s="3">
        <v>-1.6339999999999999</v>
      </c>
      <c r="DA48" s="3">
        <v>3.8519999999999999</v>
      </c>
      <c r="DB48" s="3">
        <v>-2.911</v>
      </c>
      <c r="DC48" s="3">
        <v>1.167</v>
      </c>
      <c r="DD48" s="3">
        <v>1.2569999999999999</v>
      </c>
      <c r="DE48" s="3">
        <v>2.004</v>
      </c>
      <c r="DF48" s="3">
        <v>-2.839</v>
      </c>
      <c r="DG48" s="3">
        <v>0.52100000000000002</v>
      </c>
      <c r="DH48" s="3">
        <v>-1.7769999999999999</v>
      </c>
    </row>
    <row r="49" spans="1:112" x14ac:dyDescent="0.3">
      <c r="A49" s="48" t="s">
        <v>310</v>
      </c>
      <c r="B49" s="49" t="s">
        <v>346</v>
      </c>
      <c r="C49" s="3">
        <v>36.049546200000002</v>
      </c>
      <c r="D49" s="3">
        <v>71.222119500000005</v>
      </c>
      <c r="E49" s="3">
        <v>33.078055499999998</v>
      </c>
      <c r="F49" s="3">
        <v>24.546726899999999</v>
      </c>
      <c r="G49" s="3">
        <v>24.546726899999999</v>
      </c>
      <c r="H49" s="3">
        <v>67.705713599999996</v>
      </c>
      <c r="I49" s="48" t="s">
        <v>310</v>
      </c>
      <c r="J49" s="49" t="s">
        <v>346</v>
      </c>
      <c r="K49" s="3">
        <v>38420.5</v>
      </c>
      <c r="L49" s="48" t="s">
        <v>310</v>
      </c>
      <c r="M49" s="49" t="s">
        <v>346</v>
      </c>
      <c r="N49" s="3">
        <v>10283.673339999999</v>
      </c>
      <c r="O49" s="3">
        <v>12087.0398</v>
      </c>
      <c r="P49" s="3">
        <v>7246.4393229999996</v>
      </c>
      <c r="Q49" s="3">
        <v>5958.4530119999999</v>
      </c>
      <c r="R49" s="3">
        <v>13479.913280000001</v>
      </c>
      <c r="S49" s="3">
        <v>13856.65041</v>
      </c>
      <c r="T49" s="3">
        <v>8474.9182899999996</v>
      </c>
      <c r="U49" s="3">
        <v>13968.91928</v>
      </c>
      <c r="V49" s="3">
        <v>8969.7671559999999</v>
      </c>
      <c r="W49" s="3">
        <v>6812.7421420000001</v>
      </c>
      <c r="X49" s="3">
        <v>10295.29408</v>
      </c>
      <c r="Y49" s="3">
        <v>1146.1696710000001</v>
      </c>
      <c r="Z49" s="3">
        <v>3237.896561</v>
      </c>
      <c r="AA49" s="48" t="s">
        <v>310</v>
      </c>
      <c r="AB49" s="49" t="s">
        <v>346</v>
      </c>
      <c r="AC49" s="3">
        <v>784.57412810000005</v>
      </c>
      <c r="AD49" s="3">
        <v>793.62239009999996</v>
      </c>
      <c r="AE49" s="3">
        <v>484.63101119999999</v>
      </c>
      <c r="AF49" s="3">
        <v>146.2167623</v>
      </c>
      <c r="AG49" s="3">
        <v>1308.8585579999999</v>
      </c>
      <c r="AH49" s="3">
        <v>1091.7435310000001</v>
      </c>
      <c r="AI49" s="3">
        <v>980.788859</v>
      </c>
      <c r="AJ49" s="3">
        <v>971.75575460000005</v>
      </c>
      <c r="AK49" s="3">
        <v>408.7601578</v>
      </c>
      <c r="AL49" s="3">
        <v>604.96324730000003</v>
      </c>
      <c r="AM49" s="3">
        <v>1132.8969480000001</v>
      </c>
      <c r="AN49" s="3">
        <v>131.4209214</v>
      </c>
      <c r="AO49" s="3">
        <v>396.15232140000001</v>
      </c>
      <c r="AP49" s="48" t="s">
        <v>310</v>
      </c>
      <c r="AQ49" s="49" t="s">
        <v>346</v>
      </c>
      <c r="AR49" s="3">
        <v>745.69742280000003</v>
      </c>
      <c r="AS49" s="3">
        <v>1181.8701590000001</v>
      </c>
      <c r="AT49" s="3">
        <v>888.51490560000002</v>
      </c>
      <c r="AU49" s="3">
        <v>908.34078239999997</v>
      </c>
      <c r="AV49" s="3">
        <v>322.21502909999998</v>
      </c>
      <c r="AW49" s="3">
        <v>1495.348078</v>
      </c>
      <c r="AX49" s="3">
        <v>796.0550346</v>
      </c>
      <c r="AY49" s="3">
        <v>617.36531669999999</v>
      </c>
      <c r="AZ49" s="3">
        <v>688.23820620000004</v>
      </c>
      <c r="BA49" s="3">
        <v>336.63499469999999</v>
      </c>
      <c r="BB49" s="3">
        <v>455.53616820000002</v>
      </c>
      <c r="BC49" s="3">
        <v>159.65483399999999</v>
      </c>
      <c r="BD49" s="3">
        <v>801.30842280000002</v>
      </c>
      <c r="BE49" s="48" t="s">
        <v>310</v>
      </c>
      <c r="BF49" s="49" t="s">
        <v>346</v>
      </c>
      <c r="BG49" s="3">
        <v>0</v>
      </c>
      <c r="BH49" s="3">
        <v>0.44</v>
      </c>
      <c r="BI49" s="3">
        <v>0.747</v>
      </c>
      <c r="BJ49" s="3">
        <v>0</v>
      </c>
      <c r="BK49" s="3">
        <v>0.26100000000000001</v>
      </c>
      <c r="BL49" s="3">
        <v>0.76900000000000002</v>
      </c>
      <c r="BM49" s="3">
        <v>0</v>
      </c>
      <c r="BN49" s="3">
        <v>0.439</v>
      </c>
      <c r="BO49" s="3">
        <v>0.77249999999999996</v>
      </c>
      <c r="BP49" s="3">
        <v>0</v>
      </c>
      <c r="BQ49" s="3">
        <v>0.433</v>
      </c>
      <c r="BR49" s="3">
        <v>0.747</v>
      </c>
      <c r="BS49" s="3">
        <v>0</v>
      </c>
      <c r="BT49" s="3">
        <v>0.53</v>
      </c>
      <c r="BU49" s="3">
        <v>0.78149999999999997</v>
      </c>
      <c r="BV49" s="3">
        <v>0</v>
      </c>
      <c r="BW49" s="3">
        <v>0.53300000000000003</v>
      </c>
      <c r="BX49" s="3">
        <v>0.72799999999999998</v>
      </c>
      <c r="BY49" s="3">
        <v>0</v>
      </c>
      <c r="BZ49" s="3">
        <v>0.53300000000000003</v>
      </c>
      <c r="CA49" s="3">
        <v>0.76849999999999996</v>
      </c>
      <c r="CB49" s="3">
        <v>0</v>
      </c>
      <c r="CC49" s="3">
        <v>0.52</v>
      </c>
      <c r="CD49" s="3">
        <v>0.81599999999999995</v>
      </c>
      <c r="CE49" s="3">
        <v>0</v>
      </c>
      <c r="CF49" s="3">
        <v>0.58799999999999997</v>
      </c>
      <c r="CG49" s="3">
        <v>0.76849999999999996</v>
      </c>
      <c r="CH49" s="3">
        <v>0</v>
      </c>
      <c r="CI49" s="3">
        <v>0.70499999999999996</v>
      </c>
      <c r="CJ49" s="3">
        <v>0.73966666700000006</v>
      </c>
      <c r="CK49" s="3">
        <v>0</v>
      </c>
      <c r="CL49" s="3">
        <v>0.36499999999999999</v>
      </c>
      <c r="CM49" s="3">
        <v>0.01</v>
      </c>
      <c r="CN49" s="3">
        <v>0</v>
      </c>
      <c r="CO49" s="3">
        <v>0.67400000000000004</v>
      </c>
      <c r="CP49" s="3">
        <v>0.67833333299999998</v>
      </c>
      <c r="CQ49" s="3">
        <v>0</v>
      </c>
      <c r="CR49" s="3">
        <v>0.63400000000000001</v>
      </c>
      <c r="CS49" s="3">
        <v>0.72399999999999998</v>
      </c>
      <c r="CT49" s="48" t="s">
        <v>310</v>
      </c>
      <c r="CU49" s="49" t="s">
        <v>346</v>
      </c>
      <c r="CV49" s="3">
        <v>-1.867</v>
      </c>
      <c r="CW49" s="3">
        <v>-2.5350000000000001</v>
      </c>
      <c r="CX49" s="3">
        <v>-2.1669999999999998</v>
      </c>
      <c r="CY49" s="3">
        <v>-2.4609999999999999</v>
      </c>
      <c r="CZ49" s="3">
        <v>-1.6870000000000001</v>
      </c>
      <c r="DA49" s="3">
        <v>4.0590000000000002</v>
      </c>
      <c r="DB49" s="3">
        <v>-3.0110000000000001</v>
      </c>
      <c r="DC49" s="3">
        <v>1.0529999999999999</v>
      </c>
      <c r="DD49" s="3">
        <v>1.2430000000000001</v>
      </c>
      <c r="DE49" s="3">
        <v>2.1840000000000002</v>
      </c>
      <c r="DF49" s="3">
        <v>-2.6720000000000002</v>
      </c>
      <c r="DG49" s="3">
        <v>0.74</v>
      </c>
      <c r="DH49" s="3">
        <v>-1.8939999999999999</v>
      </c>
    </row>
    <row r="50" spans="1:112" x14ac:dyDescent="0.3">
      <c r="A50" s="48" t="s">
        <v>310</v>
      </c>
      <c r="B50" s="49" t="s">
        <v>347</v>
      </c>
      <c r="C50" s="3">
        <v>35.4876024</v>
      </c>
      <c r="D50" s="3">
        <v>67.203369899999998</v>
      </c>
      <c r="E50" s="3">
        <v>33.307941599999999</v>
      </c>
      <c r="F50" s="3">
        <v>24.282783599999998</v>
      </c>
      <c r="G50" s="3">
        <v>24.282783599999998</v>
      </c>
      <c r="H50" s="3">
        <v>63.00582</v>
      </c>
      <c r="I50" s="48" t="s">
        <v>310</v>
      </c>
      <c r="J50" s="49" t="s">
        <v>347</v>
      </c>
      <c r="K50" s="3">
        <v>34986</v>
      </c>
      <c r="L50" s="48" t="s">
        <v>310</v>
      </c>
      <c r="M50" s="49" t="s">
        <v>347</v>
      </c>
      <c r="N50" s="3">
        <v>5863.8737799999999</v>
      </c>
      <c r="O50" s="3">
        <v>6866.6073749999996</v>
      </c>
      <c r="P50" s="3">
        <v>4101.0938489999999</v>
      </c>
      <c r="Q50" s="3">
        <v>3510.2346980000002</v>
      </c>
      <c r="R50" s="3">
        <v>8193.0161559999997</v>
      </c>
      <c r="S50" s="3">
        <v>7950.7972529999997</v>
      </c>
      <c r="T50" s="3">
        <v>5033.7080859999996</v>
      </c>
      <c r="U50" s="3">
        <v>7752.648596</v>
      </c>
      <c r="V50" s="3">
        <v>4981.906422</v>
      </c>
      <c r="W50" s="3">
        <v>3568.2508790000002</v>
      </c>
      <c r="X50" s="3">
        <v>5879.0046609999999</v>
      </c>
      <c r="Y50" s="3">
        <v>643.07980810000004</v>
      </c>
      <c r="Z50" s="3">
        <v>2200.8988939999999</v>
      </c>
      <c r="AA50" s="48" t="s">
        <v>310</v>
      </c>
      <c r="AB50" s="49" t="s">
        <v>347</v>
      </c>
      <c r="AC50" s="3">
        <v>812.79621899999995</v>
      </c>
      <c r="AD50" s="3">
        <v>825.15705460000004</v>
      </c>
      <c r="AE50" s="3">
        <v>503.88787259999998</v>
      </c>
      <c r="AF50" s="3">
        <v>152.02669990000001</v>
      </c>
      <c r="AG50" s="3">
        <v>1355.939801</v>
      </c>
      <c r="AH50" s="3">
        <v>1135.124069</v>
      </c>
      <c r="AI50" s="3">
        <v>1019.7606019999999</v>
      </c>
      <c r="AJ50" s="3">
        <v>1006.710998</v>
      </c>
      <c r="AK50" s="3">
        <v>423.4637606</v>
      </c>
      <c r="AL50" s="3">
        <v>626.72451520000004</v>
      </c>
      <c r="AM50" s="3">
        <v>1177.9127209999999</v>
      </c>
      <c r="AN50" s="3">
        <v>136.64294469999999</v>
      </c>
      <c r="AO50" s="3">
        <v>410.40240490000002</v>
      </c>
      <c r="AP50" s="48" t="s">
        <v>310</v>
      </c>
      <c r="AQ50" s="49" t="s">
        <v>347</v>
      </c>
      <c r="AR50" s="3">
        <v>676.27814320000004</v>
      </c>
      <c r="AS50" s="3">
        <v>1071.285817</v>
      </c>
      <c r="AT50" s="3">
        <v>805.379008</v>
      </c>
      <c r="AU50" s="3">
        <v>823.34983199999999</v>
      </c>
      <c r="AV50" s="3">
        <v>292.2190354</v>
      </c>
      <c r="AW50" s="3">
        <v>1355.432468</v>
      </c>
      <c r="AX50" s="3">
        <v>721.57035299999995</v>
      </c>
      <c r="AY50" s="3">
        <v>559.89286979999997</v>
      </c>
      <c r="AZ50" s="3">
        <v>624.1679828</v>
      </c>
      <c r="BA50" s="3">
        <v>305.29660180000002</v>
      </c>
      <c r="BB50" s="3">
        <v>412.91290099999998</v>
      </c>
      <c r="BC50" s="3">
        <v>144.71637000000001</v>
      </c>
      <c r="BD50" s="3">
        <v>726.71214320000001</v>
      </c>
      <c r="BE50" s="48" t="s">
        <v>310</v>
      </c>
      <c r="BF50" s="49" t="s">
        <v>347</v>
      </c>
      <c r="BG50" s="3">
        <v>0</v>
      </c>
      <c r="BH50" s="3">
        <v>0.42799999999999999</v>
      </c>
      <c r="BI50" s="3">
        <v>0.72150000000000003</v>
      </c>
      <c r="BJ50" s="3">
        <v>0</v>
      </c>
      <c r="BK50" s="3">
        <v>0.26100000000000001</v>
      </c>
      <c r="BL50" s="3">
        <v>0.746</v>
      </c>
      <c r="BM50" s="3">
        <v>0</v>
      </c>
      <c r="BN50" s="3">
        <v>0.35499999999999998</v>
      </c>
      <c r="BO50" s="3">
        <v>0.748</v>
      </c>
      <c r="BP50" s="3">
        <v>0</v>
      </c>
      <c r="BQ50" s="3">
        <v>0.42199999999999999</v>
      </c>
      <c r="BR50" s="3">
        <v>0.71399999999999997</v>
      </c>
      <c r="BS50" s="3">
        <v>0</v>
      </c>
      <c r="BT50" s="3">
        <v>0.48299999999999998</v>
      </c>
      <c r="BU50" s="3">
        <v>0.760583334</v>
      </c>
      <c r="BV50" s="3">
        <v>0</v>
      </c>
      <c r="BW50" s="3">
        <v>0.52900000000000003</v>
      </c>
      <c r="BX50" s="3">
        <v>0.69899999999999995</v>
      </c>
      <c r="BY50" s="3">
        <v>0</v>
      </c>
      <c r="BZ50" s="3">
        <v>0.52900000000000003</v>
      </c>
      <c r="CA50" s="3">
        <v>0.76649999999999996</v>
      </c>
      <c r="CB50" s="3">
        <v>0</v>
      </c>
      <c r="CC50" s="3">
        <v>0.502</v>
      </c>
      <c r="CD50" s="3">
        <v>0.799666667</v>
      </c>
      <c r="CE50" s="3">
        <v>0</v>
      </c>
      <c r="CF50" s="3">
        <v>0.56399999999999995</v>
      </c>
      <c r="CG50" s="3">
        <v>0.73399999999999999</v>
      </c>
      <c r="CH50" s="3">
        <v>0</v>
      </c>
      <c r="CI50" s="3">
        <v>0.68899999999999995</v>
      </c>
      <c r="CJ50" s="3">
        <v>0.66500000000000004</v>
      </c>
      <c r="CK50" s="3">
        <v>0</v>
      </c>
      <c r="CL50" s="3">
        <v>0.34899999999999998</v>
      </c>
      <c r="CM50" s="3">
        <v>0.01</v>
      </c>
      <c r="CN50" s="3">
        <v>0</v>
      </c>
      <c r="CO50" s="3">
        <v>0.66100000000000003</v>
      </c>
      <c r="CP50" s="3">
        <v>0.66333333299999997</v>
      </c>
      <c r="CQ50" s="3">
        <v>0</v>
      </c>
      <c r="CR50" s="3">
        <v>0.62</v>
      </c>
      <c r="CS50" s="3">
        <v>0.69599999999999995</v>
      </c>
      <c r="CT50" s="48" t="s">
        <v>310</v>
      </c>
      <c r="CU50" s="49" t="s">
        <v>347</v>
      </c>
      <c r="CV50" s="3">
        <v>-1.8029999999999999</v>
      </c>
      <c r="CW50" s="3">
        <v>-2.294</v>
      </c>
      <c r="CX50" s="3">
        <v>-2.1339999999999999</v>
      </c>
      <c r="CY50" s="3">
        <v>-2.5259999999999998</v>
      </c>
      <c r="CZ50" s="3">
        <v>-1.6870000000000001</v>
      </c>
      <c r="DA50" s="3">
        <v>4.1970000000000001</v>
      </c>
      <c r="DB50" s="3">
        <v>-3.028</v>
      </c>
      <c r="DC50" s="3">
        <v>0.98799999999999999</v>
      </c>
      <c r="DD50" s="3">
        <v>1.2290000000000001</v>
      </c>
      <c r="DE50" s="3">
        <v>2.2639999999999998</v>
      </c>
      <c r="DF50" s="3">
        <v>-2.5270000000000001</v>
      </c>
      <c r="DG50" s="3">
        <v>0.94299999999999995</v>
      </c>
      <c r="DH50" s="3">
        <v>-1.881</v>
      </c>
    </row>
    <row r="51" spans="1:112" x14ac:dyDescent="0.3">
      <c r="A51" s="48" t="s">
        <v>311</v>
      </c>
      <c r="B51" s="49" t="s">
        <v>324</v>
      </c>
      <c r="C51" s="3">
        <v>40.361021399999998</v>
      </c>
      <c r="D51" s="3">
        <v>41.780445700000001</v>
      </c>
      <c r="E51" s="3">
        <v>30.239909000000001</v>
      </c>
      <c r="F51" s="3">
        <v>23.142787500000001</v>
      </c>
      <c r="G51" s="3">
        <v>7.7583440000000001</v>
      </c>
      <c r="H51" s="3">
        <v>32.540963300000001</v>
      </c>
      <c r="I51" s="48" t="s">
        <v>311</v>
      </c>
      <c r="J51" s="49" t="s">
        <v>324</v>
      </c>
      <c r="K51" s="3">
        <v>31259.5</v>
      </c>
      <c r="L51" s="48" t="s">
        <v>311</v>
      </c>
      <c r="M51" s="49" t="s">
        <v>324</v>
      </c>
      <c r="N51" s="3">
        <v>2674.4995629999999</v>
      </c>
      <c r="O51" s="3">
        <v>3227.650596</v>
      </c>
      <c r="P51" s="3">
        <v>2043.070618</v>
      </c>
      <c r="Q51" s="3">
        <v>2131.602809</v>
      </c>
      <c r="R51" s="3">
        <v>3933.1685809999999</v>
      </c>
      <c r="S51" s="3">
        <v>3621.6477030000001</v>
      </c>
      <c r="T51" s="3">
        <v>3209.0244349999998</v>
      </c>
      <c r="U51" s="3">
        <v>3123.4370669999998</v>
      </c>
      <c r="V51" s="3">
        <v>2132.73459</v>
      </c>
      <c r="W51" s="3">
        <v>865.18768780000005</v>
      </c>
      <c r="X51" s="3">
        <v>2408.2748820000002</v>
      </c>
      <c r="Y51" s="3">
        <v>185.96861430000001</v>
      </c>
      <c r="Z51" s="3">
        <v>417.93258550000002</v>
      </c>
      <c r="AA51" s="48" t="s">
        <v>311</v>
      </c>
      <c r="AB51" s="49" t="s">
        <v>324</v>
      </c>
      <c r="AC51" s="3">
        <v>973.05375549999997</v>
      </c>
      <c r="AD51" s="3">
        <v>961.06678629999999</v>
      </c>
      <c r="AE51" s="3">
        <v>681.62254959999996</v>
      </c>
      <c r="AF51" s="3">
        <v>218.4867308</v>
      </c>
      <c r="AG51" s="3">
        <v>1592.74641</v>
      </c>
      <c r="AH51" s="3">
        <v>1293.450188</v>
      </c>
      <c r="AI51" s="3">
        <v>1605.845069</v>
      </c>
      <c r="AJ51" s="3">
        <v>1147.1057840000001</v>
      </c>
      <c r="AK51" s="3">
        <v>465.06876199999999</v>
      </c>
      <c r="AL51" s="3">
        <v>692.71787930000005</v>
      </c>
      <c r="AM51" s="3">
        <v>1271.729523</v>
      </c>
      <c r="AN51" s="3">
        <v>157.48337570000001</v>
      </c>
      <c r="AO51" s="3">
        <v>480.63006660000002</v>
      </c>
      <c r="AP51" s="48" t="s">
        <v>311</v>
      </c>
      <c r="AQ51" s="49" t="s">
        <v>324</v>
      </c>
      <c r="AR51" s="3">
        <v>645.6354</v>
      </c>
      <c r="AS51" s="3">
        <v>875.33451000000002</v>
      </c>
      <c r="AT51" s="3">
        <v>821.23207520000005</v>
      </c>
      <c r="AU51" s="3">
        <v>791.75906239999995</v>
      </c>
      <c r="AV51" s="3">
        <v>207.86474999999999</v>
      </c>
      <c r="AW51" s="3">
        <v>1138.9521</v>
      </c>
      <c r="AX51" s="3">
        <v>723.07500479999999</v>
      </c>
      <c r="AY51" s="3">
        <v>850.17537000000004</v>
      </c>
      <c r="AZ51" s="3">
        <v>484.76519999999999</v>
      </c>
      <c r="BA51" s="3">
        <v>254.58083999999999</v>
      </c>
      <c r="BB51" s="3">
        <v>429.98181</v>
      </c>
      <c r="BC51" s="3">
        <v>118.05492</v>
      </c>
      <c r="BD51" s="3">
        <v>579.72461999999996</v>
      </c>
      <c r="BE51" s="48" t="s">
        <v>311</v>
      </c>
      <c r="BF51" s="49" t="s">
        <v>324</v>
      </c>
      <c r="BG51" s="3">
        <v>0</v>
      </c>
      <c r="BH51" s="3">
        <v>0.76400000000000001</v>
      </c>
      <c r="BI51" s="3">
        <v>0.50649999999999995</v>
      </c>
      <c r="BJ51" s="3">
        <v>0</v>
      </c>
      <c r="BK51" s="3">
        <v>0.752</v>
      </c>
      <c r="BL51" s="3">
        <v>0.39850000000000002</v>
      </c>
      <c r="BM51" s="3">
        <v>0</v>
      </c>
      <c r="BN51" s="3">
        <v>0.57199999999999995</v>
      </c>
      <c r="BO51" s="3">
        <v>0.36399999999999999</v>
      </c>
      <c r="BP51" s="3">
        <v>0</v>
      </c>
      <c r="BQ51" s="3">
        <v>0.92900000000000005</v>
      </c>
      <c r="BR51" s="3">
        <v>0.53833333299999997</v>
      </c>
      <c r="BS51" s="3">
        <v>0</v>
      </c>
      <c r="BT51" s="3">
        <v>0.96199999999999997</v>
      </c>
      <c r="BU51" s="3">
        <v>0.55974999999999997</v>
      </c>
      <c r="BV51" s="3">
        <v>0</v>
      </c>
      <c r="BW51" s="3">
        <v>0.63800000000000001</v>
      </c>
      <c r="BX51" s="3">
        <v>0.505</v>
      </c>
      <c r="BY51" s="3">
        <v>0</v>
      </c>
      <c r="BZ51" s="3">
        <v>0.63800000000000001</v>
      </c>
      <c r="CA51" s="3">
        <v>8.4000000000000005E-2</v>
      </c>
      <c r="CB51" s="3">
        <v>0</v>
      </c>
      <c r="CC51" s="3">
        <v>0.99099999999999999</v>
      </c>
      <c r="CD51" s="3">
        <v>0.61299999999999999</v>
      </c>
      <c r="CE51" s="3">
        <v>0</v>
      </c>
      <c r="CF51" s="3">
        <v>0.97599999999999998</v>
      </c>
      <c r="CG51" s="3">
        <v>0.6925</v>
      </c>
      <c r="CH51" s="3">
        <v>0</v>
      </c>
      <c r="CI51" s="3">
        <v>0.96499999999999997</v>
      </c>
      <c r="CJ51" s="3">
        <v>0.91933333299999997</v>
      </c>
      <c r="CK51" s="3">
        <v>0</v>
      </c>
      <c r="CL51" s="3">
        <v>0.77800000000000002</v>
      </c>
      <c r="CM51" s="3">
        <v>0.01</v>
      </c>
      <c r="CN51" s="3">
        <v>0</v>
      </c>
      <c r="CO51" s="3">
        <v>0.96799999999999997</v>
      </c>
      <c r="CP51" s="3">
        <v>0.67933333299999998</v>
      </c>
      <c r="CQ51" s="3">
        <v>0</v>
      </c>
      <c r="CR51" s="3">
        <v>0.88600000000000001</v>
      </c>
      <c r="CS51" s="3">
        <v>0.77100000000000002</v>
      </c>
      <c r="CT51" s="48" t="s">
        <v>311</v>
      </c>
      <c r="CU51" s="49" t="s">
        <v>324</v>
      </c>
      <c r="CV51" s="3">
        <v>1.736</v>
      </c>
      <c r="CW51" s="3">
        <v>1.7170000000000001</v>
      </c>
      <c r="CX51" s="3">
        <v>1.7869999999999999</v>
      </c>
      <c r="CY51" s="3">
        <v>1.0409999999999999</v>
      </c>
      <c r="CZ51" s="3">
        <v>1.7</v>
      </c>
      <c r="DA51" s="3">
        <v>5.9240000000000004</v>
      </c>
      <c r="DB51" s="3">
        <v>0.39100000000000001</v>
      </c>
      <c r="DC51" s="3">
        <v>4.0999999999999996</v>
      </c>
      <c r="DD51" s="3">
        <v>3.8010000000000002</v>
      </c>
      <c r="DE51" s="3">
        <v>5.2240000000000002</v>
      </c>
      <c r="DF51" s="3">
        <v>1.5609999999999999</v>
      </c>
      <c r="DG51" s="3">
        <v>4.6760000000000002</v>
      </c>
      <c r="DH51" s="3">
        <v>2.82</v>
      </c>
    </row>
    <row r="52" spans="1:112" x14ac:dyDescent="0.3">
      <c r="A52" s="48" t="s">
        <v>311</v>
      </c>
      <c r="B52" s="49" t="s">
        <v>325</v>
      </c>
      <c r="C52" s="3">
        <v>40.361021399999998</v>
      </c>
      <c r="D52" s="3">
        <v>36.437767899999997</v>
      </c>
      <c r="E52" s="3">
        <v>23.892173</v>
      </c>
      <c r="F52" s="3">
        <v>23.028175600000001</v>
      </c>
      <c r="G52" s="3">
        <v>7.7936091999999997</v>
      </c>
      <c r="H52" s="3">
        <v>27.630284199999998</v>
      </c>
      <c r="I52" s="48" t="s">
        <v>311</v>
      </c>
      <c r="J52" s="49" t="s">
        <v>325</v>
      </c>
      <c r="K52" s="3">
        <v>31176</v>
      </c>
      <c r="L52" s="48" t="s">
        <v>311</v>
      </c>
      <c r="M52" s="49" t="s">
        <v>325</v>
      </c>
      <c r="N52" s="3">
        <v>1991.937218</v>
      </c>
      <c r="O52" s="3">
        <v>2538.2152249999999</v>
      </c>
      <c r="P52" s="3">
        <v>1657.5584229999999</v>
      </c>
      <c r="Q52" s="3">
        <v>1759.887023</v>
      </c>
      <c r="R52" s="3">
        <v>2762.1964419999999</v>
      </c>
      <c r="S52" s="3">
        <v>2590.1901640000001</v>
      </c>
      <c r="T52" s="3">
        <v>2418.7687390000001</v>
      </c>
      <c r="U52" s="3">
        <v>2335.5633389999998</v>
      </c>
      <c r="V52" s="3">
        <v>1684.9785429999999</v>
      </c>
      <c r="W52" s="3">
        <v>923.60162700000001</v>
      </c>
      <c r="X52" s="3">
        <v>1632.4821870000001</v>
      </c>
      <c r="Y52" s="3">
        <v>205.7971058</v>
      </c>
      <c r="Z52" s="3">
        <v>433.49545840000002</v>
      </c>
      <c r="AA52" s="48" t="s">
        <v>311</v>
      </c>
      <c r="AB52" s="49" t="s">
        <v>325</v>
      </c>
      <c r="AC52" s="3">
        <v>1059.695528</v>
      </c>
      <c r="AD52" s="3">
        <v>1046.641226</v>
      </c>
      <c r="AE52" s="3">
        <v>687.83795280000004</v>
      </c>
      <c r="AF52" s="3">
        <v>220.47901110000001</v>
      </c>
      <c r="AG52" s="3">
        <v>1734.5662950000001</v>
      </c>
      <c r="AH52" s="3">
        <v>1408.62041</v>
      </c>
      <c r="AI52" s="3">
        <v>1620.4880330000001</v>
      </c>
      <c r="AJ52" s="3">
        <v>1249.2453399999999</v>
      </c>
      <c r="AK52" s="3">
        <v>506.47899419999999</v>
      </c>
      <c r="AL52" s="3">
        <v>754.39823850000005</v>
      </c>
      <c r="AM52" s="3">
        <v>1384.9657130000001</v>
      </c>
      <c r="AN52" s="3">
        <v>171.50586799999999</v>
      </c>
      <c r="AO52" s="3">
        <v>523.42589450000003</v>
      </c>
      <c r="AP52" s="48" t="s">
        <v>311</v>
      </c>
      <c r="AQ52" s="49" t="s">
        <v>325</v>
      </c>
      <c r="AR52" s="3">
        <v>671.46081600000002</v>
      </c>
      <c r="AS52" s="3">
        <v>910.34789039999998</v>
      </c>
      <c r="AT52" s="3">
        <v>859.05197339999995</v>
      </c>
      <c r="AU52" s="3">
        <v>828.22165080000002</v>
      </c>
      <c r="AV52" s="3">
        <v>216.17934</v>
      </c>
      <c r="AW52" s="3">
        <v>1184.510184</v>
      </c>
      <c r="AX52" s="3">
        <v>756.37451160000001</v>
      </c>
      <c r="AY52" s="3">
        <v>884.18238480000002</v>
      </c>
      <c r="AZ52" s="3">
        <v>504.15580799999998</v>
      </c>
      <c r="BA52" s="3">
        <v>264.76407360000002</v>
      </c>
      <c r="BB52" s="3">
        <v>447.18108239999998</v>
      </c>
      <c r="BC52" s="3">
        <v>122.7771168</v>
      </c>
      <c r="BD52" s="3">
        <v>602.91360480000003</v>
      </c>
      <c r="BE52" s="48" t="s">
        <v>311</v>
      </c>
      <c r="BF52" s="49" t="s">
        <v>325</v>
      </c>
      <c r="BG52" s="3">
        <v>0</v>
      </c>
      <c r="BH52" s="3">
        <v>0.85099999999999998</v>
      </c>
      <c r="BI52" s="3">
        <v>0.50049999999999994</v>
      </c>
      <c r="BJ52" s="3">
        <v>0</v>
      </c>
      <c r="BK52" s="3">
        <v>0.76900000000000002</v>
      </c>
      <c r="BL52" s="3">
        <v>0.42649999999999999</v>
      </c>
      <c r="BM52" s="3">
        <v>0</v>
      </c>
      <c r="BN52" s="3">
        <v>0.59899999999999998</v>
      </c>
      <c r="BO52" s="3">
        <v>0.29899999999999999</v>
      </c>
      <c r="BP52" s="3">
        <v>0</v>
      </c>
      <c r="BQ52" s="3">
        <v>0.91200000000000003</v>
      </c>
      <c r="BR52" s="3">
        <v>0.52266666699999997</v>
      </c>
      <c r="BS52" s="3">
        <v>0</v>
      </c>
      <c r="BT52" s="3">
        <v>0.94899999999999995</v>
      </c>
      <c r="BU52" s="3">
        <v>0.56291666699999998</v>
      </c>
      <c r="BV52" s="3">
        <v>0</v>
      </c>
      <c r="BW52" s="3">
        <v>0.60699999999999998</v>
      </c>
      <c r="BX52" s="3">
        <v>0.498</v>
      </c>
      <c r="BY52" s="3">
        <v>0</v>
      </c>
      <c r="BZ52" s="3">
        <v>0.60699999999999998</v>
      </c>
      <c r="CA52" s="3">
        <v>6.25E-2</v>
      </c>
      <c r="CB52" s="3">
        <v>0</v>
      </c>
      <c r="CC52" s="3">
        <v>0.97899999999999998</v>
      </c>
      <c r="CD52" s="3">
        <v>0.62533333300000005</v>
      </c>
      <c r="CE52" s="3">
        <v>0</v>
      </c>
      <c r="CF52" s="3">
        <v>0.96199999999999997</v>
      </c>
      <c r="CG52" s="3">
        <v>0.6925</v>
      </c>
      <c r="CH52" s="3">
        <v>0</v>
      </c>
      <c r="CI52" s="3">
        <v>0.95399999999999996</v>
      </c>
      <c r="CJ52" s="3">
        <v>0.93333333299999999</v>
      </c>
      <c r="CK52" s="3">
        <v>0</v>
      </c>
      <c r="CL52" s="3">
        <v>0.76200000000000001</v>
      </c>
      <c r="CM52" s="3">
        <v>0.01</v>
      </c>
      <c r="CN52" s="3">
        <v>0</v>
      </c>
      <c r="CO52" s="3">
        <v>0.96199999999999997</v>
      </c>
      <c r="CP52" s="3">
        <v>0.66500000000000004</v>
      </c>
      <c r="CQ52" s="3">
        <v>0</v>
      </c>
      <c r="CR52" s="3">
        <v>0.872</v>
      </c>
      <c r="CS52" s="3">
        <v>0.77500000000000002</v>
      </c>
      <c r="CT52" s="48" t="s">
        <v>311</v>
      </c>
      <c r="CU52" s="49" t="s">
        <v>325</v>
      </c>
      <c r="CV52" s="3">
        <v>1.4930000000000001</v>
      </c>
      <c r="CW52" s="3">
        <v>1.7869999999999999</v>
      </c>
      <c r="CX52" s="3">
        <v>1.333</v>
      </c>
      <c r="CY52" s="3">
        <v>0.88600000000000001</v>
      </c>
      <c r="CZ52" s="3">
        <v>2.052</v>
      </c>
      <c r="DA52" s="3">
        <v>5.7619999999999996</v>
      </c>
      <c r="DB52" s="3">
        <v>0.38800000000000001</v>
      </c>
      <c r="DC52" s="3">
        <v>3.9689999999999999</v>
      </c>
      <c r="DD52" s="3">
        <v>4.2309999999999999</v>
      </c>
      <c r="DE52" s="3">
        <v>5.1360000000000001</v>
      </c>
      <c r="DF52" s="3">
        <v>1.909</v>
      </c>
      <c r="DG52" s="3">
        <v>4.6420000000000003</v>
      </c>
      <c r="DH52" s="3">
        <v>2.8759999999999999</v>
      </c>
    </row>
    <row r="53" spans="1:112" x14ac:dyDescent="0.3">
      <c r="A53" s="48" t="s">
        <v>311</v>
      </c>
      <c r="B53" s="49" t="s">
        <v>326</v>
      </c>
      <c r="C53" s="3">
        <v>33.713531199999998</v>
      </c>
      <c r="D53" s="3">
        <v>20.7359376</v>
      </c>
      <c r="E53" s="3">
        <v>28.564812</v>
      </c>
      <c r="F53" s="3">
        <v>23.0369919</v>
      </c>
      <c r="G53" s="3">
        <v>7.9434863</v>
      </c>
      <c r="H53" s="3">
        <v>28.564812</v>
      </c>
      <c r="I53" s="48" t="s">
        <v>311</v>
      </c>
      <c r="J53" s="49" t="s">
        <v>326</v>
      </c>
      <c r="K53" s="3">
        <v>30140.5</v>
      </c>
      <c r="L53" s="48" t="s">
        <v>311</v>
      </c>
      <c r="M53" s="49" t="s">
        <v>326</v>
      </c>
      <c r="N53" s="3">
        <v>1875.1042179999999</v>
      </c>
      <c r="O53" s="3">
        <v>2315.0996639999998</v>
      </c>
      <c r="P53" s="3">
        <v>1479.530129</v>
      </c>
      <c r="Q53" s="3">
        <v>1663.256785</v>
      </c>
      <c r="R53" s="3">
        <v>2344.6134080000002</v>
      </c>
      <c r="S53" s="3">
        <v>2225.6600800000001</v>
      </c>
      <c r="T53" s="3">
        <v>2128.4399250000001</v>
      </c>
      <c r="U53" s="3">
        <v>2202.0616199999999</v>
      </c>
      <c r="V53" s="3">
        <v>1611.2813269999999</v>
      </c>
      <c r="W53" s="3">
        <v>999.39267310000002</v>
      </c>
      <c r="X53" s="3">
        <v>1329.114699</v>
      </c>
      <c r="Y53" s="3">
        <v>231.7104099</v>
      </c>
      <c r="Z53" s="3">
        <v>210.42788289999999</v>
      </c>
      <c r="AA53" s="48" t="s">
        <v>311</v>
      </c>
      <c r="AB53" s="49" t="s">
        <v>326</v>
      </c>
      <c r="AC53" s="3">
        <v>1059.695528</v>
      </c>
      <c r="AD53" s="3">
        <v>1046.641226</v>
      </c>
      <c r="AE53" s="3">
        <v>689.90975390000006</v>
      </c>
      <c r="AF53" s="3">
        <v>221.14310449999999</v>
      </c>
      <c r="AG53" s="3">
        <v>1734.5662950000001</v>
      </c>
      <c r="AH53" s="3">
        <v>1408.62041</v>
      </c>
      <c r="AI53" s="3">
        <v>1625.369021</v>
      </c>
      <c r="AJ53" s="3">
        <v>1249.2453399999999</v>
      </c>
      <c r="AK53" s="3">
        <v>506.47899419999999</v>
      </c>
      <c r="AL53" s="3">
        <v>754.39823850000005</v>
      </c>
      <c r="AM53" s="3">
        <v>1384.9657130000001</v>
      </c>
      <c r="AN53" s="3">
        <v>171.50586799999999</v>
      </c>
      <c r="AO53" s="3">
        <v>523.42589450000003</v>
      </c>
      <c r="AP53" s="48" t="s">
        <v>311</v>
      </c>
      <c r="AQ53" s="49" t="s">
        <v>326</v>
      </c>
      <c r="AR53" s="3">
        <v>690.82987800000001</v>
      </c>
      <c r="AS53" s="3">
        <v>936.60792570000001</v>
      </c>
      <c r="AT53" s="3">
        <v>877.96192250000001</v>
      </c>
      <c r="AU53" s="3">
        <v>846.452945</v>
      </c>
      <c r="AV53" s="3">
        <v>222.41528249999999</v>
      </c>
      <c r="AW53" s="3">
        <v>1218.6787469999999</v>
      </c>
      <c r="AX53" s="3">
        <v>773.02426500000001</v>
      </c>
      <c r="AY53" s="3">
        <v>909.68764590000001</v>
      </c>
      <c r="AZ53" s="3">
        <v>518.69876399999998</v>
      </c>
      <c r="BA53" s="3">
        <v>272.40149880000001</v>
      </c>
      <c r="BB53" s="3">
        <v>460.08053669999998</v>
      </c>
      <c r="BC53" s="3">
        <v>126.31876440000001</v>
      </c>
      <c r="BD53" s="3">
        <v>620.30534339999997</v>
      </c>
      <c r="BE53" s="48" t="s">
        <v>311</v>
      </c>
      <c r="BF53" s="49" t="s">
        <v>326</v>
      </c>
      <c r="BG53" s="3">
        <v>0</v>
      </c>
      <c r="BH53" s="3">
        <v>0.86199999999999999</v>
      </c>
      <c r="BI53" s="3">
        <v>0.53100000000000003</v>
      </c>
      <c r="BJ53" s="3">
        <v>0</v>
      </c>
      <c r="BK53" s="3">
        <v>0.61699999999999999</v>
      </c>
      <c r="BL53" s="3">
        <v>0.495</v>
      </c>
      <c r="BM53" s="3">
        <v>0</v>
      </c>
      <c r="BN53" s="3">
        <v>0.53300000000000003</v>
      </c>
      <c r="BO53" s="3">
        <v>0.27950000000000003</v>
      </c>
      <c r="BP53" s="3">
        <v>0</v>
      </c>
      <c r="BQ53" s="3">
        <v>0.91800000000000004</v>
      </c>
      <c r="BR53" s="3">
        <v>0.52933333299999996</v>
      </c>
      <c r="BS53" s="3">
        <v>0</v>
      </c>
      <c r="BT53" s="3">
        <v>0.93200000000000005</v>
      </c>
      <c r="BU53" s="3">
        <v>0.58716666699999998</v>
      </c>
      <c r="BV53" s="3">
        <v>0</v>
      </c>
      <c r="BW53" s="3">
        <v>0.61599999999999999</v>
      </c>
      <c r="BX53" s="3">
        <v>0.51600000000000001</v>
      </c>
      <c r="BY53" s="3">
        <v>0</v>
      </c>
      <c r="BZ53" s="3">
        <v>0.61599999999999999</v>
      </c>
      <c r="CA53" s="3">
        <v>6.25E-2</v>
      </c>
      <c r="CB53" s="3">
        <v>0</v>
      </c>
      <c r="CC53" s="3">
        <v>0.96399999999999997</v>
      </c>
      <c r="CD53" s="3">
        <v>0.64333333299999995</v>
      </c>
      <c r="CE53" s="3">
        <v>0</v>
      </c>
      <c r="CF53" s="3">
        <v>0.96099999999999997</v>
      </c>
      <c r="CG53" s="3">
        <v>0.68500000000000005</v>
      </c>
      <c r="CH53" s="3">
        <v>0</v>
      </c>
      <c r="CI53" s="3">
        <v>0.95</v>
      </c>
      <c r="CJ53" s="3">
        <v>0.947333333</v>
      </c>
      <c r="CK53" s="3">
        <v>0</v>
      </c>
      <c r="CL53" s="3">
        <v>0.78600000000000003</v>
      </c>
      <c r="CM53" s="3">
        <v>0.01</v>
      </c>
      <c r="CN53" s="3">
        <v>0</v>
      </c>
      <c r="CO53" s="3">
        <v>0.95599999999999996</v>
      </c>
      <c r="CP53" s="3">
        <v>0.64233333299999995</v>
      </c>
      <c r="CQ53" s="3">
        <v>0</v>
      </c>
      <c r="CR53" s="3">
        <v>0.879</v>
      </c>
      <c r="CS53" s="3">
        <v>0.78600000000000003</v>
      </c>
      <c r="CT53" s="48" t="s">
        <v>311</v>
      </c>
      <c r="CU53" s="49" t="s">
        <v>326</v>
      </c>
      <c r="CV53" s="3">
        <v>1.353</v>
      </c>
      <c r="CW53" s="3">
        <v>1.504</v>
      </c>
      <c r="CX53" s="3">
        <v>0.83199999999999996</v>
      </c>
      <c r="CY53" s="3">
        <v>0.70499999999999996</v>
      </c>
      <c r="CZ53" s="3">
        <v>2.6549999999999998</v>
      </c>
      <c r="DA53" s="3">
        <v>5.6349999999999998</v>
      </c>
      <c r="DB53" s="3">
        <v>0.50700000000000001</v>
      </c>
      <c r="DC53" s="3">
        <v>4.4539999999999997</v>
      </c>
      <c r="DD53" s="3">
        <v>5.0359999999999996</v>
      </c>
      <c r="DE53" s="3">
        <v>5.0289999999999999</v>
      </c>
      <c r="DF53" s="3">
        <v>2.1459999999999999</v>
      </c>
      <c r="DG53" s="3">
        <v>4.5650000000000004</v>
      </c>
      <c r="DH53" s="3">
        <v>2.931</v>
      </c>
    </row>
    <row r="54" spans="1:112" x14ac:dyDescent="0.3">
      <c r="A54" s="48" t="s">
        <v>311</v>
      </c>
      <c r="B54" s="49" t="s">
        <v>327</v>
      </c>
      <c r="C54" s="3">
        <v>33.660633400000002</v>
      </c>
      <c r="D54" s="3">
        <v>21.2913645</v>
      </c>
      <c r="E54" s="3">
        <v>27.33053</v>
      </c>
      <c r="F54" s="3">
        <v>23.530704700000001</v>
      </c>
      <c r="G54" s="3">
        <v>9.5127877000000005</v>
      </c>
      <c r="H54" s="3">
        <v>27.33053</v>
      </c>
      <c r="I54" s="48" t="s">
        <v>311</v>
      </c>
      <c r="J54" s="49" t="s">
        <v>327</v>
      </c>
      <c r="K54" s="3">
        <v>29477</v>
      </c>
      <c r="L54" s="48" t="s">
        <v>311</v>
      </c>
      <c r="M54" s="49" t="s">
        <v>327</v>
      </c>
      <c r="N54" s="3">
        <v>1781.9211829999999</v>
      </c>
      <c r="O54" s="3">
        <v>2156.073809</v>
      </c>
      <c r="P54" s="3">
        <v>1382.675115</v>
      </c>
      <c r="Q54" s="3">
        <v>1661.484882</v>
      </c>
      <c r="R54" s="3">
        <v>2178.5502190000002</v>
      </c>
      <c r="S54" s="3">
        <v>2044.2182969999999</v>
      </c>
      <c r="T54" s="3">
        <v>1883.728711</v>
      </c>
      <c r="U54" s="3">
        <v>2005.385763</v>
      </c>
      <c r="V54" s="3">
        <v>1525.1927450000001</v>
      </c>
      <c r="W54" s="3">
        <v>1280.119729</v>
      </c>
      <c r="X54" s="3">
        <v>1115.2864529999999</v>
      </c>
      <c r="Y54" s="3">
        <v>236.0134505</v>
      </c>
      <c r="Z54" s="3">
        <v>210.38638560000001</v>
      </c>
      <c r="AA54" s="48" t="s">
        <v>311</v>
      </c>
      <c r="AB54" s="49" t="s">
        <v>327</v>
      </c>
      <c r="AC54" s="3">
        <v>1209.6524429999999</v>
      </c>
      <c r="AD54" s="3">
        <v>1194.7508339999999</v>
      </c>
      <c r="AE54" s="3">
        <v>801.78701130000002</v>
      </c>
      <c r="AF54" s="3">
        <v>257.00414840000002</v>
      </c>
      <c r="AG54" s="3">
        <v>1980.02379</v>
      </c>
      <c r="AH54" s="3">
        <v>1607.953487</v>
      </c>
      <c r="AI54" s="3">
        <v>1888.942376</v>
      </c>
      <c r="AJ54" s="3">
        <v>1426.025341</v>
      </c>
      <c r="AK54" s="3">
        <v>578.15054999999995</v>
      </c>
      <c r="AL54" s="3">
        <v>861.15270620000001</v>
      </c>
      <c r="AM54" s="3">
        <v>1580.951427</v>
      </c>
      <c r="AN54" s="3">
        <v>195.7755664</v>
      </c>
      <c r="AO54" s="3">
        <v>597.49559650000003</v>
      </c>
      <c r="AP54" s="48" t="s">
        <v>311</v>
      </c>
      <c r="AQ54" s="49" t="s">
        <v>327</v>
      </c>
      <c r="AR54" s="3">
        <v>751.08918200000005</v>
      </c>
      <c r="AS54" s="3">
        <v>1018.3058129999999</v>
      </c>
      <c r="AT54" s="3">
        <v>931.99034849999998</v>
      </c>
      <c r="AU54" s="3">
        <v>898.54235700000004</v>
      </c>
      <c r="AV54" s="3">
        <v>241.81599249999999</v>
      </c>
      <c r="AW54" s="3">
        <v>1324.980943</v>
      </c>
      <c r="AX54" s="3">
        <v>820.59498900000006</v>
      </c>
      <c r="AY54" s="3">
        <v>989.03734710000003</v>
      </c>
      <c r="AZ54" s="3">
        <v>563.94351600000005</v>
      </c>
      <c r="BA54" s="3">
        <v>296.16237719999998</v>
      </c>
      <c r="BB54" s="3">
        <v>500.21217230000002</v>
      </c>
      <c r="BC54" s="3">
        <v>137.33722359999999</v>
      </c>
      <c r="BD54" s="3">
        <v>674.41297459999998</v>
      </c>
      <c r="BE54" s="48" t="s">
        <v>311</v>
      </c>
      <c r="BF54" s="49" t="s">
        <v>327</v>
      </c>
      <c r="BG54" s="3">
        <v>0</v>
      </c>
      <c r="BH54" s="3">
        <v>0.81</v>
      </c>
      <c r="BI54" s="3">
        <v>0.53749999999999998</v>
      </c>
      <c r="BJ54" s="3">
        <v>0</v>
      </c>
      <c r="BK54" s="3">
        <v>0.625</v>
      </c>
      <c r="BL54" s="3">
        <v>0.50749999999999995</v>
      </c>
      <c r="BM54" s="3">
        <v>0</v>
      </c>
      <c r="BN54" s="3">
        <v>0.502</v>
      </c>
      <c r="BO54" s="3">
        <v>0.27450000000000002</v>
      </c>
      <c r="BP54" s="3">
        <v>0</v>
      </c>
      <c r="BQ54" s="3">
        <v>0.91200000000000003</v>
      </c>
      <c r="BR54" s="3">
        <v>0.50900000000000001</v>
      </c>
      <c r="BS54" s="3">
        <v>0</v>
      </c>
      <c r="BT54" s="3">
        <v>0.93100000000000005</v>
      </c>
      <c r="BU54" s="3">
        <v>0.58875</v>
      </c>
      <c r="BV54" s="3">
        <v>0</v>
      </c>
      <c r="BW54" s="3">
        <v>0.61699999999999999</v>
      </c>
      <c r="BX54" s="3">
        <v>0.501</v>
      </c>
      <c r="BY54" s="3">
        <v>0</v>
      </c>
      <c r="BZ54" s="3">
        <v>0.61699999999999999</v>
      </c>
      <c r="CA54" s="3">
        <v>8.6999999999999994E-2</v>
      </c>
      <c r="CB54" s="3">
        <v>0</v>
      </c>
      <c r="CC54" s="3">
        <v>0.96299999999999997</v>
      </c>
      <c r="CD54" s="3">
        <v>0.64</v>
      </c>
      <c r="CE54" s="3">
        <v>0</v>
      </c>
      <c r="CF54" s="3">
        <v>0.95799999999999996</v>
      </c>
      <c r="CG54" s="3">
        <v>0.66249999999999998</v>
      </c>
      <c r="CH54" s="3">
        <v>0</v>
      </c>
      <c r="CI54" s="3">
        <v>0.94499999999999995</v>
      </c>
      <c r="CJ54" s="3">
        <v>0.95666666700000003</v>
      </c>
      <c r="CK54" s="3">
        <v>0</v>
      </c>
      <c r="CL54" s="3">
        <v>0.79300000000000004</v>
      </c>
      <c r="CM54" s="3">
        <v>0.01</v>
      </c>
      <c r="CN54" s="3">
        <v>0</v>
      </c>
      <c r="CO54" s="3">
        <v>0.94299999999999995</v>
      </c>
      <c r="CP54" s="3">
        <v>0.61233333300000004</v>
      </c>
      <c r="CQ54" s="3">
        <v>0</v>
      </c>
      <c r="CR54" s="3">
        <v>0.872</v>
      </c>
      <c r="CS54" s="3">
        <v>0.79700000000000004</v>
      </c>
      <c r="CT54" s="48" t="s">
        <v>311</v>
      </c>
      <c r="CU54" s="49" t="s">
        <v>327</v>
      </c>
      <c r="CV54" s="3">
        <v>1.4319999999999999</v>
      </c>
      <c r="CW54" s="3">
        <v>1.6890000000000001</v>
      </c>
      <c r="CX54" s="3">
        <v>0.71199999999999997</v>
      </c>
      <c r="CY54" s="3">
        <v>0.65900000000000003</v>
      </c>
      <c r="CZ54" s="3">
        <v>2.9980000000000002</v>
      </c>
      <c r="DA54" s="3">
        <v>5.641</v>
      </c>
      <c r="DB54" s="3">
        <v>0.68100000000000005</v>
      </c>
      <c r="DC54" s="3">
        <v>5</v>
      </c>
      <c r="DD54" s="3">
        <v>5.383</v>
      </c>
      <c r="DE54" s="3">
        <v>4.9720000000000004</v>
      </c>
      <c r="DF54" s="3">
        <v>2.266</v>
      </c>
      <c r="DG54" s="3">
        <v>4.4039999999999999</v>
      </c>
      <c r="DH54" s="3">
        <v>2.835</v>
      </c>
    </row>
    <row r="55" spans="1:112" x14ac:dyDescent="0.3">
      <c r="A55" s="48" t="s">
        <v>311</v>
      </c>
      <c r="B55" s="49" t="s">
        <v>328</v>
      </c>
      <c r="C55" s="3">
        <v>33.660633400000002</v>
      </c>
      <c r="D55" s="3">
        <v>31.9943527</v>
      </c>
      <c r="E55" s="3">
        <v>31.9943527</v>
      </c>
      <c r="F55" s="3">
        <v>24.183110899999999</v>
      </c>
      <c r="G55" s="3">
        <v>12.7307372</v>
      </c>
      <c r="H55" s="3">
        <v>31.9943527</v>
      </c>
      <c r="I55" s="48" t="s">
        <v>311</v>
      </c>
      <c r="J55" s="49" t="s">
        <v>328</v>
      </c>
      <c r="K55" s="3">
        <v>29110</v>
      </c>
      <c r="L55" s="48" t="s">
        <v>311</v>
      </c>
      <c r="M55" s="49" t="s">
        <v>328</v>
      </c>
      <c r="N55" s="3">
        <v>1669.6463699999999</v>
      </c>
      <c r="O55" s="3">
        <v>2262.0872800000002</v>
      </c>
      <c r="P55" s="3">
        <v>1398.5598829999999</v>
      </c>
      <c r="Q55" s="3">
        <v>1742.9153200000001</v>
      </c>
      <c r="R55" s="3">
        <v>1909.594392</v>
      </c>
      <c r="S55" s="3">
        <v>1940.6356720000001</v>
      </c>
      <c r="T55" s="3">
        <v>1640.64672</v>
      </c>
      <c r="U55" s="3">
        <v>1985.6122130000001</v>
      </c>
      <c r="V55" s="3">
        <v>1520.72704</v>
      </c>
      <c r="W55" s="3">
        <v>2462.7926560000001</v>
      </c>
      <c r="X55" s="3">
        <v>1018.291506</v>
      </c>
      <c r="Y55" s="3">
        <v>367.33024119999999</v>
      </c>
      <c r="Z55" s="3">
        <v>331.23105679999998</v>
      </c>
      <c r="AA55" s="48" t="s">
        <v>311</v>
      </c>
      <c r="AB55" s="49" t="s">
        <v>328</v>
      </c>
      <c r="AC55" s="3">
        <v>1536.2252779999999</v>
      </c>
      <c r="AD55" s="3">
        <v>1517.3006459999999</v>
      </c>
      <c r="AE55" s="3">
        <v>948.88488670000004</v>
      </c>
      <c r="AF55" s="3">
        <v>304.15478030000003</v>
      </c>
      <c r="AG55" s="3">
        <v>2514.5756670000001</v>
      </c>
      <c r="AH55" s="3">
        <v>2042.056632</v>
      </c>
      <c r="AI55" s="3">
        <v>2235.4925269999999</v>
      </c>
      <c r="AJ55" s="3">
        <v>1811.0128990000001</v>
      </c>
      <c r="AK55" s="3">
        <v>734.23527149999995</v>
      </c>
      <c r="AL55" s="3">
        <v>1093.640214</v>
      </c>
      <c r="AM55" s="3">
        <v>2007.76476</v>
      </c>
      <c r="AN55" s="3">
        <v>248.62957599999999</v>
      </c>
      <c r="AO55" s="3">
        <v>758.8029477</v>
      </c>
      <c r="AP55" s="48" t="s">
        <v>311</v>
      </c>
      <c r="AQ55" s="49" t="s">
        <v>328</v>
      </c>
      <c r="AR55" s="3">
        <v>819.95695799999999</v>
      </c>
      <c r="AS55" s="3">
        <v>1111.6748279999999</v>
      </c>
      <c r="AT55" s="3">
        <v>988.72019580000006</v>
      </c>
      <c r="AU55" s="3">
        <v>953.23623959999998</v>
      </c>
      <c r="AV55" s="3">
        <v>263.98823249999998</v>
      </c>
      <c r="AW55" s="3">
        <v>1446.469167</v>
      </c>
      <c r="AX55" s="3">
        <v>870.54424919999997</v>
      </c>
      <c r="AY55" s="3">
        <v>1079.72272</v>
      </c>
      <c r="AZ55" s="3">
        <v>615.65180399999997</v>
      </c>
      <c r="BA55" s="3">
        <v>323.31766679999998</v>
      </c>
      <c r="BB55" s="3">
        <v>546.07689870000002</v>
      </c>
      <c r="BC55" s="3">
        <v>149.92974839999999</v>
      </c>
      <c r="BD55" s="3">
        <v>736.25026739999998</v>
      </c>
      <c r="BE55" s="48" t="s">
        <v>311</v>
      </c>
      <c r="BF55" s="49" t="s">
        <v>328</v>
      </c>
      <c r="BG55" s="3">
        <v>0</v>
      </c>
      <c r="BH55" s="3">
        <v>0.72899999999999998</v>
      </c>
      <c r="BI55" s="3">
        <v>0.53149999999999997</v>
      </c>
      <c r="BJ55" s="3">
        <v>0</v>
      </c>
      <c r="BK55" s="3">
        <v>0.628</v>
      </c>
      <c r="BL55" s="3">
        <v>0.495</v>
      </c>
      <c r="BM55" s="3">
        <v>0</v>
      </c>
      <c r="BN55" s="3">
        <v>0.499</v>
      </c>
      <c r="BO55" s="3">
        <v>0.3125</v>
      </c>
      <c r="BP55" s="3">
        <v>0</v>
      </c>
      <c r="BQ55" s="3">
        <v>0.90600000000000003</v>
      </c>
      <c r="BR55" s="3">
        <v>0.50266666699999996</v>
      </c>
      <c r="BS55" s="3">
        <v>0</v>
      </c>
      <c r="BT55" s="3">
        <v>0.94299999999999995</v>
      </c>
      <c r="BU55" s="3">
        <v>0.569083334</v>
      </c>
      <c r="BV55" s="3">
        <v>0</v>
      </c>
      <c r="BW55" s="3">
        <v>0.60599999999999998</v>
      </c>
      <c r="BX55" s="3">
        <v>0.50600000000000001</v>
      </c>
      <c r="BY55" s="3">
        <v>0</v>
      </c>
      <c r="BZ55" s="3">
        <v>0.60599999999999998</v>
      </c>
      <c r="CA55" s="3">
        <v>0.14799999999999999</v>
      </c>
      <c r="CB55" s="3">
        <v>0</v>
      </c>
      <c r="CC55" s="3">
        <v>0.96299999999999997</v>
      </c>
      <c r="CD55" s="3">
        <v>0.60666666700000005</v>
      </c>
      <c r="CE55" s="3">
        <v>0</v>
      </c>
      <c r="CF55" s="3">
        <v>0.95599999999999996</v>
      </c>
      <c r="CG55" s="3">
        <v>0.63900000000000001</v>
      </c>
      <c r="CH55" s="3">
        <v>0</v>
      </c>
      <c r="CI55" s="3">
        <v>0.92</v>
      </c>
      <c r="CJ55" s="3">
        <v>0.96466666700000003</v>
      </c>
      <c r="CK55" s="3">
        <v>0</v>
      </c>
      <c r="CL55" s="3">
        <v>0.78200000000000003</v>
      </c>
      <c r="CM55" s="3">
        <v>0.01</v>
      </c>
      <c r="CN55" s="3">
        <v>0</v>
      </c>
      <c r="CO55" s="3">
        <v>0.91900000000000004</v>
      </c>
      <c r="CP55" s="3">
        <v>0.58599999999999997</v>
      </c>
      <c r="CQ55" s="3">
        <v>0</v>
      </c>
      <c r="CR55" s="3">
        <v>0.84099999999999997</v>
      </c>
      <c r="CS55" s="3">
        <v>0.80800000000000005</v>
      </c>
      <c r="CT55" s="48" t="s">
        <v>311</v>
      </c>
      <c r="CU55" s="49" t="s">
        <v>328</v>
      </c>
      <c r="CV55" s="3">
        <v>1.458</v>
      </c>
      <c r="CW55" s="3">
        <v>2.1059999999999999</v>
      </c>
      <c r="CX55" s="3">
        <v>0.91300000000000003</v>
      </c>
      <c r="CY55" s="3">
        <v>0.89200000000000002</v>
      </c>
      <c r="CZ55" s="3">
        <v>3.1779999999999999</v>
      </c>
      <c r="DA55" s="3">
        <v>5.8209999999999997</v>
      </c>
      <c r="DB55" s="3">
        <v>0.79600000000000004</v>
      </c>
      <c r="DC55" s="3">
        <v>5.468</v>
      </c>
      <c r="DD55" s="3">
        <v>5.4660000000000002</v>
      </c>
      <c r="DE55" s="3">
        <v>4.673</v>
      </c>
      <c r="DF55" s="3">
        <v>2.173</v>
      </c>
      <c r="DG55" s="3">
        <v>4.2489999999999997</v>
      </c>
      <c r="DH55" s="3">
        <v>2.6869999999999998</v>
      </c>
    </row>
    <row r="56" spans="1:112" x14ac:dyDescent="0.3">
      <c r="A56" s="48" t="s">
        <v>311</v>
      </c>
      <c r="B56" s="49" t="s">
        <v>329</v>
      </c>
      <c r="C56" s="3">
        <v>33.6870823</v>
      </c>
      <c r="D56" s="3">
        <v>43.552522000000003</v>
      </c>
      <c r="E56" s="3">
        <v>35.177036999999999</v>
      </c>
      <c r="F56" s="3">
        <v>26.1932273</v>
      </c>
      <c r="G56" s="3">
        <v>28.767586900000001</v>
      </c>
      <c r="H56" s="3">
        <v>43.552522000000003</v>
      </c>
      <c r="I56" s="48" t="s">
        <v>311</v>
      </c>
      <c r="J56" s="49" t="s">
        <v>329</v>
      </c>
      <c r="K56" s="3">
        <v>30484.5</v>
      </c>
      <c r="L56" s="48" t="s">
        <v>311</v>
      </c>
      <c r="M56" s="49" t="s">
        <v>329</v>
      </c>
      <c r="N56" s="3">
        <v>2344.1490659999999</v>
      </c>
      <c r="O56" s="3">
        <v>3054.599326</v>
      </c>
      <c r="P56" s="3">
        <v>1838.822381</v>
      </c>
      <c r="Q56" s="3">
        <v>2032.902564</v>
      </c>
      <c r="R56" s="3">
        <v>2648.634806</v>
      </c>
      <c r="S56" s="3">
        <v>2766.9377290000002</v>
      </c>
      <c r="T56" s="3">
        <v>2057.246674</v>
      </c>
      <c r="U56" s="3">
        <v>2856.6276160000002</v>
      </c>
      <c r="V56" s="3">
        <v>2070.214528</v>
      </c>
      <c r="W56" s="3">
        <v>5787.8363470000004</v>
      </c>
      <c r="X56" s="3">
        <v>1748.1653859999999</v>
      </c>
      <c r="Y56" s="3">
        <v>800.66592270000001</v>
      </c>
      <c r="Z56" s="3">
        <v>1976.911544</v>
      </c>
      <c r="AA56" s="48" t="s">
        <v>311</v>
      </c>
      <c r="AB56" s="49" t="s">
        <v>329</v>
      </c>
      <c r="AC56" s="3">
        <v>1669.520313</v>
      </c>
      <c r="AD56" s="3">
        <v>1648.95363</v>
      </c>
      <c r="AE56" s="3">
        <v>953.02848879999999</v>
      </c>
      <c r="AF56" s="3">
        <v>305.4829671</v>
      </c>
      <c r="AG56" s="3">
        <v>2732.7601070000001</v>
      </c>
      <c r="AH56" s="3">
        <v>2219.2415900000001</v>
      </c>
      <c r="AI56" s="3">
        <v>2245.2545030000001</v>
      </c>
      <c r="AJ56" s="3">
        <v>1968.150678</v>
      </c>
      <c r="AK56" s="3">
        <v>797.94332099999997</v>
      </c>
      <c r="AL56" s="3">
        <v>1188.5330739999999</v>
      </c>
      <c r="AM56" s="3">
        <v>2181.9742839999999</v>
      </c>
      <c r="AN56" s="3">
        <v>270.20264120000002</v>
      </c>
      <c r="AO56" s="3">
        <v>824.64268279999999</v>
      </c>
      <c r="AP56" s="48" t="s">
        <v>311</v>
      </c>
      <c r="AQ56" s="49" t="s">
        <v>329</v>
      </c>
      <c r="AR56" s="3">
        <v>994.27851599999997</v>
      </c>
      <c r="AS56" s="3">
        <v>1348.0151450000001</v>
      </c>
      <c r="AT56" s="3">
        <v>1218.3410060000001</v>
      </c>
      <c r="AU56" s="3">
        <v>1174.6162409999999</v>
      </c>
      <c r="AV56" s="3">
        <v>320.111715</v>
      </c>
      <c r="AW56" s="3">
        <v>1753.986234</v>
      </c>
      <c r="AX56" s="3">
        <v>1072.719826</v>
      </c>
      <c r="AY56" s="3">
        <v>1309.27007</v>
      </c>
      <c r="AZ56" s="3">
        <v>746.538408</v>
      </c>
      <c r="BA56" s="3">
        <v>392.0544936</v>
      </c>
      <c r="BB56" s="3">
        <v>662.17198740000003</v>
      </c>
      <c r="BC56" s="3">
        <v>181.80457680000001</v>
      </c>
      <c r="BD56" s="3">
        <v>892.77591480000001</v>
      </c>
      <c r="BE56" s="48" t="s">
        <v>311</v>
      </c>
      <c r="BF56" s="49" t="s">
        <v>329</v>
      </c>
      <c r="BG56" s="3">
        <v>0</v>
      </c>
      <c r="BH56" s="3">
        <v>0.73199999999999998</v>
      </c>
      <c r="BI56" s="3">
        <v>0.51200000000000001</v>
      </c>
      <c r="BJ56" s="3">
        <v>0</v>
      </c>
      <c r="BK56" s="3">
        <v>0.60499999999999998</v>
      </c>
      <c r="BL56" s="3">
        <v>0.48949999999999999</v>
      </c>
      <c r="BM56" s="3">
        <v>0</v>
      </c>
      <c r="BN56" s="3">
        <v>0.49</v>
      </c>
      <c r="BO56" s="3">
        <v>0.33400000000000002</v>
      </c>
      <c r="BP56" s="3">
        <v>0</v>
      </c>
      <c r="BQ56" s="3">
        <v>0.89200000000000002</v>
      </c>
      <c r="BR56" s="3">
        <v>0.49399999999999999</v>
      </c>
      <c r="BS56" s="3">
        <v>0</v>
      </c>
      <c r="BT56" s="3">
        <v>0.95799999999999996</v>
      </c>
      <c r="BU56" s="3">
        <v>0.53649999999999998</v>
      </c>
      <c r="BV56" s="3">
        <v>0</v>
      </c>
      <c r="BW56" s="3">
        <v>0.56899999999999995</v>
      </c>
      <c r="BX56" s="3">
        <v>0.51100000000000001</v>
      </c>
      <c r="BY56" s="3">
        <v>0</v>
      </c>
      <c r="BZ56" s="3">
        <v>0.56899999999999995</v>
      </c>
      <c r="CA56" s="3">
        <v>0.218</v>
      </c>
      <c r="CB56" s="3">
        <v>0</v>
      </c>
      <c r="CC56" s="3">
        <v>0.96099999999999997</v>
      </c>
      <c r="CD56" s="3">
        <v>0.56100000000000005</v>
      </c>
      <c r="CE56" s="3">
        <v>0</v>
      </c>
      <c r="CF56" s="3">
        <v>0.94899999999999995</v>
      </c>
      <c r="CG56" s="3">
        <v>0.62849999999999995</v>
      </c>
      <c r="CH56" s="3">
        <v>0</v>
      </c>
      <c r="CI56" s="3">
        <v>0.89300000000000002</v>
      </c>
      <c r="CJ56" s="3">
        <v>0.97166666700000004</v>
      </c>
      <c r="CK56" s="3">
        <v>0</v>
      </c>
      <c r="CL56" s="3">
        <v>0.746</v>
      </c>
      <c r="CM56" s="3">
        <v>0.01</v>
      </c>
      <c r="CN56" s="3">
        <v>0</v>
      </c>
      <c r="CO56" s="3">
        <v>0.90100000000000002</v>
      </c>
      <c r="CP56" s="3">
        <v>0.56499999999999995</v>
      </c>
      <c r="CQ56" s="3">
        <v>0</v>
      </c>
      <c r="CR56" s="3">
        <v>0.81799999999999995</v>
      </c>
      <c r="CS56" s="3">
        <v>0.82499999999999996</v>
      </c>
      <c r="CT56" s="48" t="s">
        <v>311</v>
      </c>
      <c r="CU56" s="49" t="s">
        <v>329</v>
      </c>
      <c r="CV56" s="3">
        <v>1.62</v>
      </c>
      <c r="CW56" s="3">
        <v>2.302</v>
      </c>
      <c r="CX56" s="3">
        <v>1.379</v>
      </c>
      <c r="CY56" s="3">
        <v>1.167</v>
      </c>
      <c r="CZ56" s="3">
        <v>3.22</v>
      </c>
      <c r="DA56" s="3">
        <v>5.9880000000000004</v>
      </c>
      <c r="DB56" s="3">
        <v>0.96199999999999997</v>
      </c>
      <c r="DC56" s="3">
        <v>5.7210000000000001</v>
      </c>
      <c r="DD56" s="3">
        <v>5.524</v>
      </c>
      <c r="DE56" s="3">
        <v>4.359</v>
      </c>
      <c r="DF56" s="3">
        <v>1.919</v>
      </c>
      <c r="DG56" s="3">
        <v>4.1449999999999996</v>
      </c>
      <c r="DH56" s="3">
        <v>2.6160000000000001</v>
      </c>
    </row>
    <row r="57" spans="1:112" x14ac:dyDescent="0.3">
      <c r="A57" s="48" t="s">
        <v>311</v>
      </c>
      <c r="B57" s="49" t="s">
        <v>330</v>
      </c>
      <c r="C57" s="3">
        <v>34.330672200000002</v>
      </c>
      <c r="D57" s="3">
        <v>53.814695200000003</v>
      </c>
      <c r="E57" s="3">
        <v>36.587645000000002</v>
      </c>
      <c r="F57" s="3">
        <v>27.850691699999999</v>
      </c>
      <c r="G57" s="3">
        <v>36.7287058</v>
      </c>
      <c r="H57" s="3">
        <v>63.512625200000002</v>
      </c>
      <c r="I57" s="48" t="s">
        <v>311</v>
      </c>
      <c r="J57" s="49" t="s">
        <v>330</v>
      </c>
      <c r="K57" s="3">
        <v>34851.5</v>
      </c>
      <c r="L57" s="48" t="s">
        <v>311</v>
      </c>
      <c r="M57" s="49" t="s">
        <v>330</v>
      </c>
      <c r="N57" s="3">
        <v>4424.9645270000001</v>
      </c>
      <c r="O57" s="3">
        <v>5254.2894649999998</v>
      </c>
      <c r="P57" s="3">
        <v>3044.94058</v>
      </c>
      <c r="Q57" s="3">
        <v>3014.023678</v>
      </c>
      <c r="R57" s="3">
        <v>4785.1417449999999</v>
      </c>
      <c r="S57" s="3">
        <v>4772.9292580000001</v>
      </c>
      <c r="T57" s="3">
        <v>3341.7554580000001</v>
      </c>
      <c r="U57" s="3">
        <v>5315.9144020000003</v>
      </c>
      <c r="V57" s="3">
        <v>4058.6867950000001</v>
      </c>
      <c r="W57" s="3">
        <v>6783.9310160000005</v>
      </c>
      <c r="X57" s="3">
        <v>3711.4146900000001</v>
      </c>
      <c r="Y57" s="3">
        <v>1046.318552</v>
      </c>
      <c r="Z57" s="3">
        <v>2694.2635610000002</v>
      </c>
      <c r="AA57" s="48" t="s">
        <v>311</v>
      </c>
      <c r="AB57" s="49" t="s">
        <v>330</v>
      </c>
      <c r="AC57" s="3">
        <v>2062.740667</v>
      </c>
      <c r="AD57" s="3">
        <v>2037.3299340000001</v>
      </c>
      <c r="AE57" s="3">
        <v>1124.987977</v>
      </c>
      <c r="AF57" s="3">
        <v>360.60271990000001</v>
      </c>
      <c r="AG57" s="3">
        <v>3376.4042039999999</v>
      </c>
      <c r="AH57" s="3">
        <v>2741.9372130000002</v>
      </c>
      <c r="AI57" s="3">
        <v>2650.3765119999998</v>
      </c>
      <c r="AJ57" s="3">
        <v>2431.7071249999999</v>
      </c>
      <c r="AK57" s="3">
        <v>985.88206730000002</v>
      </c>
      <c r="AL57" s="3">
        <v>1468.467011</v>
      </c>
      <c r="AM57" s="3">
        <v>2695.8923789999999</v>
      </c>
      <c r="AN57" s="3">
        <v>333.84318339999999</v>
      </c>
      <c r="AO57" s="3">
        <v>1018.869902</v>
      </c>
      <c r="AP57" s="48" t="s">
        <v>311</v>
      </c>
      <c r="AQ57" s="49" t="s">
        <v>330</v>
      </c>
      <c r="AR57" s="3">
        <v>1136.3183039999999</v>
      </c>
      <c r="AS57" s="3">
        <v>1540.5887379999999</v>
      </c>
      <c r="AT57" s="3">
        <v>1402.0376550000001</v>
      </c>
      <c r="AU57" s="3">
        <v>1351.720241</v>
      </c>
      <c r="AV57" s="3">
        <v>365.84195999999997</v>
      </c>
      <c r="AW57" s="3">
        <v>2004.5556959999999</v>
      </c>
      <c r="AX57" s="3">
        <v>1234.460288</v>
      </c>
      <c r="AY57" s="3">
        <v>1496.3086510000001</v>
      </c>
      <c r="AZ57" s="3">
        <v>853.18675199999996</v>
      </c>
      <c r="BA57" s="3">
        <v>448.06227840000003</v>
      </c>
      <c r="BB57" s="3">
        <v>756.76798559999997</v>
      </c>
      <c r="BC57" s="3">
        <v>207.77665920000001</v>
      </c>
      <c r="BD57" s="3">
        <v>1020.315331</v>
      </c>
      <c r="BE57" s="48" t="s">
        <v>311</v>
      </c>
      <c r="BF57" s="49" t="s">
        <v>330</v>
      </c>
      <c r="BG57" s="3">
        <v>0</v>
      </c>
      <c r="BH57" s="3">
        <v>0.74299999999999999</v>
      </c>
      <c r="BI57" s="3">
        <v>0.496</v>
      </c>
      <c r="BJ57" s="3">
        <v>0</v>
      </c>
      <c r="BK57" s="3">
        <v>0.63400000000000001</v>
      </c>
      <c r="BL57" s="3">
        <v>0.496</v>
      </c>
      <c r="BM57" s="3">
        <v>0</v>
      </c>
      <c r="BN57" s="3">
        <v>0.52900000000000003</v>
      </c>
      <c r="BO57" s="3">
        <v>0.35649999999999998</v>
      </c>
      <c r="BP57" s="3">
        <v>0</v>
      </c>
      <c r="BQ57" s="3">
        <v>0.84799999999999998</v>
      </c>
      <c r="BR57" s="3">
        <v>0.47833333300000003</v>
      </c>
      <c r="BS57" s="3">
        <v>0</v>
      </c>
      <c r="BT57" s="3">
        <v>0.96499999999999997</v>
      </c>
      <c r="BU57" s="3">
        <v>0.51533333400000003</v>
      </c>
      <c r="BV57" s="3">
        <v>0</v>
      </c>
      <c r="BW57" s="3">
        <v>0.53400000000000003</v>
      </c>
      <c r="BX57" s="3">
        <v>0.49399999999999999</v>
      </c>
      <c r="BY57" s="3">
        <v>0</v>
      </c>
      <c r="BZ57" s="3">
        <v>0.53400000000000003</v>
      </c>
      <c r="CA57" s="3">
        <v>0.27900000000000003</v>
      </c>
      <c r="CB57" s="3">
        <v>0</v>
      </c>
      <c r="CC57" s="3">
        <v>0.95199999999999996</v>
      </c>
      <c r="CD57" s="3">
        <v>0.53466666699999998</v>
      </c>
      <c r="CE57" s="3">
        <v>0</v>
      </c>
      <c r="CF57" s="3">
        <v>0.92500000000000004</v>
      </c>
      <c r="CG57" s="3">
        <v>0.59799999999999998</v>
      </c>
      <c r="CH57" s="3">
        <v>0</v>
      </c>
      <c r="CI57" s="3">
        <v>0.876</v>
      </c>
      <c r="CJ57" s="3">
        <v>0.97499999999999998</v>
      </c>
      <c r="CK57" s="3">
        <v>0</v>
      </c>
      <c r="CL57" s="3">
        <v>0.69599999999999995</v>
      </c>
      <c r="CM57" s="3">
        <v>0.01</v>
      </c>
      <c r="CN57" s="3">
        <v>0</v>
      </c>
      <c r="CO57" s="3">
        <v>0.88600000000000001</v>
      </c>
      <c r="CP57" s="3">
        <v>0.570333333</v>
      </c>
      <c r="CQ57" s="3">
        <v>0</v>
      </c>
      <c r="CR57" s="3">
        <v>0.80300000000000005</v>
      </c>
      <c r="CS57" s="3">
        <v>0.83299999999999996</v>
      </c>
      <c r="CT57" s="48" t="s">
        <v>311</v>
      </c>
      <c r="CU57" s="49" t="s">
        <v>330</v>
      </c>
      <c r="CV57" s="3">
        <v>1.78</v>
      </c>
      <c r="CW57" s="3">
        <v>2.31</v>
      </c>
      <c r="CX57" s="3">
        <v>1.853</v>
      </c>
      <c r="CY57" s="3">
        <v>1.3380000000000001</v>
      </c>
      <c r="CZ57" s="3">
        <v>3.016</v>
      </c>
      <c r="DA57" s="3">
        <v>5.9870000000000001</v>
      </c>
      <c r="DB57" s="3">
        <v>0.94699999999999995</v>
      </c>
      <c r="DC57" s="3">
        <v>5.84</v>
      </c>
      <c r="DD57" s="3">
        <v>5.343</v>
      </c>
      <c r="DE57" s="3">
        <v>4.1890000000000001</v>
      </c>
      <c r="DF57" s="3">
        <v>1.659</v>
      </c>
      <c r="DG57" s="3">
        <v>3.9670000000000001</v>
      </c>
      <c r="DH57" s="3">
        <v>2.6749999999999998</v>
      </c>
    </row>
    <row r="58" spans="1:112" x14ac:dyDescent="0.3">
      <c r="A58" s="48" t="s">
        <v>311</v>
      </c>
      <c r="B58" s="49" t="s">
        <v>331</v>
      </c>
      <c r="C58" s="3">
        <v>48.507282600000003</v>
      </c>
      <c r="D58" s="3">
        <v>58.875251400000003</v>
      </c>
      <c r="E58" s="3">
        <v>38.394986500000002</v>
      </c>
      <c r="F58" s="3">
        <v>31.624068099999999</v>
      </c>
      <c r="G58" s="3">
        <v>31.624068099999999</v>
      </c>
      <c r="H58" s="3">
        <v>58.875251400000003</v>
      </c>
      <c r="I58" s="48" t="s">
        <v>311</v>
      </c>
      <c r="J58" s="49" t="s">
        <v>331</v>
      </c>
      <c r="K58" s="3">
        <v>43158</v>
      </c>
      <c r="L58" s="48" t="s">
        <v>311</v>
      </c>
      <c r="M58" s="49" t="s">
        <v>331</v>
      </c>
      <c r="N58" s="3">
        <v>8565.8319809999994</v>
      </c>
      <c r="O58" s="3">
        <v>9839.2922739999995</v>
      </c>
      <c r="P58" s="3">
        <v>5753.0897269999996</v>
      </c>
      <c r="Q58" s="3">
        <v>5153.9620160000004</v>
      </c>
      <c r="R58" s="3">
        <v>8661.3076369999999</v>
      </c>
      <c r="S58" s="3">
        <v>9434.47631</v>
      </c>
      <c r="T58" s="3">
        <v>6947.0297010000004</v>
      </c>
      <c r="U58" s="3">
        <v>10863.25628</v>
      </c>
      <c r="V58" s="3">
        <v>8178.5005799999999</v>
      </c>
      <c r="W58" s="3">
        <v>5432.0996160000004</v>
      </c>
      <c r="X58" s="3">
        <v>7415.0493100000003</v>
      </c>
      <c r="Y58" s="3">
        <v>905.89963509999995</v>
      </c>
      <c r="Z58" s="3">
        <v>2390.5559320000002</v>
      </c>
      <c r="AA58" s="48" t="s">
        <v>311</v>
      </c>
      <c r="AB58" s="49" t="s">
        <v>331</v>
      </c>
      <c r="AC58" s="3">
        <v>2036.0816600000001</v>
      </c>
      <c r="AD58" s="3">
        <v>2010.999337</v>
      </c>
      <c r="AE58" s="3">
        <v>1158.136794</v>
      </c>
      <c r="AF58" s="3">
        <v>371.22821440000001</v>
      </c>
      <c r="AG58" s="3">
        <v>3332.7673159999999</v>
      </c>
      <c r="AH58" s="3">
        <v>2706.5002220000001</v>
      </c>
      <c r="AI58" s="3">
        <v>2728.4723199999999</v>
      </c>
      <c r="AJ58" s="3">
        <v>2400.2795689999998</v>
      </c>
      <c r="AK58" s="3">
        <v>973.14045739999995</v>
      </c>
      <c r="AL58" s="3">
        <v>1449.488439</v>
      </c>
      <c r="AM58" s="3">
        <v>2661.0504740000001</v>
      </c>
      <c r="AN58" s="3">
        <v>329.52857039999998</v>
      </c>
      <c r="AO58" s="3">
        <v>1005.701954</v>
      </c>
      <c r="AP58" s="48" t="s">
        <v>311</v>
      </c>
      <c r="AQ58" s="49" t="s">
        <v>331</v>
      </c>
      <c r="AR58" s="3">
        <v>1170.7521919999999</v>
      </c>
      <c r="AS58" s="3">
        <v>1587.2732450000001</v>
      </c>
      <c r="AT58" s="3">
        <v>1474.97603</v>
      </c>
      <c r="AU58" s="3">
        <v>1422.0409480000001</v>
      </c>
      <c r="AV58" s="3">
        <v>376.92808000000002</v>
      </c>
      <c r="AW58" s="3">
        <v>2065.2998080000002</v>
      </c>
      <c r="AX58" s="3">
        <v>1298.6807650000001</v>
      </c>
      <c r="AY58" s="3">
        <v>1541.6513379999999</v>
      </c>
      <c r="AZ58" s="3">
        <v>879.04089599999998</v>
      </c>
      <c r="BA58" s="3">
        <v>461.6399232</v>
      </c>
      <c r="BB58" s="3">
        <v>779.70034880000003</v>
      </c>
      <c r="BC58" s="3">
        <v>214.0729216</v>
      </c>
      <c r="BD58" s="3">
        <v>1051.233978</v>
      </c>
      <c r="BE58" s="48" t="s">
        <v>311</v>
      </c>
      <c r="BF58" s="49" t="s">
        <v>331</v>
      </c>
      <c r="BG58" s="3">
        <v>0</v>
      </c>
      <c r="BH58" s="3">
        <v>0.73499999999999999</v>
      </c>
      <c r="BI58" s="3">
        <v>0.48549999999999999</v>
      </c>
      <c r="BJ58" s="3">
        <v>0</v>
      </c>
      <c r="BK58" s="3">
        <v>0.64800000000000002</v>
      </c>
      <c r="BL58" s="3">
        <v>0.51149999999999995</v>
      </c>
      <c r="BM58" s="3">
        <v>0</v>
      </c>
      <c r="BN58" s="3">
        <v>0.55600000000000005</v>
      </c>
      <c r="BO58" s="3">
        <v>0.38150000000000001</v>
      </c>
      <c r="BP58" s="3">
        <v>0</v>
      </c>
      <c r="BQ58" s="3">
        <v>0.79900000000000004</v>
      </c>
      <c r="BR58" s="3">
        <v>0.46166666699999998</v>
      </c>
      <c r="BS58" s="3">
        <v>0</v>
      </c>
      <c r="BT58" s="3">
        <v>0.95799999999999996</v>
      </c>
      <c r="BU58" s="3">
        <v>0.50724999999999998</v>
      </c>
      <c r="BV58" s="3">
        <v>0</v>
      </c>
      <c r="BW58" s="3">
        <v>0.54900000000000004</v>
      </c>
      <c r="BX58" s="3">
        <v>0.46899999999999997</v>
      </c>
      <c r="BY58" s="3">
        <v>0</v>
      </c>
      <c r="BZ58" s="3">
        <v>0.54900000000000004</v>
      </c>
      <c r="CA58" s="3">
        <v>0.33650000000000002</v>
      </c>
      <c r="CB58" s="3">
        <v>0</v>
      </c>
      <c r="CC58" s="3">
        <v>0.92800000000000005</v>
      </c>
      <c r="CD58" s="3">
        <v>0.52900000000000003</v>
      </c>
      <c r="CE58" s="3">
        <v>0</v>
      </c>
      <c r="CF58" s="3">
        <v>0.89900000000000002</v>
      </c>
      <c r="CG58" s="3">
        <v>0.54649999999999999</v>
      </c>
      <c r="CH58" s="3">
        <v>0</v>
      </c>
      <c r="CI58" s="3">
        <v>0.86899999999999999</v>
      </c>
      <c r="CJ58" s="3">
        <v>0.97733333300000003</v>
      </c>
      <c r="CK58" s="3">
        <v>0</v>
      </c>
      <c r="CL58" s="3">
        <v>0.65400000000000003</v>
      </c>
      <c r="CM58" s="3">
        <v>0.01</v>
      </c>
      <c r="CN58" s="3">
        <v>0</v>
      </c>
      <c r="CO58" s="3">
        <v>0.878</v>
      </c>
      <c r="CP58" s="3">
        <v>0.59033333300000002</v>
      </c>
      <c r="CQ58" s="3">
        <v>0</v>
      </c>
      <c r="CR58" s="3">
        <v>0.78500000000000003</v>
      </c>
      <c r="CS58" s="3">
        <v>0.875</v>
      </c>
      <c r="CT58" s="48" t="s">
        <v>311</v>
      </c>
      <c r="CU58" s="49" t="s">
        <v>331</v>
      </c>
      <c r="CV58" s="3">
        <v>1.736</v>
      </c>
      <c r="CW58" s="3">
        <v>2.16</v>
      </c>
      <c r="CX58" s="3">
        <v>2.181</v>
      </c>
      <c r="CY58" s="3">
        <v>1.462</v>
      </c>
      <c r="CZ58" s="3">
        <v>2.645</v>
      </c>
      <c r="DA58" s="3">
        <v>5.9169999999999998</v>
      </c>
      <c r="DB58" s="3">
        <v>1.04</v>
      </c>
      <c r="DC58" s="3">
        <v>5.6559999999999997</v>
      </c>
      <c r="DD58" s="3">
        <v>5.1390000000000002</v>
      </c>
      <c r="DE58" s="3">
        <v>4.1459999999999999</v>
      </c>
      <c r="DF58" s="3">
        <v>1.61</v>
      </c>
      <c r="DG58" s="3">
        <v>3.782</v>
      </c>
      <c r="DH58" s="3">
        <v>2.8140000000000001</v>
      </c>
    </row>
    <row r="59" spans="1:112" x14ac:dyDescent="0.3">
      <c r="A59" s="48" t="s">
        <v>311</v>
      </c>
      <c r="B59" s="49" t="s">
        <v>332</v>
      </c>
      <c r="C59" s="3">
        <v>70.133666500000004</v>
      </c>
      <c r="D59" s="3">
        <v>62.569281099999998</v>
      </c>
      <c r="E59" s="3">
        <v>37.292949</v>
      </c>
      <c r="F59" s="3">
        <v>29.1202389</v>
      </c>
      <c r="G59" s="3">
        <v>29.1202389</v>
      </c>
      <c r="H59" s="3">
        <v>74.938550000000006</v>
      </c>
      <c r="I59" s="48" t="s">
        <v>311</v>
      </c>
      <c r="J59" s="49" t="s">
        <v>332</v>
      </c>
      <c r="K59" s="3">
        <v>45329.5</v>
      </c>
      <c r="L59" s="48" t="s">
        <v>311</v>
      </c>
      <c r="M59" s="49" t="s">
        <v>332</v>
      </c>
      <c r="N59" s="3">
        <v>10018.217490000001</v>
      </c>
      <c r="O59" s="3">
        <v>11852.11688</v>
      </c>
      <c r="P59" s="3">
        <v>6976.3219989999998</v>
      </c>
      <c r="Q59" s="3">
        <v>6175.629543</v>
      </c>
      <c r="R59" s="3">
        <v>10166.992319999999</v>
      </c>
      <c r="S59" s="3">
        <v>11870.37098</v>
      </c>
      <c r="T59" s="3">
        <v>8661.8620200000005</v>
      </c>
      <c r="U59" s="3">
        <v>12025.23819</v>
      </c>
      <c r="V59" s="3">
        <v>9378.8476300000002</v>
      </c>
      <c r="W59" s="3">
        <v>4129.5005609999998</v>
      </c>
      <c r="X59" s="3">
        <v>9288.1298979999992</v>
      </c>
      <c r="Y59" s="3">
        <v>745.7490818</v>
      </c>
      <c r="Z59" s="3">
        <v>2000.0792819999999</v>
      </c>
      <c r="AA59" s="48" t="s">
        <v>311</v>
      </c>
      <c r="AB59" s="49" t="s">
        <v>332</v>
      </c>
      <c r="AC59" s="3">
        <v>1962.7693899999999</v>
      </c>
      <c r="AD59" s="3">
        <v>1938.5901960000001</v>
      </c>
      <c r="AE59" s="3">
        <v>1116.700773</v>
      </c>
      <c r="AF59" s="3">
        <v>357.94634630000002</v>
      </c>
      <c r="AG59" s="3">
        <v>3212.7658740000002</v>
      </c>
      <c r="AH59" s="3">
        <v>2609.0484959999999</v>
      </c>
      <c r="AI59" s="3">
        <v>2630.8525589999999</v>
      </c>
      <c r="AJ59" s="3">
        <v>2313.853791</v>
      </c>
      <c r="AK59" s="3">
        <v>938.1010301</v>
      </c>
      <c r="AL59" s="3">
        <v>1397.297366</v>
      </c>
      <c r="AM59" s="3">
        <v>2565.235236</v>
      </c>
      <c r="AN59" s="3">
        <v>317.66338450000001</v>
      </c>
      <c r="AO59" s="3">
        <v>969.49010009999995</v>
      </c>
      <c r="AP59" s="48" t="s">
        <v>311</v>
      </c>
      <c r="AQ59" s="49" t="s">
        <v>332</v>
      </c>
      <c r="AR59" s="3">
        <v>1144.926776</v>
      </c>
      <c r="AS59" s="3">
        <v>1552.2598640000001</v>
      </c>
      <c r="AT59" s="3">
        <v>1453.3646590000001</v>
      </c>
      <c r="AU59" s="3">
        <v>1401.205183</v>
      </c>
      <c r="AV59" s="3">
        <v>368.61349000000001</v>
      </c>
      <c r="AW59" s="3">
        <v>2019.741724</v>
      </c>
      <c r="AX59" s="3">
        <v>1279.652476</v>
      </c>
      <c r="AY59" s="3">
        <v>1507.644323</v>
      </c>
      <c r="AZ59" s="3">
        <v>859.65028800000005</v>
      </c>
      <c r="BA59" s="3">
        <v>451.4566896</v>
      </c>
      <c r="BB59" s="3">
        <v>762.50107639999999</v>
      </c>
      <c r="BC59" s="3">
        <v>209.35072479999999</v>
      </c>
      <c r="BD59" s="3">
        <v>1028.044993</v>
      </c>
      <c r="BE59" s="48" t="s">
        <v>311</v>
      </c>
      <c r="BF59" s="49" t="s">
        <v>332</v>
      </c>
      <c r="BG59" s="3">
        <v>3.0000000000000001E-3</v>
      </c>
      <c r="BH59" s="3">
        <v>0.69699999999999995</v>
      </c>
      <c r="BI59" s="3">
        <v>0.48349999999999999</v>
      </c>
      <c r="BJ59" s="3">
        <v>0</v>
      </c>
      <c r="BK59" s="3">
        <v>0.63100000000000001</v>
      </c>
      <c r="BL59" s="3">
        <v>0.51349999999999996</v>
      </c>
      <c r="BM59" s="3">
        <v>0</v>
      </c>
      <c r="BN59" s="3">
        <v>0.59099999999999997</v>
      </c>
      <c r="BO59" s="3">
        <v>0.38200000000000001</v>
      </c>
      <c r="BP59" s="3">
        <v>0</v>
      </c>
      <c r="BQ59" s="3">
        <v>0.76700000000000002</v>
      </c>
      <c r="BR59" s="3">
        <v>0.41933333299999997</v>
      </c>
      <c r="BS59" s="3">
        <v>3.0000000000000001E-3</v>
      </c>
      <c r="BT59" s="3">
        <v>0.94799999999999995</v>
      </c>
      <c r="BU59" s="3">
        <v>0.50308333400000005</v>
      </c>
      <c r="BV59" s="3">
        <v>0</v>
      </c>
      <c r="BW59" s="3">
        <v>0.55600000000000005</v>
      </c>
      <c r="BX59" s="3">
        <v>0.433</v>
      </c>
      <c r="BY59" s="3">
        <v>0</v>
      </c>
      <c r="BZ59" s="3">
        <v>0.55600000000000005</v>
      </c>
      <c r="CA59" s="3">
        <v>0.3715</v>
      </c>
      <c r="CB59" s="3">
        <v>2E-3</v>
      </c>
      <c r="CC59" s="3">
        <v>0.90100000000000002</v>
      </c>
      <c r="CD59" s="3">
        <v>0.52266666699999997</v>
      </c>
      <c r="CE59" s="3">
        <v>4.0000000000000001E-3</v>
      </c>
      <c r="CF59" s="3">
        <v>0.88300000000000001</v>
      </c>
      <c r="CG59" s="3">
        <v>0.48549999999999999</v>
      </c>
      <c r="CH59" s="3">
        <v>4.0000000000000001E-3</v>
      </c>
      <c r="CI59" s="3">
        <v>0.85299999999999998</v>
      </c>
      <c r="CJ59" s="3">
        <v>0.97966666700000005</v>
      </c>
      <c r="CK59" s="3">
        <v>0</v>
      </c>
      <c r="CL59" s="3">
        <v>0.623</v>
      </c>
      <c r="CM59" s="3">
        <v>0.01</v>
      </c>
      <c r="CN59" s="3">
        <v>0</v>
      </c>
      <c r="CO59" s="3">
        <v>0.86199999999999999</v>
      </c>
      <c r="CP59" s="3">
        <v>0.62033333300000004</v>
      </c>
      <c r="CQ59" s="3">
        <v>0</v>
      </c>
      <c r="CR59" s="3">
        <v>0.76900000000000002</v>
      </c>
      <c r="CS59" s="3">
        <v>0.89700000000000002</v>
      </c>
      <c r="CT59" s="48" t="s">
        <v>311</v>
      </c>
      <c r="CU59" s="49" t="s">
        <v>332</v>
      </c>
      <c r="CV59" s="3">
        <v>1.57</v>
      </c>
      <c r="CW59" s="3">
        <v>1.956</v>
      </c>
      <c r="CX59" s="3">
        <v>2.3170000000000002</v>
      </c>
      <c r="CY59" s="3">
        <v>1.865</v>
      </c>
      <c r="CZ59" s="3">
        <v>2.5270000000000001</v>
      </c>
      <c r="DA59" s="3">
        <v>5.9109999999999996</v>
      </c>
      <c r="DB59" s="3">
        <v>1.1120000000000001</v>
      </c>
      <c r="DC59" s="3">
        <v>5.4260000000000002</v>
      </c>
      <c r="DD59" s="3">
        <v>5.1429999999999998</v>
      </c>
      <c r="DE59" s="3">
        <v>4.1420000000000003</v>
      </c>
      <c r="DF59" s="3">
        <v>1.7490000000000001</v>
      </c>
      <c r="DG59" s="3">
        <v>3.6280000000000001</v>
      </c>
      <c r="DH59" s="3">
        <v>2.8559999999999999</v>
      </c>
    </row>
    <row r="60" spans="1:112" x14ac:dyDescent="0.3">
      <c r="A60" s="48" t="s">
        <v>311</v>
      </c>
      <c r="B60" s="49" t="s">
        <v>333</v>
      </c>
      <c r="C60" s="3">
        <v>71.791130899999999</v>
      </c>
      <c r="D60" s="3">
        <v>61.996221599999998</v>
      </c>
      <c r="E60" s="3">
        <v>40.369837699999998</v>
      </c>
      <c r="F60" s="3">
        <v>28.265057800000001</v>
      </c>
      <c r="G60" s="3">
        <v>28.265057800000001</v>
      </c>
      <c r="H60" s="3">
        <v>81.868161799999996</v>
      </c>
      <c r="I60" s="48" t="s">
        <v>311</v>
      </c>
      <c r="J60" s="49" t="s">
        <v>333</v>
      </c>
      <c r="K60" s="3">
        <v>45704</v>
      </c>
      <c r="L60" s="48" t="s">
        <v>311</v>
      </c>
      <c r="M60" s="49" t="s">
        <v>333</v>
      </c>
      <c r="N60" s="3">
        <v>8183.0503170000002</v>
      </c>
      <c r="O60" s="3">
        <v>10347.3145</v>
      </c>
      <c r="P60" s="3">
        <v>6134.0406970000004</v>
      </c>
      <c r="Q60" s="3">
        <v>5562.0253979999998</v>
      </c>
      <c r="R60" s="3">
        <v>8718.6998210000002</v>
      </c>
      <c r="S60" s="3">
        <v>10593.05992</v>
      </c>
      <c r="T60" s="3">
        <v>7833.1897580000004</v>
      </c>
      <c r="U60" s="3">
        <v>9663.7084439999999</v>
      </c>
      <c r="V60" s="3">
        <v>7520.0615260000004</v>
      </c>
      <c r="W60" s="3">
        <v>3470.1340799999998</v>
      </c>
      <c r="X60" s="3">
        <v>8137.1228140000003</v>
      </c>
      <c r="Y60" s="3">
        <v>618.61950130000002</v>
      </c>
      <c r="Z60" s="3">
        <v>1835.2189310000001</v>
      </c>
      <c r="AA60" s="48" t="s">
        <v>311</v>
      </c>
      <c r="AB60" s="49" t="s">
        <v>333</v>
      </c>
      <c r="AC60" s="3">
        <v>1776.1563410000001</v>
      </c>
      <c r="AD60" s="3">
        <v>1754.276018</v>
      </c>
      <c r="AE60" s="3">
        <v>1066.977547</v>
      </c>
      <c r="AF60" s="3">
        <v>342.0081045</v>
      </c>
      <c r="AG60" s="3">
        <v>2907.3076590000001</v>
      </c>
      <c r="AH60" s="3">
        <v>2360.9895550000001</v>
      </c>
      <c r="AI60" s="3">
        <v>2513.708846</v>
      </c>
      <c r="AJ60" s="3">
        <v>2093.860901</v>
      </c>
      <c r="AK60" s="3">
        <v>848.90976069999999</v>
      </c>
      <c r="AL60" s="3">
        <v>1264.4473620000001</v>
      </c>
      <c r="AM60" s="3">
        <v>2321.341903</v>
      </c>
      <c r="AN60" s="3">
        <v>287.46109330000002</v>
      </c>
      <c r="AO60" s="3">
        <v>877.31447089999995</v>
      </c>
      <c r="AP60" s="48" t="s">
        <v>311</v>
      </c>
      <c r="AQ60" s="49" t="s">
        <v>333</v>
      </c>
      <c r="AR60" s="3">
        <v>1097.5801799999999</v>
      </c>
      <c r="AS60" s="3">
        <v>1488.068667</v>
      </c>
      <c r="AT60" s="3">
        <v>1402.0376550000001</v>
      </c>
      <c r="AU60" s="3">
        <v>1351.720241</v>
      </c>
      <c r="AV60" s="3">
        <v>353.37007499999999</v>
      </c>
      <c r="AW60" s="3">
        <v>1936.21857</v>
      </c>
      <c r="AX60" s="3">
        <v>1234.460288</v>
      </c>
      <c r="AY60" s="3">
        <v>1445.298129</v>
      </c>
      <c r="AZ60" s="3">
        <v>824.10083999999995</v>
      </c>
      <c r="BA60" s="3">
        <v>432.78742799999998</v>
      </c>
      <c r="BB60" s="3">
        <v>730.96907699999997</v>
      </c>
      <c r="BC60" s="3">
        <v>200.693364</v>
      </c>
      <c r="BD60" s="3">
        <v>985.53185399999995</v>
      </c>
      <c r="BE60" s="48" t="s">
        <v>311</v>
      </c>
      <c r="BF60" s="49" t="s">
        <v>333</v>
      </c>
      <c r="BG60" s="3">
        <v>3.3000000000000002E-2</v>
      </c>
      <c r="BH60" s="3">
        <v>0.63100000000000001</v>
      </c>
      <c r="BI60" s="3">
        <v>0.47799999999999998</v>
      </c>
      <c r="BJ60" s="3">
        <v>1.9E-2</v>
      </c>
      <c r="BK60" s="3">
        <v>0.57699999999999996</v>
      </c>
      <c r="BL60" s="3">
        <v>0.51049999999999995</v>
      </c>
      <c r="BM60" s="3">
        <v>0.01</v>
      </c>
      <c r="BN60" s="3">
        <v>0.55700000000000005</v>
      </c>
      <c r="BO60" s="3">
        <v>0.36199999999999999</v>
      </c>
      <c r="BP60" s="3">
        <v>7.0000000000000001E-3</v>
      </c>
      <c r="BQ60" s="3">
        <v>0.72399999999999998</v>
      </c>
      <c r="BR60" s="3">
        <v>0.367666667</v>
      </c>
      <c r="BS60" s="3">
        <v>3.2000000000000001E-2</v>
      </c>
      <c r="BT60" s="3">
        <v>0.94099999999999995</v>
      </c>
      <c r="BU60" s="3">
        <v>0.49633333400000001</v>
      </c>
      <c r="BV60" s="3">
        <v>1.4999999999999999E-2</v>
      </c>
      <c r="BW60" s="3">
        <v>0.56399999999999995</v>
      </c>
      <c r="BX60" s="3">
        <v>0.39800000000000002</v>
      </c>
      <c r="BY60" s="3">
        <v>1E-3</v>
      </c>
      <c r="BZ60" s="3">
        <v>0.56399999999999995</v>
      </c>
      <c r="CA60" s="3">
        <v>0.38</v>
      </c>
      <c r="CB60" s="3">
        <v>2.1000000000000001E-2</v>
      </c>
      <c r="CC60" s="3">
        <v>0.88200000000000001</v>
      </c>
      <c r="CD60" s="3">
        <v>0.51466666699999997</v>
      </c>
      <c r="CE60" s="3">
        <v>5.5E-2</v>
      </c>
      <c r="CF60" s="3">
        <v>0.86099999999999999</v>
      </c>
      <c r="CG60" s="3">
        <v>0.44600000000000001</v>
      </c>
      <c r="CH60" s="3">
        <v>5.5E-2</v>
      </c>
      <c r="CI60" s="3">
        <v>0.83099999999999996</v>
      </c>
      <c r="CJ60" s="3">
        <v>0.97933333300000003</v>
      </c>
      <c r="CK60" s="3">
        <v>8.9999999999999993E-3</v>
      </c>
      <c r="CL60" s="3">
        <v>0.58799999999999997</v>
      </c>
      <c r="CM60" s="3">
        <v>0.01</v>
      </c>
      <c r="CN60" s="3">
        <v>2.9000000000000001E-2</v>
      </c>
      <c r="CO60" s="3">
        <v>0.83799999999999997</v>
      </c>
      <c r="CP60" s="3">
        <v>0.63300000000000001</v>
      </c>
      <c r="CQ60" s="3">
        <v>6.0000000000000001E-3</v>
      </c>
      <c r="CR60" s="3">
        <v>0.749</v>
      </c>
      <c r="CS60" s="3">
        <v>0.90100000000000002</v>
      </c>
      <c r="CT60" s="48" t="s">
        <v>311</v>
      </c>
      <c r="CU60" s="49" t="s">
        <v>333</v>
      </c>
      <c r="CV60" s="3">
        <v>1.921</v>
      </c>
      <c r="CW60" s="3">
        <v>2.1339999999999999</v>
      </c>
      <c r="CX60" s="3">
        <v>2.4929999999999999</v>
      </c>
      <c r="CY60" s="3">
        <v>2.4300000000000002</v>
      </c>
      <c r="CZ60" s="3">
        <v>3.0329999999999999</v>
      </c>
      <c r="DA60" s="3">
        <v>5.9710000000000001</v>
      </c>
      <c r="DB60" s="3">
        <v>1.3140000000000001</v>
      </c>
      <c r="DC60" s="3">
        <v>5.673</v>
      </c>
      <c r="DD60" s="3">
        <v>5.4119999999999999</v>
      </c>
      <c r="DE60" s="3">
        <v>4.3940000000000001</v>
      </c>
      <c r="DF60" s="3">
        <v>2.09</v>
      </c>
      <c r="DG60" s="3">
        <v>3.74</v>
      </c>
      <c r="DH60" s="3">
        <v>3.0259999999999998</v>
      </c>
    </row>
    <row r="61" spans="1:112" x14ac:dyDescent="0.3">
      <c r="A61" s="48" t="s">
        <v>311</v>
      </c>
      <c r="B61" s="49" t="s">
        <v>334</v>
      </c>
      <c r="C61" s="3">
        <v>62.789688599999998</v>
      </c>
      <c r="D61" s="3">
        <v>59.457127200000002</v>
      </c>
      <c r="E61" s="3">
        <v>37.381112000000002</v>
      </c>
      <c r="F61" s="3">
        <v>28.0534666</v>
      </c>
      <c r="G61" s="3">
        <v>28.0534666</v>
      </c>
      <c r="H61" s="3">
        <v>77.583439999999996</v>
      </c>
      <c r="I61" s="48" t="s">
        <v>311</v>
      </c>
      <c r="J61" s="49" t="s">
        <v>334</v>
      </c>
      <c r="K61" s="3">
        <v>45053</v>
      </c>
      <c r="L61" s="48" t="s">
        <v>311</v>
      </c>
      <c r="M61" s="49" t="s">
        <v>334</v>
      </c>
      <c r="N61" s="3">
        <v>6252.4902700000002</v>
      </c>
      <c r="O61" s="3">
        <v>8288.0513140000003</v>
      </c>
      <c r="P61" s="3">
        <v>5146.4099820000001</v>
      </c>
      <c r="Q61" s="3">
        <v>4813.122163</v>
      </c>
      <c r="R61" s="3">
        <v>6675.0569009999999</v>
      </c>
      <c r="S61" s="3">
        <v>8764.7166300000008</v>
      </c>
      <c r="T61" s="3">
        <v>6532.0635940000002</v>
      </c>
      <c r="U61" s="3">
        <v>7327.7182640000001</v>
      </c>
      <c r="V61" s="3">
        <v>5736.2615910000004</v>
      </c>
      <c r="W61" s="3">
        <v>3266.9439779999998</v>
      </c>
      <c r="X61" s="3">
        <v>6573.8354090000003</v>
      </c>
      <c r="Y61" s="3">
        <v>561.70996609999997</v>
      </c>
      <c r="Z61" s="3">
        <v>1710.5786439999999</v>
      </c>
      <c r="AA61" s="48" t="s">
        <v>311</v>
      </c>
      <c r="AB61" s="49" t="s">
        <v>334</v>
      </c>
      <c r="AC61" s="3">
        <v>1810.81305</v>
      </c>
      <c r="AD61" s="3">
        <v>1788.505793</v>
      </c>
      <c r="AE61" s="3">
        <v>1098.4689229999999</v>
      </c>
      <c r="AF61" s="3">
        <v>352.10232430000002</v>
      </c>
      <c r="AG61" s="3">
        <v>2964.035613</v>
      </c>
      <c r="AH61" s="3">
        <v>2407.057644</v>
      </c>
      <c r="AI61" s="3">
        <v>2587.899864</v>
      </c>
      <c r="AJ61" s="3">
        <v>2134.716723</v>
      </c>
      <c r="AK61" s="3">
        <v>865.47385359999998</v>
      </c>
      <c r="AL61" s="3">
        <v>1289.119506</v>
      </c>
      <c r="AM61" s="3">
        <v>2366.636379</v>
      </c>
      <c r="AN61" s="3">
        <v>293.07009019999998</v>
      </c>
      <c r="AO61" s="3">
        <v>894.4328021</v>
      </c>
      <c r="AP61" s="48" t="s">
        <v>311</v>
      </c>
      <c r="AQ61" s="49" t="s">
        <v>334</v>
      </c>
      <c r="AR61" s="3">
        <v>1048.0814660000001</v>
      </c>
      <c r="AS61" s="3">
        <v>1420.9596879999999</v>
      </c>
      <c r="AT61" s="3">
        <v>1318.293594</v>
      </c>
      <c r="AU61" s="3">
        <v>1270.9816530000001</v>
      </c>
      <c r="AV61" s="3">
        <v>337.43377750000002</v>
      </c>
      <c r="AW61" s="3">
        <v>1848.898909</v>
      </c>
      <c r="AX61" s="3">
        <v>1160.725666</v>
      </c>
      <c r="AY61" s="3">
        <v>1380.118017</v>
      </c>
      <c r="AZ61" s="3">
        <v>786.93550800000003</v>
      </c>
      <c r="BA61" s="3">
        <v>413.26956360000003</v>
      </c>
      <c r="BB61" s="3">
        <v>698.00380489999998</v>
      </c>
      <c r="BC61" s="3">
        <v>191.6424868</v>
      </c>
      <c r="BD61" s="3">
        <v>941.08629980000001</v>
      </c>
      <c r="BE61" s="48" t="s">
        <v>311</v>
      </c>
      <c r="BF61" s="49" t="s">
        <v>334</v>
      </c>
      <c r="BG61" s="3">
        <v>6.4000000000000001E-2</v>
      </c>
      <c r="BH61" s="3">
        <v>0.628</v>
      </c>
      <c r="BI61" s="3">
        <v>0.45250000000000001</v>
      </c>
      <c r="BJ61" s="3">
        <v>4.2000000000000003E-2</v>
      </c>
      <c r="BK61" s="3">
        <v>0.52</v>
      </c>
      <c r="BL61" s="3">
        <v>0.46750000000000003</v>
      </c>
      <c r="BM61" s="3">
        <v>3.5000000000000003E-2</v>
      </c>
      <c r="BN61" s="3">
        <v>0.503</v>
      </c>
      <c r="BO61" s="3">
        <v>0.318</v>
      </c>
      <c r="BP61" s="3">
        <v>2.7E-2</v>
      </c>
      <c r="BQ61" s="3">
        <v>0.71299999999999997</v>
      </c>
      <c r="BR61" s="3">
        <v>0.32066666700000002</v>
      </c>
      <c r="BS61" s="3">
        <v>8.2000000000000003E-2</v>
      </c>
      <c r="BT61" s="3">
        <v>0.94399999999999995</v>
      </c>
      <c r="BU61" s="3">
        <v>0.47875000000000001</v>
      </c>
      <c r="BV61" s="3">
        <v>3.6999999999999998E-2</v>
      </c>
      <c r="BW61" s="3">
        <v>0.53600000000000003</v>
      </c>
      <c r="BX61" s="3">
        <v>0.36</v>
      </c>
      <c r="BY61" s="3">
        <v>1.4999999999999999E-2</v>
      </c>
      <c r="BZ61" s="3">
        <v>0.53600000000000003</v>
      </c>
      <c r="CA61" s="3">
        <v>0.375</v>
      </c>
      <c r="CB61" s="3">
        <v>6.3E-2</v>
      </c>
      <c r="CC61" s="3">
        <v>0.86</v>
      </c>
      <c r="CD61" s="3">
        <v>0.505</v>
      </c>
      <c r="CE61" s="3">
        <v>0.09</v>
      </c>
      <c r="CF61" s="3">
        <v>0.84499999999999997</v>
      </c>
      <c r="CG61" s="3">
        <v>0.45550000000000002</v>
      </c>
      <c r="CH61" s="3">
        <v>8.7999999999999995E-2</v>
      </c>
      <c r="CI61" s="3">
        <v>0.81699999999999995</v>
      </c>
      <c r="CJ61" s="3">
        <v>0.97699999999999998</v>
      </c>
      <c r="CK61" s="3">
        <v>2.1000000000000001E-2</v>
      </c>
      <c r="CL61" s="3">
        <v>0.55400000000000005</v>
      </c>
      <c r="CM61" s="3">
        <v>0.01</v>
      </c>
      <c r="CN61" s="3">
        <v>5.8000000000000003E-2</v>
      </c>
      <c r="CO61" s="3">
        <v>0.81699999999999995</v>
      </c>
      <c r="CP61" s="3">
        <v>0.64700000000000002</v>
      </c>
      <c r="CQ61" s="3">
        <v>1.2E-2</v>
      </c>
      <c r="CR61" s="3">
        <v>0.73199999999999998</v>
      </c>
      <c r="CS61" s="3">
        <v>0.90200000000000002</v>
      </c>
      <c r="CT61" s="48" t="s">
        <v>311</v>
      </c>
      <c r="CU61" s="49" t="s">
        <v>334</v>
      </c>
      <c r="CV61" s="3">
        <v>2.8069999999999999</v>
      </c>
      <c r="CW61" s="3">
        <v>2.6539999999999999</v>
      </c>
      <c r="CX61" s="3">
        <v>2.8769999999999998</v>
      </c>
      <c r="CY61" s="3">
        <v>2.9209999999999998</v>
      </c>
      <c r="CZ61" s="3">
        <v>3.7429999999999999</v>
      </c>
      <c r="DA61" s="3">
        <v>6.0609999999999999</v>
      </c>
      <c r="DB61" s="3">
        <v>1.331</v>
      </c>
      <c r="DC61" s="3">
        <v>6.077</v>
      </c>
      <c r="DD61" s="3">
        <v>5.681</v>
      </c>
      <c r="DE61" s="3">
        <v>4.7919999999999998</v>
      </c>
      <c r="DF61" s="3">
        <v>2.6240000000000001</v>
      </c>
      <c r="DG61" s="3">
        <v>4.0640000000000001</v>
      </c>
      <c r="DH61" s="3">
        <v>3.306</v>
      </c>
    </row>
    <row r="62" spans="1:112" x14ac:dyDescent="0.3">
      <c r="A62" s="48" t="s">
        <v>311</v>
      </c>
      <c r="B62" s="49" t="s">
        <v>335</v>
      </c>
      <c r="C62" s="3">
        <v>68.361590199999995</v>
      </c>
      <c r="D62" s="3">
        <v>55.815995299999997</v>
      </c>
      <c r="E62" s="3">
        <v>35.2652</v>
      </c>
      <c r="F62" s="3">
        <v>27.806610200000001</v>
      </c>
      <c r="G62" s="3">
        <v>27.806610200000001</v>
      </c>
      <c r="H62" s="3">
        <v>71.870477600000001</v>
      </c>
      <c r="I62" s="48" t="s">
        <v>311</v>
      </c>
      <c r="J62" s="49" t="s">
        <v>335</v>
      </c>
      <c r="K62" s="3">
        <v>44871</v>
      </c>
      <c r="L62" s="48" t="s">
        <v>311</v>
      </c>
      <c r="M62" s="49" t="s">
        <v>335</v>
      </c>
      <c r="N62" s="3">
        <v>5016.3195340000002</v>
      </c>
      <c r="O62" s="3">
        <v>6970.7071569999998</v>
      </c>
      <c r="P62" s="3">
        <v>4698.8781179999996</v>
      </c>
      <c r="Q62" s="3">
        <v>4351.9695190000002</v>
      </c>
      <c r="R62" s="3">
        <v>5647.8070470000002</v>
      </c>
      <c r="S62" s="3">
        <v>7475.0273139999999</v>
      </c>
      <c r="T62" s="3">
        <v>5896.9064820000003</v>
      </c>
      <c r="U62" s="3">
        <v>6160.4142860000002</v>
      </c>
      <c r="V62" s="3">
        <v>4905.9630299999999</v>
      </c>
      <c r="W62" s="3">
        <v>3313.1221289999999</v>
      </c>
      <c r="X62" s="3">
        <v>5545.0570530000005</v>
      </c>
      <c r="Y62" s="3">
        <v>560.41514959999995</v>
      </c>
      <c r="Z62" s="3">
        <v>1522.9155780000001</v>
      </c>
      <c r="AA62" s="48" t="s">
        <v>311</v>
      </c>
      <c r="AB62" s="49" t="s">
        <v>335</v>
      </c>
      <c r="AC62" s="3">
        <v>1883.0256360000001</v>
      </c>
      <c r="AD62" s="3">
        <v>1859.828798</v>
      </c>
      <c r="AE62" s="3">
        <v>1168.205747</v>
      </c>
      <c r="AF62" s="3">
        <v>374.45570839999999</v>
      </c>
      <c r="AG62" s="3">
        <v>3082.2370329999999</v>
      </c>
      <c r="AH62" s="3">
        <v>2503.047595</v>
      </c>
      <c r="AI62" s="3">
        <v>2752.1939219999999</v>
      </c>
      <c r="AJ62" s="3">
        <v>2219.8461149999998</v>
      </c>
      <c r="AK62" s="3">
        <v>899.98768949999999</v>
      </c>
      <c r="AL62" s="3">
        <v>1340.5277129999999</v>
      </c>
      <c r="AM62" s="3">
        <v>2461.0143889999999</v>
      </c>
      <c r="AN62" s="3">
        <v>304.7572983</v>
      </c>
      <c r="AO62" s="3">
        <v>930.10147859999995</v>
      </c>
      <c r="AP62" s="48" t="s">
        <v>311</v>
      </c>
      <c r="AQ62" s="49" t="s">
        <v>335</v>
      </c>
      <c r="AR62" s="3">
        <v>987.82216200000005</v>
      </c>
      <c r="AS62" s="3">
        <v>1339.2618</v>
      </c>
      <c r="AT62" s="3">
        <v>1250.7580620000001</v>
      </c>
      <c r="AU62" s="3">
        <v>1205.8698879999999</v>
      </c>
      <c r="AV62" s="3">
        <v>318.03306750000002</v>
      </c>
      <c r="AW62" s="3">
        <v>1742.5967129999999</v>
      </c>
      <c r="AX62" s="3">
        <v>1101.2622610000001</v>
      </c>
      <c r="AY62" s="3">
        <v>1300.7683159999999</v>
      </c>
      <c r="AZ62" s="3">
        <v>741.69075599999996</v>
      </c>
      <c r="BA62" s="3">
        <v>389.5086852</v>
      </c>
      <c r="BB62" s="3">
        <v>657.8721693</v>
      </c>
      <c r="BC62" s="3">
        <v>180.62402760000001</v>
      </c>
      <c r="BD62" s="3">
        <v>886.97866859999999</v>
      </c>
      <c r="BE62" s="48" t="s">
        <v>311</v>
      </c>
      <c r="BF62" s="49" t="s">
        <v>335</v>
      </c>
      <c r="BG62" s="3">
        <v>8.1000000000000003E-2</v>
      </c>
      <c r="BH62" s="3">
        <v>0.63500000000000001</v>
      </c>
      <c r="BI62" s="3">
        <v>0.42599999999999999</v>
      </c>
      <c r="BJ62" s="3">
        <v>5.5E-2</v>
      </c>
      <c r="BK62" s="3">
        <v>0.50600000000000001</v>
      </c>
      <c r="BL62" s="3">
        <v>0.43099999999999999</v>
      </c>
      <c r="BM62" s="3">
        <v>5.1999999999999998E-2</v>
      </c>
      <c r="BN62" s="3">
        <v>0.51300000000000001</v>
      </c>
      <c r="BO62" s="3">
        <v>0.28449999999999998</v>
      </c>
      <c r="BP62" s="3">
        <v>4.3999999999999997E-2</v>
      </c>
      <c r="BQ62" s="3">
        <v>0.64700000000000002</v>
      </c>
      <c r="BR62" s="3">
        <v>0.28766666699999999</v>
      </c>
      <c r="BS62" s="3">
        <v>0.112</v>
      </c>
      <c r="BT62" s="3">
        <v>0.94399999999999995</v>
      </c>
      <c r="BU62" s="3">
        <v>0.46266666699999998</v>
      </c>
      <c r="BV62" s="3">
        <v>4.4999999999999998E-2</v>
      </c>
      <c r="BW62" s="3">
        <v>0.47599999999999998</v>
      </c>
      <c r="BX62" s="3">
        <v>0.33600000000000002</v>
      </c>
      <c r="BY62" s="3">
        <v>2.9000000000000001E-2</v>
      </c>
      <c r="BZ62" s="3">
        <v>0.47599999999999998</v>
      </c>
      <c r="CA62" s="3">
        <v>0.38400000000000001</v>
      </c>
      <c r="CB62" s="3">
        <v>9.2999999999999999E-2</v>
      </c>
      <c r="CC62" s="3">
        <v>0.85</v>
      </c>
      <c r="CD62" s="3">
        <v>0.49933333299999999</v>
      </c>
      <c r="CE62" s="3">
        <v>9.4E-2</v>
      </c>
      <c r="CF62" s="3">
        <v>0.82599999999999996</v>
      </c>
      <c r="CG62" s="3">
        <v>0.48199999999999998</v>
      </c>
      <c r="CH62" s="3">
        <v>9.1999999999999998E-2</v>
      </c>
      <c r="CI62" s="3">
        <v>0.80800000000000005</v>
      </c>
      <c r="CJ62" s="3">
        <v>0.96899999999999997</v>
      </c>
      <c r="CK62" s="3">
        <v>3.6999999999999998E-2</v>
      </c>
      <c r="CL62" s="3">
        <v>0.54200000000000004</v>
      </c>
      <c r="CM62" s="3">
        <v>0.01</v>
      </c>
      <c r="CN62" s="3">
        <v>5.5E-2</v>
      </c>
      <c r="CO62" s="3">
        <v>0.78800000000000003</v>
      </c>
      <c r="CP62" s="3">
        <v>0.65133333299999996</v>
      </c>
      <c r="CQ62" s="3">
        <v>0.02</v>
      </c>
      <c r="CR62" s="3">
        <v>0.71399999999999997</v>
      </c>
      <c r="CS62" s="3">
        <v>0.9</v>
      </c>
      <c r="CT62" s="48" t="s">
        <v>311</v>
      </c>
      <c r="CU62" s="49" t="s">
        <v>335</v>
      </c>
      <c r="CV62" s="3">
        <v>3.8039999999999998</v>
      </c>
      <c r="CW62" s="3">
        <v>3.3170000000000002</v>
      </c>
      <c r="CX62" s="3">
        <v>3.347</v>
      </c>
      <c r="CY62" s="3">
        <v>3.331</v>
      </c>
      <c r="CZ62" s="3">
        <v>4.3259999999999996</v>
      </c>
      <c r="DA62" s="3">
        <v>6.2530000000000001</v>
      </c>
      <c r="DB62" s="3">
        <v>1.4910000000000001</v>
      </c>
      <c r="DC62" s="3">
        <v>6.3209999999999997</v>
      </c>
      <c r="DD62" s="3">
        <v>5.9539999999999997</v>
      </c>
      <c r="DE62" s="3">
        <v>5.0880000000000001</v>
      </c>
      <c r="DF62" s="3">
        <v>3.258</v>
      </c>
      <c r="DG62" s="3">
        <v>4.3810000000000002</v>
      </c>
      <c r="DH62" s="3">
        <v>3.5550000000000002</v>
      </c>
    </row>
    <row r="63" spans="1:112" x14ac:dyDescent="0.3">
      <c r="A63" s="48" t="s">
        <v>311</v>
      </c>
      <c r="B63" s="49" t="s">
        <v>336</v>
      </c>
      <c r="C63" s="3">
        <v>63.239319899999998</v>
      </c>
      <c r="D63" s="3">
        <v>55.630853000000002</v>
      </c>
      <c r="E63" s="3">
        <v>37.381112000000002</v>
      </c>
      <c r="F63" s="3">
        <v>27.736079799999999</v>
      </c>
      <c r="G63" s="3">
        <v>27.736079799999999</v>
      </c>
      <c r="H63" s="3">
        <v>71.826396099999997</v>
      </c>
      <c r="I63" s="48" t="s">
        <v>311</v>
      </c>
      <c r="J63" s="49" t="s">
        <v>336</v>
      </c>
      <c r="K63" s="3">
        <v>44227</v>
      </c>
      <c r="L63" s="48" t="s">
        <v>311</v>
      </c>
      <c r="M63" s="49" t="s">
        <v>336</v>
      </c>
      <c r="N63" s="3">
        <v>4790.9623419999998</v>
      </c>
      <c r="O63" s="3">
        <v>6572.0605500000001</v>
      </c>
      <c r="P63" s="3">
        <v>4645.7570750000004</v>
      </c>
      <c r="Q63" s="3">
        <v>4316.9289369999997</v>
      </c>
      <c r="R63" s="3">
        <v>5587.0796060000002</v>
      </c>
      <c r="S63" s="3">
        <v>7278.9509239999998</v>
      </c>
      <c r="T63" s="3">
        <v>6023.6857040000004</v>
      </c>
      <c r="U63" s="3">
        <v>5879.1887630000001</v>
      </c>
      <c r="V63" s="3">
        <v>4589.5532489999996</v>
      </c>
      <c r="W63" s="3">
        <v>3328.5187289999999</v>
      </c>
      <c r="X63" s="3">
        <v>5401.1622200000002</v>
      </c>
      <c r="Y63" s="3">
        <v>590.66048590000003</v>
      </c>
      <c r="Z63" s="3">
        <v>1717.9273519999999</v>
      </c>
      <c r="AA63" s="48" t="s">
        <v>311</v>
      </c>
      <c r="AB63" s="49" t="s">
        <v>336</v>
      </c>
      <c r="AC63" s="3">
        <v>1786.25344</v>
      </c>
      <c r="AD63" s="3">
        <v>1764.2487309999999</v>
      </c>
      <c r="AE63" s="3">
        <v>1113.0544030000001</v>
      </c>
      <c r="AF63" s="3">
        <v>356.77754190000002</v>
      </c>
      <c r="AG63" s="3">
        <v>2923.8351299999999</v>
      </c>
      <c r="AH63" s="3">
        <v>2374.4113160000002</v>
      </c>
      <c r="AI63" s="3">
        <v>2622.2620200000001</v>
      </c>
      <c r="AJ63" s="3">
        <v>2105.764087</v>
      </c>
      <c r="AK63" s="3">
        <v>853.73564550000003</v>
      </c>
      <c r="AL63" s="3">
        <v>1271.6354960000001</v>
      </c>
      <c r="AM63" s="3">
        <v>2334.538274</v>
      </c>
      <c r="AN63" s="3">
        <v>289.09525300000001</v>
      </c>
      <c r="AO63" s="3">
        <v>882.30183090000003</v>
      </c>
      <c r="AP63" s="48" t="s">
        <v>311</v>
      </c>
      <c r="AQ63" s="49" t="s">
        <v>336</v>
      </c>
      <c r="AR63" s="3">
        <v>934.01921200000004</v>
      </c>
      <c r="AS63" s="3">
        <v>1266.317258</v>
      </c>
      <c r="AT63" s="3">
        <v>1210.236742</v>
      </c>
      <c r="AU63" s="3">
        <v>1166.802829</v>
      </c>
      <c r="AV63" s="3">
        <v>300.711005</v>
      </c>
      <c r="AW63" s="3">
        <v>1647.6840380000001</v>
      </c>
      <c r="AX63" s="3">
        <v>1065.584218</v>
      </c>
      <c r="AY63" s="3">
        <v>1229.9203689999999</v>
      </c>
      <c r="AZ63" s="3">
        <v>701.29365600000006</v>
      </c>
      <c r="BA63" s="3">
        <v>368.29361519999998</v>
      </c>
      <c r="BB63" s="3">
        <v>622.04035180000005</v>
      </c>
      <c r="BC63" s="3">
        <v>170.78611760000001</v>
      </c>
      <c r="BD63" s="3">
        <v>838.6682836</v>
      </c>
      <c r="BE63" s="48" t="s">
        <v>311</v>
      </c>
      <c r="BF63" s="49" t="s">
        <v>336</v>
      </c>
      <c r="BG63" s="3">
        <v>6.7000000000000004E-2</v>
      </c>
      <c r="BH63" s="3">
        <v>0.61899999999999999</v>
      </c>
      <c r="BI63" s="3">
        <v>0.4</v>
      </c>
      <c r="BJ63" s="3">
        <v>4.9000000000000002E-2</v>
      </c>
      <c r="BK63" s="3">
        <v>0.505</v>
      </c>
      <c r="BL63" s="3">
        <v>0.41499999999999998</v>
      </c>
      <c r="BM63" s="3">
        <v>5.0999999999999997E-2</v>
      </c>
      <c r="BN63" s="3">
        <v>0.52300000000000002</v>
      </c>
      <c r="BO63" s="3">
        <v>0.25850000000000001</v>
      </c>
      <c r="BP63" s="3">
        <v>4.4999999999999998E-2</v>
      </c>
      <c r="BQ63" s="3">
        <v>0.628</v>
      </c>
      <c r="BR63" s="3">
        <v>0.25966666700000002</v>
      </c>
      <c r="BS63" s="3">
        <v>0.09</v>
      </c>
      <c r="BT63" s="3">
        <v>0.93300000000000005</v>
      </c>
      <c r="BU63" s="3">
        <v>0.44066666700000001</v>
      </c>
      <c r="BV63" s="3">
        <v>3.5000000000000003E-2</v>
      </c>
      <c r="BW63" s="3">
        <v>0.41899999999999998</v>
      </c>
      <c r="BX63" s="3">
        <v>0.33300000000000002</v>
      </c>
      <c r="BY63" s="3">
        <v>3.9E-2</v>
      </c>
      <c r="BZ63" s="3">
        <v>0.41899999999999998</v>
      </c>
      <c r="CA63" s="3">
        <v>0.39750000000000002</v>
      </c>
      <c r="CB63" s="3">
        <v>9.0999999999999998E-2</v>
      </c>
      <c r="CC63" s="3">
        <v>0.84499999999999997</v>
      </c>
      <c r="CD63" s="3">
        <v>0.48133333299999997</v>
      </c>
      <c r="CE63" s="3">
        <v>6.9000000000000006E-2</v>
      </c>
      <c r="CF63" s="3">
        <v>0.80500000000000005</v>
      </c>
      <c r="CG63" s="3">
        <v>0.50849999999999995</v>
      </c>
      <c r="CH63" s="3">
        <v>6.7000000000000004E-2</v>
      </c>
      <c r="CI63" s="3">
        <v>0.78700000000000003</v>
      </c>
      <c r="CJ63" s="3">
        <v>0.94399999999999995</v>
      </c>
      <c r="CK63" s="3">
        <v>4.8000000000000001E-2</v>
      </c>
      <c r="CL63" s="3">
        <v>0.51800000000000002</v>
      </c>
      <c r="CM63" s="3">
        <v>0.01</v>
      </c>
      <c r="CN63" s="3">
        <v>4.2999999999999997E-2</v>
      </c>
      <c r="CO63" s="3">
        <v>0.76</v>
      </c>
      <c r="CP63" s="3">
        <v>0.61833333300000004</v>
      </c>
      <c r="CQ63" s="3">
        <v>3.2000000000000001E-2</v>
      </c>
      <c r="CR63" s="3">
        <v>0.70199999999999996</v>
      </c>
      <c r="CS63" s="3">
        <v>0.90500000000000003</v>
      </c>
      <c r="CT63" s="48" t="s">
        <v>311</v>
      </c>
      <c r="CU63" s="49" t="s">
        <v>336</v>
      </c>
      <c r="CV63" s="3">
        <v>4.3819999999999997</v>
      </c>
      <c r="CW63" s="3">
        <v>3.948</v>
      </c>
      <c r="CX63" s="3">
        <v>3.7130000000000001</v>
      </c>
      <c r="CY63" s="3">
        <v>3.468</v>
      </c>
      <c r="CZ63" s="3">
        <v>4.6760000000000002</v>
      </c>
      <c r="DA63" s="3">
        <v>6.4219999999999997</v>
      </c>
      <c r="DB63" s="3">
        <v>1.5649999999999999</v>
      </c>
      <c r="DC63" s="3">
        <v>6.399</v>
      </c>
      <c r="DD63" s="3">
        <v>6.0209999999999999</v>
      </c>
      <c r="DE63" s="3">
        <v>5.1829999999999998</v>
      </c>
      <c r="DF63" s="3">
        <v>3.7450000000000001</v>
      </c>
      <c r="DG63" s="3">
        <v>4.5519999999999996</v>
      </c>
      <c r="DH63" s="3">
        <v>3.66</v>
      </c>
    </row>
    <row r="64" spans="1:112" x14ac:dyDescent="0.3">
      <c r="A64" s="48" t="s">
        <v>311</v>
      </c>
      <c r="B64" s="49" t="s">
        <v>337</v>
      </c>
      <c r="C64" s="3">
        <v>62.666260399999999</v>
      </c>
      <c r="D64" s="3">
        <v>54.008653799999998</v>
      </c>
      <c r="E64" s="3">
        <v>36.234993000000003</v>
      </c>
      <c r="F64" s="3">
        <v>27.9917525</v>
      </c>
      <c r="G64" s="3">
        <v>27.9917525</v>
      </c>
      <c r="H64" s="3">
        <v>68.696609600000002</v>
      </c>
      <c r="I64" s="48" t="s">
        <v>311</v>
      </c>
      <c r="J64" s="49" t="s">
        <v>337</v>
      </c>
      <c r="K64" s="3">
        <v>44712</v>
      </c>
      <c r="L64" s="48" t="s">
        <v>311</v>
      </c>
      <c r="M64" s="49" t="s">
        <v>337</v>
      </c>
      <c r="N64" s="3">
        <v>4832.0452649999997</v>
      </c>
      <c r="O64" s="3">
        <v>6703.1703500000003</v>
      </c>
      <c r="P64" s="3">
        <v>4675.0692989999998</v>
      </c>
      <c r="Q64" s="3">
        <v>4441.3563100000001</v>
      </c>
      <c r="R64" s="3">
        <v>5627.4347580000003</v>
      </c>
      <c r="S64" s="3">
        <v>7281.7064520000004</v>
      </c>
      <c r="T64" s="3">
        <v>5982.9821119999997</v>
      </c>
      <c r="U64" s="3">
        <v>6007.0470349999996</v>
      </c>
      <c r="V64" s="3">
        <v>4594.5309770000003</v>
      </c>
      <c r="W64" s="3">
        <v>3354.6731340000001</v>
      </c>
      <c r="X64" s="3">
        <v>5261.0747300000003</v>
      </c>
      <c r="Y64" s="3">
        <v>642.50974510000003</v>
      </c>
      <c r="Z64" s="3">
        <v>1987.368213</v>
      </c>
      <c r="AA64" s="48" t="s">
        <v>311</v>
      </c>
      <c r="AB64" s="49" t="s">
        <v>337</v>
      </c>
      <c r="AC64" s="3">
        <v>1725.770818</v>
      </c>
      <c r="AD64" s="3">
        <v>1704.5111890000001</v>
      </c>
      <c r="AE64" s="3">
        <v>1113.0544030000001</v>
      </c>
      <c r="AF64" s="3">
        <v>356.77754190000002</v>
      </c>
      <c r="AG64" s="3">
        <v>2824.83394</v>
      </c>
      <c r="AH64" s="3">
        <v>2294.0136419999999</v>
      </c>
      <c r="AI64" s="3">
        <v>2622.2620200000001</v>
      </c>
      <c r="AJ64" s="3">
        <v>2034.46282</v>
      </c>
      <c r="AK64" s="3">
        <v>824.82811800000002</v>
      </c>
      <c r="AL64" s="3">
        <v>1228.577861</v>
      </c>
      <c r="AM64" s="3">
        <v>2255.4907029999999</v>
      </c>
      <c r="AN64" s="3">
        <v>279.30647470000002</v>
      </c>
      <c r="AO64" s="3">
        <v>852.42705100000001</v>
      </c>
      <c r="AP64" s="48" t="s">
        <v>311</v>
      </c>
      <c r="AQ64" s="49" t="s">
        <v>337</v>
      </c>
      <c r="AR64" s="3">
        <v>918.954386</v>
      </c>
      <c r="AS64" s="3">
        <v>1245.8927859999999</v>
      </c>
      <c r="AT64" s="3">
        <v>1175.1182659999999</v>
      </c>
      <c r="AU64" s="3">
        <v>1132.9447110000001</v>
      </c>
      <c r="AV64" s="3">
        <v>295.86082750000003</v>
      </c>
      <c r="AW64" s="3">
        <v>1621.108489</v>
      </c>
      <c r="AX64" s="3">
        <v>1034.663247</v>
      </c>
      <c r="AY64" s="3">
        <v>1210.0829429999999</v>
      </c>
      <c r="AZ64" s="3">
        <v>689.98246800000004</v>
      </c>
      <c r="BA64" s="3">
        <v>362.3533956</v>
      </c>
      <c r="BB64" s="3">
        <v>612.0074429</v>
      </c>
      <c r="BC64" s="3">
        <v>168.0315028</v>
      </c>
      <c r="BD64" s="3">
        <v>825.14137579999999</v>
      </c>
      <c r="BE64" s="48" t="s">
        <v>311</v>
      </c>
      <c r="BF64" s="49" t="s">
        <v>337</v>
      </c>
      <c r="BG64" s="3">
        <v>4.4999999999999998E-2</v>
      </c>
      <c r="BH64" s="3">
        <v>0.59399999999999997</v>
      </c>
      <c r="BI64" s="3">
        <v>0.378</v>
      </c>
      <c r="BJ64" s="3">
        <v>2.9000000000000001E-2</v>
      </c>
      <c r="BK64" s="3">
        <v>0.51</v>
      </c>
      <c r="BL64" s="3">
        <v>0.39300000000000002</v>
      </c>
      <c r="BM64" s="3">
        <v>3.1E-2</v>
      </c>
      <c r="BN64" s="3">
        <v>0.56899999999999995</v>
      </c>
      <c r="BO64" s="3">
        <v>0.23599999999999999</v>
      </c>
      <c r="BP64" s="3">
        <v>3.3000000000000002E-2</v>
      </c>
      <c r="BQ64" s="3">
        <v>0.58699999999999997</v>
      </c>
      <c r="BR64" s="3">
        <v>0.23400000000000001</v>
      </c>
      <c r="BS64" s="3">
        <v>5.1999999999999998E-2</v>
      </c>
      <c r="BT64" s="3">
        <v>0.91500000000000004</v>
      </c>
      <c r="BU64" s="3">
        <v>0.40749999999999997</v>
      </c>
      <c r="BV64" s="3">
        <v>0.02</v>
      </c>
      <c r="BW64" s="3">
        <v>0.38</v>
      </c>
      <c r="BX64" s="3">
        <v>0.32400000000000001</v>
      </c>
      <c r="BY64" s="3">
        <v>3.3000000000000002E-2</v>
      </c>
      <c r="BZ64" s="3">
        <v>0.38</v>
      </c>
      <c r="CA64" s="3">
        <v>0.439</v>
      </c>
      <c r="CB64" s="3">
        <v>0.06</v>
      </c>
      <c r="CC64" s="3">
        <v>0.81299999999999994</v>
      </c>
      <c r="CD64" s="3">
        <v>0.437</v>
      </c>
      <c r="CE64" s="3">
        <v>4.3999999999999997E-2</v>
      </c>
      <c r="CF64" s="3">
        <v>0.77900000000000003</v>
      </c>
      <c r="CG64" s="3">
        <v>0.52900000000000003</v>
      </c>
      <c r="CH64" s="3">
        <v>4.2999999999999997E-2</v>
      </c>
      <c r="CI64" s="3">
        <v>0.749</v>
      </c>
      <c r="CJ64" s="3">
        <v>0.90433333299999996</v>
      </c>
      <c r="CK64" s="3">
        <v>3.2000000000000001E-2</v>
      </c>
      <c r="CL64" s="3">
        <v>0.49199999999999999</v>
      </c>
      <c r="CM64" s="3">
        <v>0.01</v>
      </c>
      <c r="CN64" s="3">
        <v>0.03</v>
      </c>
      <c r="CO64" s="3">
        <v>0.71799999999999997</v>
      </c>
      <c r="CP64" s="3">
        <v>0.60033333300000002</v>
      </c>
      <c r="CQ64" s="3">
        <v>3.1E-2</v>
      </c>
      <c r="CR64" s="3">
        <v>0.70199999999999996</v>
      </c>
      <c r="CS64" s="3">
        <v>0.88600000000000001</v>
      </c>
      <c r="CT64" s="48" t="s">
        <v>311</v>
      </c>
      <c r="CU64" s="49" t="s">
        <v>337</v>
      </c>
      <c r="CV64" s="3">
        <v>4.5389999999999997</v>
      </c>
      <c r="CW64" s="3">
        <v>4.2619999999999996</v>
      </c>
      <c r="CX64" s="3">
        <v>3.93</v>
      </c>
      <c r="CY64" s="3">
        <v>3.3969999999999998</v>
      </c>
      <c r="CZ64" s="3">
        <v>4.7119999999999997</v>
      </c>
      <c r="DA64" s="3">
        <v>6.4850000000000003</v>
      </c>
      <c r="DB64" s="3">
        <v>1.7310000000000001</v>
      </c>
      <c r="DC64" s="3">
        <v>6.37</v>
      </c>
      <c r="DD64" s="3">
        <v>5.883</v>
      </c>
      <c r="DE64" s="3">
        <v>5.0979999999999999</v>
      </c>
      <c r="DF64" s="3">
        <v>3.8530000000000002</v>
      </c>
      <c r="DG64" s="3">
        <v>4.6239999999999997</v>
      </c>
      <c r="DH64" s="3">
        <v>3.61</v>
      </c>
    </row>
    <row r="65" spans="1:112" x14ac:dyDescent="0.3">
      <c r="A65" s="48" t="s">
        <v>311</v>
      </c>
      <c r="B65" s="49" t="s">
        <v>338</v>
      </c>
      <c r="C65" s="3">
        <v>59.651085799999997</v>
      </c>
      <c r="D65" s="3">
        <v>55.630853000000002</v>
      </c>
      <c r="E65" s="3">
        <v>50.25291</v>
      </c>
      <c r="F65" s="3">
        <v>28.6265261</v>
      </c>
      <c r="G65" s="3">
        <v>28.6265261</v>
      </c>
      <c r="H65" s="3">
        <v>69.966156799999993</v>
      </c>
      <c r="I65" s="48" t="s">
        <v>311</v>
      </c>
      <c r="J65" s="49" t="s">
        <v>338</v>
      </c>
      <c r="K65" s="3">
        <v>44872.5</v>
      </c>
      <c r="L65" s="48" t="s">
        <v>311</v>
      </c>
      <c r="M65" s="49" t="s">
        <v>338</v>
      </c>
      <c r="N65" s="3">
        <v>4717.2133130000002</v>
      </c>
      <c r="O65" s="3">
        <v>6853.7397609999998</v>
      </c>
      <c r="P65" s="3">
        <v>4741.9475199999997</v>
      </c>
      <c r="Q65" s="3">
        <v>4426.0362400000004</v>
      </c>
      <c r="R65" s="3">
        <v>5840.2715070000004</v>
      </c>
      <c r="S65" s="3">
        <v>7642.7226289999999</v>
      </c>
      <c r="T65" s="3">
        <v>5883.3083569999999</v>
      </c>
      <c r="U65" s="3">
        <v>5750.3228870000003</v>
      </c>
      <c r="V65" s="3">
        <v>4792.8252499999999</v>
      </c>
      <c r="W65" s="3">
        <v>4305.1798799999997</v>
      </c>
      <c r="X65" s="3">
        <v>5239.0245029999996</v>
      </c>
      <c r="Y65" s="3">
        <v>799.03039239999998</v>
      </c>
      <c r="Z65" s="3">
        <v>2937.9046079999998</v>
      </c>
      <c r="AA65" s="48" t="s">
        <v>311</v>
      </c>
      <c r="AB65" s="49" t="s">
        <v>338</v>
      </c>
      <c r="AC65" s="3">
        <v>1616.498881</v>
      </c>
      <c r="AD65" s="3">
        <v>1596.585364</v>
      </c>
      <c r="AE65" s="3">
        <v>1072.762596</v>
      </c>
      <c r="AF65" s="3">
        <v>343.86243919999998</v>
      </c>
      <c r="AG65" s="3">
        <v>2645.9717909999999</v>
      </c>
      <c r="AH65" s="3">
        <v>2148.7618430000002</v>
      </c>
      <c r="AI65" s="3">
        <v>2527.337931</v>
      </c>
      <c r="AJ65" s="3">
        <v>1905.6451979999999</v>
      </c>
      <c r="AK65" s="3">
        <v>772.60185160000003</v>
      </c>
      <c r="AL65" s="3">
        <v>1150.7870660000001</v>
      </c>
      <c r="AM65" s="3">
        <v>2112.6780910000002</v>
      </c>
      <c r="AN65" s="3">
        <v>261.6214152</v>
      </c>
      <c r="AO65" s="3">
        <v>798.45328219999999</v>
      </c>
      <c r="AP65" s="48" t="s">
        <v>311</v>
      </c>
      <c r="AQ65" s="49" t="s">
        <v>338</v>
      </c>
      <c r="AR65" s="3">
        <v>903.88955999999996</v>
      </c>
      <c r="AS65" s="3">
        <v>1225.468314</v>
      </c>
      <c r="AT65" s="3">
        <v>1137.2983670000001</v>
      </c>
      <c r="AU65" s="3">
        <v>1096.482123</v>
      </c>
      <c r="AV65" s="3">
        <v>291.01065</v>
      </c>
      <c r="AW65" s="3">
        <v>1594.5329400000001</v>
      </c>
      <c r="AX65" s="3">
        <v>1001.36374</v>
      </c>
      <c r="AY65" s="3">
        <v>1190.2455179999999</v>
      </c>
      <c r="AZ65" s="3">
        <v>678.67128000000002</v>
      </c>
      <c r="BA65" s="3">
        <v>356.41317600000002</v>
      </c>
      <c r="BB65" s="3">
        <v>601.97453399999995</v>
      </c>
      <c r="BC65" s="3">
        <v>165.27688800000001</v>
      </c>
      <c r="BD65" s="3">
        <v>811.61446799999999</v>
      </c>
      <c r="BE65" s="48" t="s">
        <v>311</v>
      </c>
      <c r="BF65" s="49" t="s">
        <v>338</v>
      </c>
      <c r="BG65" s="3">
        <v>1.7000000000000001E-2</v>
      </c>
      <c r="BH65" s="3">
        <v>0.57699999999999996</v>
      </c>
      <c r="BI65" s="3">
        <v>0.38200000000000001</v>
      </c>
      <c r="BJ65" s="3">
        <v>1.4E-2</v>
      </c>
      <c r="BK65" s="3">
        <v>0.51700000000000002</v>
      </c>
      <c r="BL65" s="3">
        <v>0.35949999999999999</v>
      </c>
      <c r="BM65" s="3">
        <v>1.2E-2</v>
      </c>
      <c r="BN65" s="3">
        <v>0.59799999999999998</v>
      </c>
      <c r="BO65" s="3">
        <v>0.17799999999999999</v>
      </c>
      <c r="BP65" s="3">
        <v>1.2999999999999999E-2</v>
      </c>
      <c r="BQ65" s="3">
        <v>0.53600000000000003</v>
      </c>
      <c r="BR65" s="3">
        <v>0.228333333</v>
      </c>
      <c r="BS65" s="3">
        <v>2.4E-2</v>
      </c>
      <c r="BT65" s="3">
        <v>0.90300000000000002</v>
      </c>
      <c r="BU65" s="3">
        <v>0.39116666700000002</v>
      </c>
      <c r="BV65" s="3">
        <v>8.0000000000000002E-3</v>
      </c>
      <c r="BW65" s="3">
        <v>0.39900000000000002</v>
      </c>
      <c r="BX65" s="3">
        <v>0.36199999999999999</v>
      </c>
      <c r="BY65" s="3">
        <v>1.2999999999999999E-2</v>
      </c>
      <c r="BZ65" s="3">
        <v>0.39900000000000002</v>
      </c>
      <c r="CA65" s="3">
        <v>0.498</v>
      </c>
      <c r="CB65" s="3">
        <v>0.03</v>
      </c>
      <c r="CC65" s="3">
        <v>0.76500000000000001</v>
      </c>
      <c r="CD65" s="3">
        <v>0.40033333300000001</v>
      </c>
      <c r="CE65" s="3">
        <v>2.1000000000000001E-2</v>
      </c>
      <c r="CF65" s="3">
        <v>0.72899999999999998</v>
      </c>
      <c r="CG65" s="3">
        <v>0.55400000000000005</v>
      </c>
      <c r="CH65" s="3">
        <v>2.1000000000000001E-2</v>
      </c>
      <c r="CI65" s="3">
        <v>0.70599999999999996</v>
      </c>
      <c r="CJ65" s="3">
        <v>0.85699999999999998</v>
      </c>
      <c r="CK65" s="3">
        <v>1.0999999999999999E-2</v>
      </c>
      <c r="CL65" s="3">
        <v>0.48299999999999998</v>
      </c>
      <c r="CM65" s="3">
        <v>0.01</v>
      </c>
      <c r="CN65" s="3">
        <v>1.4999999999999999E-2</v>
      </c>
      <c r="CO65" s="3">
        <v>0.68100000000000005</v>
      </c>
      <c r="CP65" s="3">
        <v>0.627</v>
      </c>
      <c r="CQ65" s="3">
        <v>8.9999999999999993E-3</v>
      </c>
      <c r="CR65" s="3">
        <v>0.748</v>
      </c>
      <c r="CS65" s="3">
        <v>0.873</v>
      </c>
      <c r="CT65" s="48" t="s">
        <v>311</v>
      </c>
      <c r="CU65" s="49" t="s">
        <v>338</v>
      </c>
      <c r="CV65" s="3">
        <v>4.1749999999999998</v>
      </c>
      <c r="CW65" s="3">
        <v>3.99</v>
      </c>
      <c r="CX65" s="3">
        <v>3.8610000000000002</v>
      </c>
      <c r="CY65" s="3">
        <v>3.2029999999999998</v>
      </c>
      <c r="CZ65" s="3">
        <v>4.3499999999999996</v>
      </c>
      <c r="DA65" s="3">
        <v>6.5289999999999999</v>
      </c>
      <c r="DB65" s="3">
        <v>1.621</v>
      </c>
      <c r="DC65" s="3">
        <v>6.1479999999999997</v>
      </c>
      <c r="DD65" s="3">
        <v>5.6529999999999996</v>
      </c>
      <c r="DE65" s="3">
        <v>4.8520000000000003</v>
      </c>
      <c r="DF65" s="3">
        <v>3.4340000000000002</v>
      </c>
      <c r="DG65" s="3">
        <v>4.5780000000000003</v>
      </c>
      <c r="DH65" s="3">
        <v>3.5139999999999998</v>
      </c>
    </row>
    <row r="66" spans="1:112" x14ac:dyDescent="0.3">
      <c r="A66" s="48" t="s">
        <v>311</v>
      </c>
      <c r="B66" s="49" t="s">
        <v>339</v>
      </c>
      <c r="C66" s="3">
        <v>61.493692500000002</v>
      </c>
      <c r="D66" s="3">
        <v>59.192638199999998</v>
      </c>
      <c r="E66" s="3">
        <v>50.25291</v>
      </c>
      <c r="F66" s="3">
        <v>29.278932300000001</v>
      </c>
      <c r="G66" s="3">
        <v>29.278932300000001</v>
      </c>
      <c r="H66" s="3">
        <v>74.559449099999995</v>
      </c>
      <c r="I66" s="48" t="s">
        <v>311</v>
      </c>
      <c r="J66" s="49" t="s">
        <v>339</v>
      </c>
      <c r="K66" s="3">
        <v>45407.5</v>
      </c>
      <c r="L66" s="48" t="s">
        <v>311</v>
      </c>
      <c r="M66" s="49" t="s">
        <v>339</v>
      </c>
      <c r="N66" s="3">
        <v>5121.2162609999996</v>
      </c>
      <c r="O66" s="3">
        <v>7222.5590069999998</v>
      </c>
      <c r="P66" s="3">
        <v>4981.2285959999999</v>
      </c>
      <c r="Q66" s="3">
        <v>4736.8537050000004</v>
      </c>
      <c r="R66" s="3">
        <v>5885.193021</v>
      </c>
      <c r="S66" s="3">
        <v>8238.9518609999996</v>
      </c>
      <c r="T66" s="3">
        <v>6034.8847420000002</v>
      </c>
      <c r="U66" s="3">
        <v>6319.6093520000004</v>
      </c>
      <c r="V66" s="3">
        <v>5075.6243329999998</v>
      </c>
      <c r="W66" s="3">
        <v>6545.5730899999999</v>
      </c>
      <c r="X66" s="3">
        <v>5605.5305699999999</v>
      </c>
      <c r="Y66" s="3">
        <v>1098.1970490000001</v>
      </c>
      <c r="Z66" s="3">
        <v>4027.210427</v>
      </c>
      <c r="AA66" s="48" t="s">
        <v>311</v>
      </c>
      <c r="AB66" s="49" t="s">
        <v>339</v>
      </c>
      <c r="AC66" s="3">
        <v>1624.9664479999999</v>
      </c>
      <c r="AD66" s="3">
        <v>1604.9486199999999</v>
      </c>
      <c r="AE66" s="3">
        <v>1057.903059</v>
      </c>
      <c r="AF66" s="3">
        <v>339.09937539999999</v>
      </c>
      <c r="AG66" s="3">
        <v>2659.8319580000002</v>
      </c>
      <c r="AH66" s="3">
        <v>2160.0175180000001</v>
      </c>
      <c r="AI66" s="3">
        <v>2492.3301179999999</v>
      </c>
      <c r="AJ66" s="3">
        <v>1915.627375</v>
      </c>
      <c r="AK66" s="3">
        <v>776.64890549999996</v>
      </c>
      <c r="AL66" s="3">
        <v>1156.8151350000001</v>
      </c>
      <c r="AM66" s="3">
        <v>2123.7447510000002</v>
      </c>
      <c r="AN66" s="3">
        <v>262.99184409999998</v>
      </c>
      <c r="AO66" s="3">
        <v>802.63575130000004</v>
      </c>
      <c r="AP66" s="48" t="s">
        <v>311</v>
      </c>
      <c r="AQ66" s="49" t="s">
        <v>339</v>
      </c>
      <c r="AR66" s="3">
        <v>908.19379600000002</v>
      </c>
      <c r="AS66" s="3">
        <v>1231.3038770000001</v>
      </c>
      <c r="AT66" s="3">
        <v>1121.0898400000001</v>
      </c>
      <c r="AU66" s="3">
        <v>1080.8552990000001</v>
      </c>
      <c r="AV66" s="3">
        <v>292.39641499999999</v>
      </c>
      <c r="AW66" s="3">
        <v>1602.1259540000001</v>
      </c>
      <c r="AX66" s="3">
        <v>987.09252300000003</v>
      </c>
      <c r="AY66" s="3">
        <v>1195.913354</v>
      </c>
      <c r="AZ66" s="3">
        <v>681.90304800000001</v>
      </c>
      <c r="BA66" s="3">
        <v>358.11038159999998</v>
      </c>
      <c r="BB66" s="3">
        <v>604.84107940000001</v>
      </c>
      <c r="BC66" s="3">
        <v>166.06392080000001</v>
      </c>
      <c r="BD66" s="3">
        <v>815.47929880000004</v>
      </c>
      <c r="BE66" s="48" t="s">
        <v>311</v>
      </c>
      <c r="BF66" s="49" t="s">
        <v>339</v>
      </c>
      <c r="BG66" s="3">
        <v>0</v>
      </c>
      <c r="BH66" s="3">
        <v>0.53900000000000003</v>
      </c>
      <c r="BI66" s="3">
        <v>0.39800000000000002</v>
      </c>
      <c r="BJ66" s="3">
        <v>0</v>
      </c>
      <c r="BK66" s="3">
        <v>0.52300000000000002</v>
      </c>
      <c r="BL66" s="3">
        <v>0.33600000000000002</v>
      </c>
      <c r="BM66" s="3">
        <v>0</v>
      </c>
      <c r="BN66" s="3">
        <v>0.57199999999999995</v>
      </c>
      <c r="BO66" s="3">
        <v>0.111</v>
      </c>
      <c r="BP66" s="3">
        <v>0</v>
      </c>
      <c r="BQ66" s="3">
        <v>0.46700000000000003</v>
      </c>
      <c r="BR66" s="3">
        <v>0.26366666700000002</v>
      </c>
      <c r="BS66" s="3">
        <v>1E-3</v>
      </c>
      <c r="BT66" s="3">
        <v>0.89800000000000002</v>
      </c>
      <c r="BU66" s="3">
        <v>0.40150000000000002</v>
      </c>
      <c r="BV66" s="3">
        <v>0</v>
      </c>
      <c r="BW66" s="3">
        <v>0.40300000000000002</v>
      </c>
      <c r="BX66" s="3">
        <v>0.433</v>
      </c>
      <c r="BY66" s="3">
        <v>0</v>
      </c>
      <c r="BZ66" s="3">
        <v>0.40300000000000002</v>
      </c>
      <c r="CA66" s="3">
        <v>0.53049999999999997</v>
      </c>
      <c r="CB66" s="3">
        <v>2E-3</v>
      </c>
      <c r="CC66" s="3">
        <v>0.71399999999999997</v>
      </c>
      <c r="CD66" s="3">
        <v>0.40500000000000003</v>
      </c>
      <c r="CE66" s="3">
        <v>4.0000000000000001E-3</v>
      </c>
      <c r="CF66" s="3">
        <v>0.65800000000000003</v>
      </c>
      <c r="CG66" s="3">
        <v>0.59699999999999998</v>
      </c>
      <c r="CH66" s="3">
        <v>4.0000000000000001E-3</v>
      </c>
      <c r="CI66" s="3">
        <v>0.65100000000000002</v>
      </c>
      <c r="CJ66" s="3">
        <v>0.81233333299999999</v>
      </c>
      <c r="CK66" s="3">
        <v>0</v>
      </c>
      <c r="CL66" s="3">
        <v>0.51300000000000001</v>
      </c>
      <c r="CM66" s="3">
        <v>0.01</v>
      </c>
      <c r="CN66" s="3">
        <v>1E-3</v>
      </c>
      <c r="CO66" s="3">
        <v>0.68899999999999995</v>
      </c>
      <c r="CP66" s="3">
        <v>0.622</v>
      </c>
      <c r="CQ66" s="3">
        <v>0</v>
      </c>
      <c r="CR66" s="3">
        <v>0.79900000000000004</v>
      </c>
      <c r="CS66" s="3">
        <v>0.80600000000000005</v>
      </c>
      <c r="CT66" s="48" t="s">
        <v>311</v>
      </c>
      <c r="CU66" s="49" t="s">
        <v>339</v>
      </c>
      <c r="CV66" s="3">
        <v>2.8929999999999998</v>
      </c>
      <c r="CW66" s="3">
        <v>3.0680000000000001</v>
      </c>
      <c r="CX66" s="3">
        <v>3.1059999999999999</v>
      </c>
      <c r="CY66" s="3">
        <v>2.7879999999999998</v>
      </c>
      <c r="CZ66" s="3">
        <v>3.294</v>
      </c>
      <c r="DA66" s="3">
        <v>6.52</v>
      </c>
      <c r="DB66" s="3">
        <v>1.181</v>
      </c>
      <c r="DC66" s="3">
        <v>5.6660000000000004</v>
      </c>
      <c r="DD66" s="3">
        <v>5.149</v>
      </c>
      <c r="DE66" s="3">
        <v>4.2990000000000004</v>
      </c>
      <c r="DF66" s="3">
        <v>2.5230000000000001</v>
      </c>
      <c r="DG66" s="3">
        <v>4.3390000000000004</v>
      </c>
      <c r="DH66" s="3">
        <v>3.504</v>
      </c>
    </row>
    <row r="67" spans="1:112" x14ac:dyDescent="0.3">
      <c r="A67" s="48" t="s">
        <v>311</v>
      </c>
      <c r="B67" s="49" t="s">
        <v>340</v>
      </c>
      <c r="C67" s="3">
        <v>67.312450499999997</v>
      </c>
      <c r="D67" s="3">
        <v>63.2040547</v>
      </c>
      <c r="E67" s="3">
        <v>70.618562999999995</v>
      </c>
      <c r="F67" s="3">
        <v>30.1429297</v>
      </c>
      <c r="G67" s="3">
        <v>30.1429297</v>
      </c>
      <c r="H67" s="3">
        <v>75.837812600000007</v>
      </c>
      <c r="I67" s="48" t="s">
        <v>311</v>
      </c>
      <c r="J67" s="49" t="s">
        <v>340</v>
      </c>
      <c r="K67" s="3">
        <v>48800</v>
      </c>
      <c r="L67" s="48" t="s">
        <v>311</v>
      </c>
      <c r="M67" s="49" t="s">
        <v>340</v>
      </c>
      <c r="N67" s="3">
        <v>6999.2939919999999</v>
      </c>
      <c r="O67" s="3">
        <v>9298.6022410000005</v>
      </c>
      <c r="P67" s="3">
        <v>6023.1340689999997</v>
      </c>
      <c r="Q67" s="3">
        <v>5494.0433050000001</v>
      </c>
      <c r="R67" s="3">
        <v>7700.6673479999999</v>
      </c>
      <c r="S67" s="3">
        <v>10259.77663</v>
      </c>
      <c r="T67" s="3">
        <v>7412.6522459999996</v>
      </c>
      <c r="U67" s="3">
        <v>8389.3696</v>
      </c>
      <c r="V67" s="3">
        <v>6399.808916</v>
      </c>
      <c r="W67" s="3">
        <v>7687.6928099999996</v>
      </c>
      <c r="X67" s="3">
        <v>7330.7635289999998</v>
      </c>
      <c r="Y67" s="3">
        <v>1259.4019599999999</v>
      </c>
      <c r="Z67" s="3">
        <v>4674.2308229999999</v>
      </c>
      <c r="AA67" s="48" t="s">
        <v>311</v>
      </c>
      <c r="AB67" s="49" t="s">
        <v>340</v>
      </c>
      <c r="AC67" s="3">
        <v>1282.964712</v>
      </c>
      <c r="AD67" s="3">
        <v>1267.159975</v>
      </c>
      <c r="AE67" s="3">
        <v>822.50502189999997</v>
      </c>
      <c r="AF67" s="3">
        <v>263.6450825</v>
      </c>
      <c r="AG67" s="3">
        <v>2100.025232</v>
      </c>
      <c r="AH67" s="3">
        <v>1705.4052139999999</v>
      </c>
      <c r="AI67" s="3">
        <v>1937.752256</v>
      </c>
      <c r="AJ67" s="3">
        <v>1512.4511199999999</v>
      </c>
      <c r="AK67" s="3">
        <v>613.18997730000001</v>
      </c>
      <c r="AL67" s="3">
        <v>913.34377930000005</v>
      </c>
      <c r="AM67" s="3">
        <v>1676.7666650000001</v>
      </c>
      <c r="AN67" s="3">
        <v>207.64075220000001</v>
      </c>
      <c r="AO67" s="3">
        <v>633.70745090000003</v>
      </c>
      <c r="AP67" s="48" t="s">
        <v>311</v>
      </c>
      <c r="AQ67" s="49" t="s">
        <v>340</v>
      </c>
      <c r="AR67" s="3">
        <v>910.34591399999999</v>
      </c>
      <c r="AS67" s="3">
        <v>1234.221659</v>
      </c>
      <c r="AT67" s="3">
        <v>1118.388418</v>
      </c>
      <c r="AU67" s="3">
        <v>1078.250828</v>
      </c>
      <c r="AV67" s="3">
        <v>293.08929749999999</v>
      </c>
      <c r="AW67" s="3">
        <v>1605.9224610000001</v>
      </c>
      <c r="AX67" s="3">
        <v>984.71398680000004</v>
      </c>
      <c r="AY67" s="3">
        <v>1198.7472720000001</v>
      </c>
      <c r="AZ67" s="3">
        <v>683.51893199999995</v>
      </c>
      <c r="BA67" s="3">
        <v>358.95898440000002</v>
      </c>
      <c r="BB67" s="3">
        <v>606.27435209999999</v>
      </c>
      <c r="BC67" s="3">
        <v>166.45743719999999</v>
      </c>
      <c r="BD67" s="3">
        <v>817.41171420000001</v>
      </c>
      <c r="BE67" s="48" t="s">
        <v>311</v>
      </c>
      <c r="BF67" s="49" t="s">
        <v>340</v>
      </c>
      <c r="BG67" s="3">
        <v>0</v>
      </c>
      <c r="BH67" s="3">
        <v>0.54400000000000004</v>
      </c>
      <c r="BI67" s="3">
        <v>0.40949999999999998</v>
      </c>
      <c r="BJ67" s="3">
        <v>0</v>
      </c>
      <c r="BK67" s="3">
        <v>0.53300000000000003</v>
      </c>
      <c r="BL67" s="3">
        <v>0.34899999999999998</v>
      </c>
      <c r="BM67" s="3">
        <v>0</v>
      </c>
      <c r="BN67" s="3">
        <v>0.51600000000000001</v>
      </c>
      <c r="BO67" s="3">
        <v>8.7999999999999995E-2</v>
      </c>
      <c r="BP67" s="3">
        <v>0</v>
      </c>
      <c r="BQ67" s="3">
        <v>0.45400000000000001</v>
      </c>
      <c r="BR67" s="3">
        <v>0.323333333</v>
      </c>
      <c r="BS67" s="3">
        <v>0</v>
      </c>
      <c r="BT67" s="3">
        <v>0.89700000000000002</v>
      </c>
      <c r="BU67" s="3">
        <v>0.42275000000000001</v>
      </c>
      <c r="BV67" s="3">
        <v>0</v>
      </c>
      <c r="BW67" s="3">
        <v>0.32300000000000001</v>
      </c>
      <c r="BX67" s="3">
        <v>0.49299999999999999</v>
      </c>
      <c r="BY67" s="3">
        <v>0</v>
      </c>
      <c r="BZ67" s="3">
        <v>0.32300000000000001</v>
      </c>
      <c r="CA67" s="3">
        <v>0.5615</v>
      </c>
      <c r="CB67" s="3">
        <v>0</v>
      </c>
      <c r="CC67" s="3">
        <v>0.65600000000000003</v>
      </c>
      <c r="CD67" s="3">
        <v>0.436</v>
      </c>
      <c r="CE67" s="3">
        <v>0</v>
      </c>
      <c r="CF67" s="3">
        <v>0.60699999999999998</v>
      </c>
      <c r="CG67" s="3">
        <v>0.64200000000000002</v>
      </c>
      <c r="CH67" s="3">
        <v>0</v>
      </c>
      <c r="CI67" s="3">
        <v>0.59599999999999997</v>
      </c>
      <c r="CJ67" s="3">
        <v>0.78733333299999997</v>
      </c>
      <c r="CK67" s="3">
        <v>0</v>
      </c>
      <c r="CL67" s="3">
        <v>0.55900000000000005</v>
      </c>
      <c r="CM67" s="3">
        <v>0.01</v>
      </c>
      <c r="CN67" s="3">
        <v>0</v>
      </c>
      <c r="CO67" s="3">
        <v>0.71599999999999997</v>
      </c>
      <c r="CP67" s="3">
        <v>0.59933333300000002</v>
      </c>
      <c r="CQ67" s="3">
        <v>0</v>
      </c>
      <c r="CR67" s="3">
        <v>0.75</v>
      </c>
      <c r="CS67" s="3">
        <v>0.72599999999999998</v>
      </c>
      <c r="CT67" s="48" t="s">
        <v>311</v>
      </c>
      <c r="CU67" s="49" t="s">
        <v>340</v>
      </c>
      <c r="CV67" s="3">
        <v>1.7569999999999999</v>
      </c>
      <c r="CW67" s="3">
        <v>2.2930000000000001</v>
      </c>
      <c r="CX67" s="3">
        <v>2.3109999999999999</v>
      </c>
      <c r="CY67" s="3">
        <v>2.54</v>
      </c>
      <c r="CZ67" s="3">
        <v>2.0710000000000002</v>
      </c>
      <c r="DA67" s="3">
        <v>6.4909999999999997</v>
      </c>
      <c r="DB67" s="3">
        <v>0.86199999999999999</v>
      </c>
      <c r="DC67" s="3">
        <v>5.1970000000000001</v>
      </c>
      <c r="DD67" s="3">
        <v>4.6680000000000001</v>
      </c>
      <c r="DE67" s="3">
        <v>3.4380000000000002</v>
      </c>
      <c r="DF67" s="3">
        <v>1.972</v>
      </c>
      <c r="DG67" s="3">
        <v>4.3639999999999999</v>
      </c>
      <c r="DH67" s="3">
        <v>3.7730000000000001</v>
      </c>
    </row>
    <row r="68" spans="1:112" x14ac:dyDescent="0.3">
      <c r="A68" s="48" t="s">
        <v>311</v>
      </c>
      <c r="B68" s="49" t="s">
        <v>341</v>
      </c>
      <c r="C68" s="3">
        <v>67.286001600000006</v>
      </c>
      <c r="D68" s="3">
        <v>66.571881300000001</v>
      </c>
      <c r="E68" s="3">
        <v>51.839843999999999</v>
      </c>
      <c r="F68" s="3">
        <v>28.5030979</v>
      </c>
      <c r="G68" s="3">
        <v>28.5030979</v>
      </c>
      <c r="H68" s="3">
        <v>85.500477399999994</v>
      </c>
      <c r="I68" s="48" t="s">
        <v>311</v>
      </c>
      <c r="J68" s="49" t="s">
        <v>341</v>
      </c>
      <c r="K68" s="3">
        <v>49497</v>
      </c>
      <c r="L68" s="48" t="s">
        <v>311</v>
      </c>
      <c r="M68" s="49" t="s">
        <v>341</v>
      </c>
      <c r="N68" s="3">
        <v>9248.6356599999999</v>
      </c>
      <c r="O68" s="3">
        <v>11935.26694</v>
      </c>
      <c r="P68" s="3">
        <v>7318.5971950000003</v>
      </c>
      <c r="Q68" s="3">
        <v>6433.3442619999996</v>
      </c>
      <c r="R68" s="3">
        <v>9717.5744400000003</v>
      </c>
      <c r="S68" s="3">
        <v>12773.70586</v>
      </c>
      <c r="T68" s="3">
        <v>8815.5568359999997</v>
      </c>
      <c r="U68" s="3">
        <v>11307.68903</v>
      </c>
      <c r="V68" s="3">
        <v>9077.2660649999998</v>
      </c>
      <c r="W68" s="3">
        <v>7426.1926119999998</v>
      </c>
      <c r="X68" s="3">
        <v>9208.8109609999992</v>
      </c>
      <c r="Y68" s="3">
        <v>1252.7898270000001</v>
      </c>
      <c r="Z68" s="3">
        <v>4618.424798</v>
      </c>
      <c r="AA68" s="48" t="s">
        <v>311</v>
      </c>
      <c r="AB68" s="49" t="s">
        <v>341</v>
      </c>
      <c r="AC68" s="3">
        <v>1289.6294640000001</v>
      </c>
      <c r="AD68" s="3">
        <v>1273.742624</v>
      </c>
      <c r="AE68" s="3">
        <v>828.72042510000006</v>
      </c>
      <c r="AF68" s="3">
        <v>265.63736269999998</v>
      </c>
      <c r="AG68" s="3">
        <v>2110.9344540000002</v>
      </c>
      <c r="AH68" s="3">
        <v>1714.264461</v>
      </c>
      <c r="AI68" s="3">
        <v>1952.3952200000001</v>
      </c>
      <c r="AJ68" s="3">
        <v>1520.3080090000001</v>
      </c>
      <c r="AK68" s="3">
        <v>616.37537970000005</v>
      </c>
      <c r="AL68" s="3">
        <v>918.08842230000005</v>
      </c>
      <c r="AM68" s="3">
        <v>1685.477142</v>
      </c>
      <c r="AN68" s="3">
        <v>208.71940549999999</v>
      </c>
      <c r="AO68" s="3">
        <v>636.99943759999996</v>
      </c>
      <c r="AP68" s="48" t="s">
        <v>311</v>
      </c>
      <c r="AQ68" s="49" t="s">
        <v>341</v>
      </c>
      <c r="AR68" s="3">
        <v>927.56285800000001</v>
      </c>
      <c r="AS68" s="3">
        <v>1257.563913</v>
      </c>
      <c r="AT68" s="3">
        <v>1150.805474</v>
      </c>
      <c r="AU68" s="3">
        <v>1109.5044760000001</v>
      </c>
      <c r="AV68" s="3">
        <v>298.63235750000001</v>
      </c>
      <c r="AW68" s="3">
        <v>1636.294517</v>
      </c>
      <c r="AX68" s="3">
        <v>1013.256421</v>
      </c>
      <c r="AY68" s="3">
        <v>1221.418615</v>
      </c>
      <c r="AZ68" s="3">
        <v>696.44600400000002</v>
      </c>
      <c r="BA68" s="3">
        <v>365.74780679999998</v>
      </c>
      <c r="BB68" s="3">
        <v>617.74053370000001</v>
      </c>
      <c r="BC68" s="3">
        <v>169.60556840000001</v>
      </c>
      <c r="BD68" s="3">
        <v>832.87103739999998</v>
      </c>
      <c r="BE68" s="48" t="s">
        <v>311</v>
      </c>
      <c r="BF68" s="49" t="s">
        <v>341</v>
      </c>
      <c r="BG68" s="3">
        <v>0</v>
      </c>
      <c r="BH68" s="3">
        <v>0.52</v>
      </c>
      <c r="BI68" s="3">
        <v>0.435</v>
      </c>
      <c r="BJ68" s="3">
        <v>0</v>
      </c>
      <c r="BK68" s="3">
        <v>0.51</v>
      </c>
      <c r="BL68" s="3">
        <v>0.36549999999999999</v>
      </c>
      <c r="BM68" s="3">
        <v>0</v>
      </c>
      <c r="BN68" s="3">
        <v>0.45500000000000002</v>
      </c>
      <c r="BO68" s="3">
        <v>0.10050000000000001</v>
      </c>
      <c r="BP68" s="3">
        <v>0</v>
      </c>
      <c r="BQ68" s="3">
        <v>0.46100000000000002</v>
      </c>
      <c r="BR68" s="3">
        <v>0.369666667</v>
      </c>
      <c r="BS68" s="3">
        <v>0</v>
      </c>
      <c r="BT68" s="3">
        <v>0.89800000000000002</v>
      </c>
      <c r="BU68" s="3">
        <v>0.45583333399999998</v>
      </c>
      <c r="BV68" s="3">
        <v>0</v>
      </c>
      <c r="BW68" s="3">
        <v>0.21099999999999999</v>
      </c>
      <c r="BX68" s="3">
        <v>0.53500000000000003</v>
      </c>
      <c r="BY68" s="3">
        <v>0</v>
      </c>
      <c r="BZ68" s="3">
        <v>0.21099999999999999</v>
      </c>
      <c r="CA68" s="3">
        <v>0.58250000000000002</v>
      </c>
      <c r="CB68" s="3">
        <v>0</v>
      </c>
      <c r="CC68" s="3">
        <v>0.61</v>
      </c>
      <c r="CD68" s="3">
        <v>0.47666666699999999</v>
      </c>
      <c r="CE68" s="3">
        <v>0</v>
      </c>
      <c r="CF68" s="3">
        <v>0.57199999999999995</v>
      </c>
      <c r="CG68" s="3">
        <v>0.66049999999999998</v>
      </c>
      <c r="CH68" s="3">
        <v>0</v>
      </c>
      <c r="CI68" s="3">
        <v>0.60899999999999999</v>
      </c>
      <c r="CJ68" s="3">
        <v>0.78933333299999997</v>
      </c>
      <c r="CK68" s="3">
        <v>0</v>
      </c>
      <c r="CL68" s="3">
        <v>0.56200000000000006</v>
      </c>
      <c r="CM68" s="3">
        <v>0.01</v>
      </c>
      <c r="CN68" s="3">
        <v>0</v>
      </c>
      <c r="CO68" s="3">
        <v>0.72299999999999998</v>
      </c>
      <c r="CP68" s="3">
        <v>0.57099999999999995</v>
      </c>
      <c r="CQ68" s="3">
        <v>0</v>
      </c>
      <c r="CR68" s="3">
        <v>0.72699999999999998</v>
      </c>
      <c r="CS68" s="3">
        <v>0.63900000000000001</v>
      </c>
      <c r="CT68" s="48" t="s">
        <v>311</v>
      </c>
      <c r="CU68" s="49" t="s">
        <v>341</v>
      </c>
      <c r="CV68" s="3">
        <v>1.6160000000000001</v>
      </c>
      <c r="CW68" s="3">
        <v>2.0099999999999998</v>
      </c>
      <c r="CX68" s="3">
        <v>2.044</v>
      </c>
      <c r="CY68" s="3">
        <v>2.34</v>
      </c>
      <c r="CZ68" s="3">
        <v>1.6919999999999999</v>
      </c>
      <c r="DA68" s="3">
        <v>6.4850000000000003</v>
      </c>
      <c r="DB68" s="3">
        <v>0.56200000000000006</v>
      </c>
      <c r="DC68" s="3">
        <v>4.9370000000000003</v>
      </c>
      <c r="DD68" s="3">
        <v>4.3070000000000004</v>
      </c>
      <c r="DE68" s="3">
        <v>2.9990000000000001</v>
      </c>
      <c r="DF68" s="3">
        <v>1.9870000000000001</v>
      </c>
      <c r="DG68" s="3">
        <v>4.7690000000000001</v>
      </c>
      <c r="DH68" s="3">
        <v>4.3120000000000003</v>
      </c>
    </row>
    <row r="69" spans="1:112" x14ac:dyDescent="0.3">
      <c r="A69" s="48" t="s">
        <v>311</v>
      </c>
      <c r="B69" s="49" t="s">
        <v>342</v>
      </c>
      <c r="C69" s="3">
        <v>67.2595527</v>
      </c>
      <c r="D69" s="3">
        <v>66.527799799999997</v>
      </c>
      <c r="E69" s="3">
        <v>50.605561999999999</v>
      </c>
      <c r="F69" s="3">
        <v>27.841875399999999</v>
      </c>
      <c r="G69" s="3">
        <v>27.841875399999999</v>
      </c>
      <c r="H69" s="3">
        <v>72.082068800000002</v>
      </c>
      <c r="I69" s="48" t="s">
        <v>311</v>
      </c>
      <c r="J69" s="49" t="s">
        <v>342</v>
      </c>
      <c r="K69" s="3">
        <v>49141.5</v>
      </c>
      <c r="L69" s="48" t="s">
        <v>311</v>
      </c>
      <c r="M69" s="49" t="s">
        <v>342</v>
      </c>
      <c r="N69" s="3">
        <v>10266.77634</v>
      </c>
      <c r="O69" s="3">
        <v>12713.710569999999</v>
      </c>
      <c r="P69" s="3">
        <v>7819.2634479999997</v>
      </c>
      <c r="Q69" s="3">
        <v>6654.8337609999999</v>
      </c>
      <c r="R69" s="3">
        <v>10832.05024</v>
      </c>
      <c r="S69" s="3">
        <v>14014.679539999999</v>
      </c>
      <c r="T69" s="3">
        <v>9582.4823560000004</v>
      </c>
      <c r="U69" s="3">
        <v>12675.46794</v>
      </c>
      <c r="V69" s="3">
        <v>9852.2930980000001</v>
      </c>
      <c r="W69" s="3">
        <v>6544.7522049999998</v>
      </c>
      <c r="X69" s="3">
        <v>9764.7419090000003</v>
      </c>
      <c r="Y69" s="3">
        <v>1171.4147009999999</v>
      </c>
      <c r="Z69" s="3">
        <v>4214.5540309999997</v>
      </c>
      <c r="AA69" s="48" t="s">
        <v>311</v>
      </c>
      <c r="AB69" s="49" t="s">
        <v>342</v>
      </c>
      <c r="AC69" s="3">
        <v>1232.9790740000001</v>
      </c>
      <c r="AD69" s="3">
        <v>1217.7901059999999</v>
      </c>
      <c r="AE69" s="3">
        <v>785.21260280000001</v>
      </c>
      <c r="AF69" s="3">
        <v>251.6914012</v>
      </c>
      <c r="AG69" s="3">
        <v>2018.2060670000001</v>
      </c>
      <c r="AH69" s="3">
        <v>1638.960855</v>
      </c>
      <c r="AI69" s="3">
        <v>1849.8944710000001</v>
      </c>
      <c r="AJ69" s="3">
        <v>1453.524453</v>
      </c>
      <c r="AK69" s="3">
        <v>589.29945869999995</v>
      </c>
      <c r="AL69" s="3">
        <v>877.7589567</v>
      </c>
      <c r="AM69" s="3">
        <v>1611.4380940000001</v>
      </c>
      <c r="AN69" s="3">
        <v>199.5508528</v>
      </c>
      <c r="AO69" s="3">
        <v>609.01755019999996</v>
      </c>
      <c r="AP69" s="48" t="s">
        <v>311</v>
      </c>
      <c r="AQ69" s="49" t="s">
        <v>342</v>
      </c>
      <c r="AR69" s="3">
        <v>918.954386</v>
      </c>
      <c r="AS69" s="3">
        <v>1245.8927859999999</v>
      </c>
      <c r="AT69" s="3">
        <v>1145.4026309999999</v>
      </c>
      <c r="AU69" s="3">
        <v>1104.2955340000001</v>
      </c>
      <c r="AV69" s="3">
        <v>295.86082750000003</v>
      </c>
      <c r="AW69" s="3">
        <v>1621.108489</v>
      </c>
      <c r="AX69" s="3">
        <v>1008.4993490000001</v>
      </c>
      <c r="AY69" s="3">
        <v>1210.0829429999999</v>
      </c>
      <c r="AZ69" s="3">
        <v>689.98246800000004</v>
      </c>
      <c r="BA69" s="3">
        <v>362.3533956</v>
      </c>
      <c r="BB69" s="3">
        <v>612.0074429</v>
      </c>
      <c r="BC69" s="3">
        <v>168.0315028</v>
      </c>
      <c r="BD69" s="3">
        <v>825.14137579999999</v>
      </c>
      <c r="BE69" s="48" t="s">
        <v>311</v>
      </c>
      <c r="BF69" s="49" t="s">
        <v>342</v>
      </c>
      <c r="BG69" s="3">
        <v>0</v>
      </c>
      <c r="BH69" s="3">
        <v>0.46</v>
      </c>
      <c r="BI69" s="3">
        <v>0.4395</v>
      </c>
      <c r="BJ69" s="3">
        <v>0</v>
      </c>
      <c r="BK69" s="3">
        <v>0.45400000000000001</v>
      </c>
      <c r="BL69" s="3">
        <v>0.3795</v>
      </c>
      <c r="BM69" s="3">
        <v>0</v>
      </c>
      <c r="BN69" s="3">
        <v>0.34</v>
      </c>
      <c r="BO69" s="3">
        <v>0.11700000000000001</v>
      </c>
      <c r="BP69" s="3">
        <v>0</v>
      </c>
      <c r="BQ69" s="3">
        <v>0.47699999999999998</v>
      </c>
      <c r="BR69" s="3">
        <v>0.40166666699999998</v>
      </c>
      <c r="BS69" s="3">
        <v>0</v>
      </c>
      <c r="BT69" s="3">
        <v>0.9</v>
      </c>
      <c r="BU69" s="3">
        <v>0.47891666700000002</v>
      </c>
      <c r="BV69" s="3">
        <v>0</v>
      </c>
      <c r="BW69" s="3">
        <v>8.6999999999999994E-2</v>
      </c>
      <c r="BX69" s="3">
        <v>0.56100000000000005</v>
      </c>
      <c r="BY69" s="3">
        <v>0</v>
      </c>
      <c r="BZ69" s="3">
        <v>8.6999999999999994E-2</v>
      </c>
      <c r="CA69" s="3">
        <v>0.58399999999999996</v>
      </c>
      <c r="CB69" s="3">
        <v>0</v>
      </c>
      <c r="CC69" s="3">
        <v>0.59</v>
      </c>
      <c r="CD69" s="3">
        <v>0.51833333299999995</v>
      </c>
      <c r="CE69" s="3">
        <v>0</v>
      </c>
      <c r="CF69" s="3">
        <v>0.58699999999999997</v>
      </c>
      <c r="CG69" s="3">
        <v>0.66</v>
      </c>
      <c r="CH69" s="3">
        <v>0</v>
      </c>
      <c r="CI69" s="3">
        <v>0.61299999999999999</v>
      </c>
      <c r="CJ69" s="3">
        <v>0.81566666700000001</v>
      </c>
      <c r="CK69" s="3">
        <v>0</v>
      </c>
      <c r="CL69" s="3">
        <v>0.59399999999999997</v>
      </c>
      <c r="CM69" s="3">
        <v>0.01</v>
      </c>
      <c r="CN69" s="3">
        <v>0</v>
      </c>
      <c r="CO69" s="3">
        <v>0.72699999999999998</v>
      </c>
      <c r="CP69" s="3">
        <v>0.52</v>
      </c>
      <c r="CQ69" s="3">
        <v>0</v>
      </c>
      <c r="CR69" s="3">
        <v>0.70199999999999996</v>
      </c>
      <c r="CS69" s="3">
        <v>0.61599999999999999</v>
      </c>
      <c r="CT69" s="48" t="s">
        <v>311</v>
      </c>
      <c r="CU69" s="49" t="s">
        <v>342</v>
      </c>
      <c r="CV69" s="3">
        <v>1.4530000000000001</v>
      </c>
      <c r="CW69" s="3">
        <v>1.923</v>
      </c>
      <c r="CX69" s="3">
        <v>1.8460000000000001</v>
      </c>
      <c r="CY69" s="3">
        <v>2.1139999999999999</v>
      </c>
      <c r="CZ69" s="3">
        <v>1.466</v>
      </c>
      <c r="DA69" s="3">
        <v>6.4980000000000002</v>
      </c>
      <c r="DB69" s="3">
        <v>0.40400000000000003</v>
      </c>
      <c r="DC69" s="3">
        <v>4.6760000000000002</v>
      </c>
      <c r="DD69" s="3">
        <v>3.972</v>
      </c>
      <c r="DE69" s="3">
        <v>3.1230000000000002</v>
      </c>
      <c r="DF69" s="3">
        <v>2.5720000000000001</v>
      </c>
      <c r="DG69" s="3">
        <v>5.0659999999999998</v>
      </c>
      <c r="DH69" s="3">
        <v>4.3940000000000001</v>
      </c>
    </row>
    <row r="70" spans="1:112" x14ac:dyDescent="0.3">
      <c r="A70" s="48" t="s">
        <v>311</v>
      </c>
      <c r="B70" s="49" t="s">
        <v>343</v>
      </c>
      <c r="C70" s="3">
        <v>56.953297999999997</v>
      </c>
      <c r="D70" s="3">
        <v>62.595730000000003</v>
      </c>
      <c r="E70" s="3">
        <v>62.595730000000003</v>
      </c>
      <c r="F70" s="3">
        <v>26.836817199999999</v>
      </c>
      <c r="G70" s="3">
        <v>26.836817199999999</v>
      </c>
      <c r="H70" s="3">
        <v>62.595730000000003</v>
      </c>
      <c r="I70" s="48" t="s">
        <v>311</v>
      </c>
      <c r="J70" s="49" t="s">
        <v>343</v>
      </c>
      <c r="K70" s="3">
        <v>47891.5</v>
      </c>
      <c r="L70" s="48" t="s">
        <v>311</v>
      </c>
      <c r="M70" s="49" t="s">
        <v>343</v>
      </c>
      <c r="N70" s="3">
        <v>10561.177960000001</v>
      </c>
      <c r="O70" s="3">
        <v>12792.848819999999</v>
      </c>
      <c r="P70" s="3">
        <v>7805.1002259999996</v>
      </c>
      <c r="Q70" s="3">
        <v>6640.875207</v>
      </c>
      <c r="R70" s="3">
        <v>11755.51957</v>
      </c>
      <c r="S70" s="3">
        <v>14262.90178</v>
      </c>
      <c r="T70" s="3">
        <v>9877.6323570000004</v>
      </c>
      <c r="U70" s="3">
        <v>13270.637119999999</v>
      </c>
      <c r="V70" s="3">
        <v>9673.3876280000004</v>
      </c>
      <c r="W70" s="3">
        <v>5944.8031330000003</v>
      </c>
      <c r="X70" s="3">
        <v>10236.60549</v>
      </c>
      <c r="Y70" s="3">
        <v>1097.9605200000001</v>
      </c>
      <c r="Z70" s="3">
        <v>3747.697721</v>
      </c>
      <c r="AA70" s="48" t="s">
        <v>311</v>
      </c>
      <c r="AB70" s="49" t="s">
        <v>343</v>
      </c>
      <c r="AC70" s="3">
        <v>839.75872049999998</v>
      </c>
      <c r="AD70" s="3">
        <v>829.41380189999995</v>
      </c>
      <c r="AE70" s="3">
        <v>539.49699669999995</v>
      </c>
      <c r="AF70" s="3">
        <v>172.9299231</v>
      </c>
      <c r="AG70" s="3">
        <v>1374.56197</v>
      </c>
      <c r="AH70" s="3">
        <v>1116.2652310000001</v>
      </c>
      <c r="AI70" s="3">
        <v>1271.009288</v>
      </c>
      <c r="AJ70" s="3">
        <v>989.96800559999997</v>
      </c>
      <c r="AK70" s="3">
        <v>401.36071240000001</v>
      </c>
      <c r="AL70" s="3">
        <v>597.82501920000004</v>
      </c>
      <c r="AM70" s="3">
        <v>1097.5199990000001</v>
      </c>
      <c r="AN70" s="3">
        <v>135.91031050000001</v>
      </c>
      <c r="AO70" s="3">
        <v>414.79033149999998</v>
      </c>
      <c r="AP70" s="48" t="s">
        <v>311</v>
      </c>
      <c r="AQ70" s="49" t="s">
        <v>343</v>
      </c>
      <c r="AR70" s="3">
        <v>899.58532400000001</v>
      </c>
      <c r="AS70" s="3">
        <v>1219.6327510000001</v>
      </c>
      <c r="AT70" s="3">
        <v>1126.4926820000001</v>
      </c>
      <c r="AU70" s="3">
        <v>1086.0642399999999</v>
      </c>
      <c r="AV70" s="3">
        <v>289.62488500000001</v>
      </c>
      <c r="AW70" s="3">
        <v>1586.939926</v>
      </c>
      <c r="AX70" s="3">
        <v>991.8495954</v>
      </c>
      <c r="AY70" s="3">
        <v>1184.5776820000001</v>
      </c>
      <c r="AZ70" s="3">
        <v>675.43951200000004</v>
      </c>
      <c r="BA70" s="3">
        <v>354.7159704</v>
      </c>
      <c r="BB70" s="3">
        <v>599.1079886</v>
      </c>
      <c r="BC70" s="3">
        <v>164.48985519999999</v>
      </c>
      <c r="BD70" s="3">
        <v>807.74963720000005</v>
      </c>
      <c r="BE70" s="48" t="s">
        <v>311</v>
      </c>
      <c r="BF70" s="49" t="s">
        <v>343</v>
      </c>
      <c r="BG70" s="3">
        <v>0</v>
      </c>
      <c r="BH70" s="3">
        <v>0.48899999999999999</v>
      </c>
      <c r="BI70" s="3">
        <v>0.45</v>
      </c>
      <c r="BJ70" s="3">
        <v>0</v>
      </c>
      <c r="BK70" s="3">
        <v>0.35099999999999998</v>
      </c>
      <c r="BL70" s="3">
        <v>0.39600000000000002</v>
      </c>
      <c r="BM70" s="3">
        <v>0</v>
      </c>
      <c r="BN70" s="3">
        <v>0.28499999999999998</v>
      </c>
      <c r="BO70" s="3">
        <v>0.125</v>
      </c>
      <c r="BP70" s="3">
        <v>0</v>
      </c>
      <c r="BQ70" s="3">
        <v>0.47099999999999997</v>
      </c>
      <c r="BR70" s="3">
        <v>0.43033333299999998</v>
      </c>
      <c r="BS70" s="3">
        <v>0</v>
      </c>
      <c r="BT70" s="3">
        <v>0.89700000000000002</v>
      </c>
      <c r="BU70" s="3">
        <v>0.488166667</v>
      </c>
      <c r="BV70" s="3">
        <v>0</v>
      </c>
      <c r="BW70" s="3">
        <v>6.5000000000000002E-2</v>
      </c>
      <c r="BX70" s="3">
        <v>0.58599999999999997</v>
      </c>
      <c r="BY70" s="3">
        <v>0</v>
      </c>
      <c r="BZ70" s="3">
        <v>6.5000000000000002E-2</v>
      </c>
      <c r="CA70" s="3">
        <v>0.59350000000000003</v>
      </c>
      <c r="CB70" s="3">
        <v>0</v>
      </c>
      <c r="CC70" s="3">
        <v>0.61599999999999999</v>
      </c>
      <c r="CD70" s="3">
        <v>0.52633333299999996</v>
      </c>
      <c r="CE70" s="3">
        <v>0</v>
      </c>
      <c r="CF70" s="3">
        <v>0.57499999999999996</v>
      </c>
      <c r="CG70" s="3">
        <v>0.64349999999999996</v>
      </c>
      <c r="CH70" s="3">
        <v>0</v>
      </c>
      <c r="CI70" s="3">
        <v>0.61799999999999999</v>
      </c>
      <c r="CJ70" s="3">
        <v>0.84266666700000004</v>
      </c>
      <c r="CK70" s="3">
        <v>0</v>
      </c>
      <c r="CL70" s="3">
        <v>0.74199999999999999</v>
      </c>
      <c r="CM70" s="3">
        <v>0.01</v>
      </c>
      <c r="CN70" s="3">
        <v>0</v>
      </c>
      <c r="CO70" s="3">
        <v>0.71199999999999997</v>
      </c>
      <c r="CP70" s="3">
        <v>0.47733333300000003</v>
      </c>
      <c r="CQ70" s="3">
        <v>0</v>
      </c>
      <c r="CR70" s="3">
        <v>0.65400000000000003</v>
      </c>
      <c r="CS70" s="3">
        <v>0.621</v>
      </c>
      <c r="CT70" s="48" t="s">
        <v>311</v>
      </c>
      <c r="CU70" s="49" t="s">
        <v>343</v>
      </c>
      <c r="CV70" s="3">
        <v>1.5720000000000001</v>
      </c>
      <c r="CW70" s="3">
        <v>1.605</v>
      </c>
      <c r="CX70" s="3">
        <v>1.4730000000000001</v>
      </c>
      <c r="CY70" s="3">
        <v>1.9530000000000001</v>
      </c>
      <c r="CZ70" s="3">
        <v>1.494</v>
      </c>
      <c r="DA70" s="3">
        <v>6.4560000000000004</v>
      </c>
      <c r="DB70" s="3">
        <v>0.20799999999999999</v>
      </c>
      <c r="DC70" s="3">
        <v>4.5709999999999997</v>
      </c>
      <c r="DD70" s="3">
        <v>3.835</v>
      </c>
      <c r="DE70" s="3">
        <v>3.6230000000000002</v>
      </c>
      <c r="DF70" s="3">
        <v>3.5550000000000002</v>
      </c>
      <c r="DG70" s="3">
        <v>5.0869999999999997</v>
      </c>
      <c r="DH70" s="3">
        <v>4.242</v>
      </c>
    </row>
    <row r="71" spans="1:112" x14ac:dyDescent="0.3">
      <c r="A71" s="48" t="s">
        <v>311</v>
      </c>
      <c r="B71" s="49" t="s">
        <v>344</v>
      </c>
      <c r="C71" s="3">
        <v>66.466085699999994</v>
      </c>
      <c r="D71" s="3">
        <v>51.989721099999997</v>
      </c>
      <c r="E71" s="3">
        <v>51.989721099999997</v>
      </c>
      <c r="F71" s="3">
        <v>26.510614100000002</v>
      </c>
      <c r="G71" s="3">
        <v>26.510614100000002</v>
      </c>
      <c r="H71" s="3">
        <v>51.989721099999997</v>
      </c>
      <c r="I71" s="48" t="s">
        <v>311</v>
      </c>
      <c r="J71" s="49" t="s">
        <v>344</v>
      </c>
      <c r="K71" s="3">
        <v>45149</v>
      </c>
      <c r="L71" s="48" t="s">
        <v>311</v>
      </c>
      <c r="M71" s="49" t="s">
        <v>344</v>
      </c>
      <c r="N71" s="3">
        <v>9744.2118559999999</v>
      </c>
      <c r="O71" s="3">
        <v>11567.804690000001</v>
      </c>
      <c r="P71" s="3">
        <v>7272.426684</v>
      </c>
      <c r="Q71" s="3">
        <v>6228.8633550000004</v>
      </c>
      <c r="R71" s="3">
        <v>11264.12854</v>
      </c>
      <c r="S71" s="3">
        <v>13058.382149999999</v>
      </c>
      <c r="T71" s="3">
        <v>9358.6593840000005</v>
      </c>
      <c r="U71" s="3">
        <v>12288.03</v>
      </c>
      <c r="V71" s="3">
        <v>8498.4507790000007</v>
      </c>
      <c r="W71" s="3">
        <v>4703.9797429999999</v>
      </c>
      <c r="X71" s="3">
        <v>9417.9520869999997</v>
      </c>
      <c r="Y71" s="3">
        <v>853.78537340000003</v>
      </c>
      <c r="Z71" s="3">
        <v>3057.2846869999998</v>
      </c>
      <c r="AA71" s="48" t="s">
        <v>311</v>
      </c>
      <c r="AB71" s="49" t="s">
        <v>344</v>
      </c>
      <c r="AC71" s="3">
        <v>818.76475249999999</v>
      </c>
      <c r="AD71" s="3">
        <v>808.67845690000001</v>
      </c>
      <c r="AE71" s="3">
        <v>530.79543230000002</v>
      </c>
      <c r="AF71" s="3">
        <v>170.1407308</v>
      </c>
      <c r="AG71" s="3">
        <v>1340.197921</v>
      </c>
      <c r="AH71" s="3">
        <v>1088.3586</v>
      </c>
      <c r="AI71" s="3">
        <v>1250.509139</v>
      </c>
      <c r="AJ71" s="3">
        <v>965.21880539999995</v>
      </c>
      <c r="AK71" s="3">
        <v>391.3266946</v>
      </c>
      <c r="AL71" s="3">
        <v>582.87939370000004</v>
      </c>
      <c r="AM71" s="3">
        <v>1070.081999</v>
      </c>
      <c r="AN71" s="3">
        <v>132.51255280000001</v>
      </c>
      <c r="AO71" s="3">
        <v>404.42057319999998</v>
      </c>
      <c r="AP71" s="48" t="s">
        <v>311</v>
      </c>
      <c r="AQ71" s="49" t="s">
        <v>344</v>
      </c>
      <c r="AR71" s="3">
        <v>858.69508199999996</v>
      </c>
      <c r="AS71" s="3">
        <v>1164.194898</v>
      </c>
      <c r="AT71" s="3">
        <v>1061.6585709999999</v>
      </c>
      <c r="AU71" s="3">
        <v>1023.556946</v>
      </c>
      <c r="AV71" s="3">
        <v>276.46011750000002</v>
      </c>
      <c r="AW71" s="3">
        <v>1514.8062930000001</v>
      </c>
      <c r="AX71" s="3">
        <v>934.76472660000002</v>
      </c>
      <c r="AY71" s="3">
        <v>1130.733242</v>
      </c>
      <c r="AZ71" s="3">
        <v>644.73771599999998</v>
      </c>
      <c r="BA71" s="3">
        <v>338.59251719999997</v>
      </c>
      <c r="BB71" s="3">
        <v>571.87580730000002</v>
      </c>
      <c r="BC71" s="3">
        <v>157.0130436</v>
      </c>
      <c r="BD71" s="3">
        <v>771.03374459999998</v>
      </c>
      <c r="BE71" s="48" t="s">
        <v>311</v>
      </c>
      <c r="BF71" s="49" t="s">
        <v>344</v>
      </c>
      <c r="BG71" s="3">
        <v>0</v>
      </c>
      <c r="BH71" s="3">
        <v>0.47599999999999998</v>
      </c>
      <c r="BI71" s="3">
        <v>0.47149999999999997</v>
      </c>
      <c r="BJ71" s="3">
        <v>0</v>
      </c>
      <c r="BK71" s="3">
        <v>0.36099999999999999</v>
      </c>
      <c r="BL71" s="3">
        <v>0.39300000000000002</v>
      </c>
      <c r="BM71" s="3">
        <v>0</v>
      </c>
      <c r="BN71" s="3">
        <v>0.30499999999999999</v>
      </c>
      <c r="BO71" s="3">
        <v>0.124</v>
      </c>
      <c r="BP71" s="3">
        <v>0</v>
      </c>
      <c r="BQ71" s="3">
        <v>0.502</v>
      </c>
      <c r="BR71" s="3">
        <v>0.44766666700000002</v>
      </c>
      <c r="BS71" s="3">
        <v>0</v>
      </c>
      <c r="BT71" s="3">
        <v>0.878</v>
      </c>
      <c r="BU71" s="3">
        <v>0.49208333399999998</v>
      </c>
      <c r="BV71" s="3">
        <v>0</v>
      </c>
      <c r="BW71" s="3">
        <v>0.156</v>
      </c>
      <c r="BX71" s="3">
        <v>0.627</v>
      </c>
      <c r="BY71" s="3">
        <v>0</v>
      </c>
      <c r="BZ71" s="3">
        <v>0.156</v>
      </c>
      <c r="CA71" s="3">
        <v>0.60850000000000004</v>
      </c>
      <c r="CB71" s="3">
        <v>0</v>
      </c>
      <c r="CC71" s="3">
        <v>0.625</v>
      </c>
      <c r="CD71" s="3">
        <v>0.51266666699999996</v>
      </c>
      <c r="CE71" s="3">
        <v>0</v>
      </c>
      <c r="CF71" s="3">
        <v>0.56899999999999995</v>
      </c>
      <c r="CG71" s="3">
        <v>0.625</v>
      </c>
      <c r="CH71" s="3">
        <v>0</v>
      </c>
      <c r="CI71" s="3">
        <v>0.65800000000000003</v>
      </c>
      <c r="CJ71" s="3">
        <v>0.85333333300000003</v>
      </c>
      <c r="CK71" s="3">
        <v>0</v>
      </c>
      <c r="CL71" s="3">
        <v>0.70199999999999996</v>
      </c>
      <c r="CM71" s="3">
        <v>0.01</v>
      </c>
      <c r="CN71" s="3">
        <v>0</v>
      </c>
      <c r="CO71" s="3">
        <v>0.68100000000000005</v>
      </c>
      <c r="CP71" s="3">
        <v>0.44366666700000001</v>
      </c>
      <c r="CQ71" s="3">
        <v>0</v>
      </c>
      <c r="CR71" s="3">
        <v>0.62</v>
      </c>
      <c r="CS71" s="3">
        <v>0.61599999999999999</v>
      </c>
      <c r="CT71" s="48" t="s">
        <v>311</v>
      </c>
      <c r="CU71" s="49" t="s">
        <v>344</v>
      </c>
      <c r="CV71" s="3">
        <v>1.371</v>
      </c>
      <c r="CW71" s="3">
        <v>1.6339999999999999</v>
      </c>
      <c r="CX71" s="3">
        <v>1.2929999999999999</v>
      </c>
      <c r="CY71" s="3">
        <v>1.62</v>
      </c>
      <c r="CZ71" s="3">
        <v>1.7250000000000001</v>
      </c>
      <c r="DA71" s="3">
        <v>6.415</v>
      </c>
      <c r="DB71" s="3">
        <v>0.19600000000000001</v>
      </c>
      <c r="DC71" s="3">
        <v>4.5659999999999998</v>
      </c>
      <c r="DD71" s="3">
        <v>3.871</v>
      </c>
      <c r="DE71" s="3">
        <v>4.048</v>
      </c>
      <c r="DF71" s="3">
        <v>3.8109999999999999</v>
      </c>
      <c r="DG71" s="3">
        <v>4.9050000000000002</v>
      </c>
      <c r="DH71" s="3">
        <v>4.0869999999999997</v>
      </c>
    </row>
    <row r="72" spans="1:112" x14ac:dyDescent="0.3">
      <c r="A72" s="48" t="s">
        <v>311</v>
      </c>
      <c r="B72" s="49" t="s">
        <v>345</v>
      </c>
      <c r="C72" s="3">
        <v>63.733032700000003</v>
      </c>
      <c r="D72" s="3">
        <v>53.805878900000003</v>
      </c>
      <c r="E72" s="3">
        <v>36.587645000000002</v>
      </c>
      <c r="F72" s="3">
        <v>25.937554599999999</v>
      </c>
      <c r="G72" s="3">
        <v>25.937554599999999</v>
      </c>
      <c r="H72" s="3">
        <v>53.805878900000003</v>
      </c>
      <c r="I72" s="48" t="s">
        <v>311</v>
      </c>
      <c r="J72" s="49" t="s">
        <v>345</v>
      </c>
      <c r="K72" s="3">
        <v>40933.5</v>
      </c>
      <c r="L72" s="48" t="s">
        <v>311</v>
      </c>
      <c r="M72" s="49" t="s">
        <v>345</v>
      </c>
      <c r="N72" s="3">
        <v>8865.1317409999992</v>
      </c>
      <c r="O72" s="3">
        <v>10323.76374</v>
      </c>
      <c r="P72" s="3">
        <v>6511.9559140000001</v>
      </c>
      <c r="Q72" s="3">
        <v>5586.7335979999998</v>
      </c>
      <c r="R72" s="3">
        <v>10577.146280000001</v>
      </c>
      <c r="S72" s="3">
        <v>11821.871719999999</v>
      </c>
      <c r="T72" s="3">
        <v>8679.2015240000001</v>
      </c>
      <c r="U72" s="3">
        <v>11218.32861</v>
      </c>
      <c r="V72" s="3">
        <v>7457.120062</v>
      </c>
      <c r="W72" s="3">
        <v>2985.1260539999998</v>
      </c>
      <c r="X72" s="3">
        <v>8549.1633139999994</v>
      </c>
      <c r="Y72" s="3">
        <v>561.0060962</v>
      </c>
      <c r="Z72" s="3">
        <v>2113.507697</v>
      </c>
      <c r="AA72" s="48" t="s">
        <v>311</v>
      </c>
      <c r="AB72" s="49" t="s">
        <v>345</v>
      </c>
      <c r="AC72" s="3">
        <v>746.45219599999996</v>
      </c>
      <c r="AD72" s="3">
        <v>737.25671279999995</v>
      </c>
      <c r="AE72" s="3">
        <v>475.68552399999999</v>
      </c>
      <c r="AF72" s="3">
        <v>152.47584620000001</v>
      </c>
      <c r="AG72" s="3">
        <v>1221.832862</v>
      </c>
      <c r="AH72" s="3">
        <v>992.23576060000005</v>
      </c>
      <c r="AI72" s="3">
        <v>1120.6748560000001</v>
      </c>
      <c r="AJ72" s="3">
        <v>879.97156050000001</v>
      </c>
      <c r="AK72" s="3">
        <v>356.76507770000001</v>
      </c>
      <c r="AL72" s="3">
        <v>531.40001700000005</v>
      </c>
      <c r="AM72" s="3">
        <v>975.57333259999996</v>
      </c>
      <c r="AN72" s="3">
        <v>120.8091649</v>
      </c>
      <c r="AO72" s="3">
        <v>368.70251689999998</v>
      </c>
      <c r="AP72" s="48" t="s">
        <v>311</v>
      </c>
      <c r="AQ72" s="49" t="s">
        <v>345</v>
      </c>
      <c r="AR72" s="3">
        <v>817.80484000000001</v>
      </c>
      <c r="AS72" s="3">
        <v>1108.7570459999999</v>
      </c>
      <c r="AT72" s="3">
        <v>1010.331566</v>
      </c>
      <c r="AU72" s="3">
        <v>974.07200439999997</v>
      </c>
      <c r="AV72" s="3">
        <v>263.29534999999998</v>
      </c>
      <c r="AW72" s="3">
        <v>1442.67266</v>
      </c>
      <c r="AX72" s="3">
        <v>889.57253879999996</v>
      </c>
      <c r="AY72" s="3">
        <v>1076.8888019999999</v>
      </c>
      <c r="AZ72" s="3">
        <v>614.03592000000003</v>
      </c>
      <c r="BA72" s="3">
        <v>322.469064</v>
      </c>
      <c r="BB72" s="3">
        <v>544.64362600000004</v>
      </c>
      <c r="BC72" s="3">
        <v>149.53623200000001</v>
      </c>
      <c r="BD72" s="3">
        <v>734.31785200000002</v>
      </c>
      <c r="BE72" s="48" t="s">
        <v>311</v>
      </c>
      <c r="BF72" s="49" t="s">
        <v>345</v>
      </c>
      <c r="BG72" s="3">
        <v>0</v>
      </c>
      <c r="BH72" s="3">
        <v>0.498</v>
      </c>
      <c r="BI72" s="3">
        <v>0.46350000000000002</v>
      </c>
      <c r="BJ72" s="3">
        <v>0</v>
      </c>
      <c r="BK72" s="3">
        <v>0.38200000000000001</v>
      </c>
      <c r="BL72" s="3">
        <v>0.36399999999999999</v>
      </c>
      <c r="BM72" s="3">
        <v>0</v>
      </c>
      <c r="BN72" s="3">
        <v>0.36399999999999999</v>
      </c>
      <c r="BO72" s="3">
        <v>0.111</v>
      </c>
      <c r="BP72" s="3">
        <v>0</v>
      </c>
      <c r="BQ72" s="3">
        <v>0.55100000000000005</v>
      </c>
      <c r="BR72" s="3">
        <v>0.45533333300000001</v>
      </c>
      <c r="BS72" s="3">
        <v>0</v>
      </c>
      <c r="BT72" s="3">
        <v>0.83899999999999997</v>
      </c>
      <c r="BU72" s="3">
        <v>0.47075</v>
      </c>
      <c r="BV72" s="3">
        <v>0</v>
      </c>
      <c r="BW72" s="3">
        <v>0.32100000000000001</v>
      </c>
      <c r="BX72" s="3">
        <v>0.628</v>
      </c>
      <c r="BY72" s="3">
        <v>0</v>
      </c>
      <c r="BZ72" s="3">
        <v>0.32100000000000001</v>
      </c>
      <c r="CA72" s="3">
        <v>0.62749999999999995</v>
      </c>
      <c r="CB72" s="3">
        <v>0</v>
      </c>
      <c r="CC72" s="3">
        <v>0.61899999999999999</v>
      </c>
      <c r="CD72" s="3">
        <v>0.47799999999999998</v>
      </c>
      <c r="CE72" s="3">
        <v>0</v>
      </c>
      <c r="CF72" s="3">
        <v>0.55900000000000005</v>
      </c>
      <c r="CG72" s="3">
        <v>0.59799999999999998</v>
      </c>
      <c r="CH72" s="3">
        <v>0</v>
      </c>
      <c r="CI72" s="3">
        <v>0.64700000000000002</v>
      </c>
      <c r="CJ72" s="3">
        <v>0.84299999999999997</v>
      </c>
      <c r="CK72" s="3">
        <v>0</v>
      </c>
      <c r="CL72" s="3">
        <v>0.61199999999999999</v>
      </c>
      <c r="CM72" s="3">
        <v>0.01</v>
      </c>
      <c r="CN72" s="3">
        <v>0</v>
      </c>
      <c r="CO72" s="3">
        <v>0.65800000000000003</v>
      </c>
      <c r="CP72" s="3">
        <v>0.41633333300000003</v>
      </c>
      <c r="CQ72" s="3">
        <v>0</v>
      </c>
      <c r="CR72" s="3">
        <v>0.66100000000000003</v>
      </c>
      <c r="CS72" s="3">
        <v>0.61299999999999999</v>
      </c>
      <c r="CT72" s="48" t="s">
        <v>311</v>
      </c>
      <c r="CU72" s="49" t="s">
        <v>345</v>
      </c>
      <c r="CV72" s="3">
        <v>1.387</v>
      </c>
      <c r="CW72" s="3">
        <v>1.806</v>
      </c>
      <c r="CX72" s="3">
        <v>1.48</v>
      </c>
      <c r="CY72" s="3">
        <v>1.26</v>
      </c>
      <c r="CZ72" s="3">
        <v>2.077</v>
      </c>
      <c r="DA72" s="3">
        <v>6.4109999999999996</v>
      </c>
      <c r="DB72" s="3">
        <v>-1.9E-2</v>
      </c>
      <c r="DC72" s="3">
        <v>4.68</v>
      </c>
      <c r="DD72" s="3">
        <v>4.0090000000000003</v>
      </c>
      <c r="DE72" s="3">
        <v>4.1870000000000003</v>
      </c>
      <c r="DF72" s="3">
        <v>3.4420000000000002</v>
      </c>
      <c r="DG72" s="3">
        <v>4.6619999999999999</v>
      </c>
      <c r="DH72" s="3">
        <v>3.9009999999999998</v>
      </c>
    </row>
    <row r="73" spans="1:112" x14ac:dyDescent="0.3">
      <c r="A73" s="48" t="s">
        <v>311</v>
      </c>
      <c r="B73" s="49" t="s">
        <v>346</v>
      </c>
      <c r="C73" s="3">
        <v>50.455684900000001</v>
      </c>
      <c r="D73" s="3">
        <v>48.242793599999999</v>
      </c>
      <c r="E73" s="3">
        <v>48.242793599999999</v>
      </c>
      <c r="F73" s="3">
        <v>24.914863799999999</v>
      </c>
      <c r="G73" s="3">
        <v>24.914863799999999</v>
      </c>
      <c r="H73" s="3">
        <v>48.242793599999999</v>
      </c>
      <c r="I73" s="48" t="s">
        <v>311</v>
      </c>
      <c r="J73" s="49" t="s">
        <v>346</v>
      </c>
      <c r="K73" s="3">
        <v>36147.5</v>
      </c>
      <c r="L73" s="48" t="s">
        <v>311</v>
      </c>
      <c r="M73" s="49" t="s">
        <v>346</v>
      </c>
      <c r="N73" s="3">
        <v>7374.6840629999997</v>
      </c>
      <c r="O73" s="3">
        <v>8411.6200100000005</v>
      </c>
      <c r="P73" s="3">
        <v>5215.6290090000002</v>
      </c>
      <c r="Q73" s="3">
        <v>4537.7368990000004</v>
      </c>
      <c r="R73" s="3">
        <v>9198.9183840000005</v>
      </c>
      <c r="S73" s="3">
        <v>9729.9887280000003</v>
      </c>
      <c r="T73" s="3">
        <v>7419.8800090000004</v>
      </c>
      <c r="U73" s="3">
        <v>9448.4165649999995</v>
      </c>
      <c r="V73" s="3">
        <v>6098.0452800000003</v>
      </c>
      <c r="W73" s="3">
        <v>1742.876088</v>
      </c>
      <c r="X73" s="3">
        <v>7089.7925109999996</v>
      </c>
      <c r="Y73" s="3">
        <v>346.41232400000001</v>
      </c>
      <c r="Z73" s="3">
        <v>1290.9693729999999</v>
      </c>
      <c r="AA73" s="48" t="s">
        <v>311</v>
      </c>
      <c r="AB73" s="49" t="s">
        <v>346</v>
      </c>
      <c r="AC73" s="3">
        <v>648.48034529999995</v>
      </c>
      <c r="AD73" s="3">
        <v>640.49176920000002</v>
      </c>
      <c r="AE73" s="3">
        <v>437.97874460000003</v>
      </c>
      <c r="AF73" s="3">
        <v>140.38934620000001</v>
      </c>
      <c r="AG73" s="3">
        <v>1061.4672989999999</v>
      </c>
      <c r="AH73" s="3">
        <v>862.004817</v>
      </c>
      <c r="AI73" s="3">
        <v>1031.840874</v>
      </c>
      <c r="AJ73" s="3">
        <v>764.47529320000001</v>
      </c>
      <c r="AK73" s="3">
        <v>309.93966119999999</v>
      </c>
      <c r="AL73" s="3">
        <v>461.65376479999998</v>
      </c>
      <c r="AM73" s="3">
        <v>847.52933270000005</v>
      </c>
      <c r="AN73" s="3">
        <v>104.952962</v>
      </c>
      <c r="AO73" s="3">
        <v>320.31031150000001</v>
      </c>
      <c r="AP73" s="48" t="s">
        <v>311</v>
      </c>
      <c r="AQ73" s="49" t="s">
        <v>346</v>
      </c>
      <c r="AR73" s="3">
        <v>716.65529400000003</v>
      </c>
      <c r="AS73" s="3">
        <v>971.62130609999997</v>
      </c>
      <c r="AT73" s="3">
        <v>923.8860846</v>
      </c>
      <c r="AU73" s="3">
        <v>890.7289452</v>
      </c>
      <c r="AV73" s="3">
        <v>230.7298725</v>
      </c>
      <c r="AW73" s="3">
        <v>1264.2368309999999</v>
      </c>
      <c r="AX73" s="3">
        <v>813.45938039999999</v>
      </c>
      <c r="AY73" s="3">
        <v>943.69466069999999</v>
      </c>
      <c r="AZ73" s="3">
        <v>538.08937200000003</v>
      </c>
      <c r="BA73" s="3">
        <v>282.58473240000001</v>
      </c>
      <c r="BB73" s="3">
        <v>477.27980910000002</v>
      </c>
      <c r="BC73" s="3">
        <v>131.0409612</v>
      </c>
      <c r="BD73" s="3">
        <v>643.49432820000004</v>
      </c>
      <c r="BE73" s="48" t="s">
        <v>311</v>
      </c>
      <c r="BF73" s="49" t="s">
        <v>346</v>
      </c>
      <c r="BG73" s="3">
        <v>0</v>
      </c>
      <c r="BH73" s="3">
        <v>0.52100000000000002</v>
      </c>
      <c r="BI73" s="3">
        <v>0.42</v>
      </c>
      <c r="BJ73" s="3">
        <v>0</v>
      </c>
      <c r="BK73" s="3">
        <v>0.35199999999999998</v>
      </c>
      <c r="BL73" s="3">
        <v>0.316</v>
      </c>
      <c r="BM73" s="3">
        <v>0</v>
      </c>
      <c r="BN73" s="3">
        <v>0.34300000000000003</v>
      </c>
      <c r="BO73" s="3">
        <v>9.7000000000000003E-2</v>
      </c>
      <c r="BP73" s="3">
        <v>0</v>
      </c>
      <c r="BQ73" s="3">
        <v>0.55900000000000005</v>
      </c>
      <c r="BR73" s="3">
        <v>0.47266666699999998</v>
      </c>
      <c r="BS73" s="3">
        <v>0</v>
      </c>
      <c r="BT73" s="3">
        <v>0.77300000000000002</v>
      </c>
      <c r="BU73" s="3">
        <v>0.42849999999999999</v>
      </c>
      <c r="BV73" s="3">
        <v>0</v>
      </c>
      <c r="BW73" s="3">
        <v>0.45</v>
      </c>
      <c r="BX73" s="3">
        <v>0.629</v>
      </c>
      <c r="BY73" s="3">
        <v>0</v>
      </c>
      <c r="BZ73" s="3">
        <v>0.45</v>
      </c>
      <c r="CA73" s="3">
        <v>0.65100000000000002</v>
      </c>
      <c r="CB73" s="3">
        <v>0</v>
      </c>
      <c r="CC73" s="3">
        <v>0.628</v>
      </c>
      <c r="CD73" s="3">
        <v>0.437</v>
      </c>
      <c r="CE73" s="3">
        <v>0</v>
      </c>
      <c r="CF73" s="3">
        <v>0.55200000000000005</v>
      </c>
      <c r="CG73" s="3">
        <v>0.5595</v>
      </c>
      <c r="CH73" s="3">
        <v>0</v>
      </c>
      <c r="CI73" s="3">
        <v>0.626</v>
      </c>
      <c r="CJ73" s="3">
        <v>0.820333333</v>
      </c>
      <c r="CK73" s="3">
        <v>0</v>
      </c>
      <c r="CL73" s="3">
        <v>0.57399999999999995</v>
      </c>
      <c r="CM73" s="3">
        <v>0.01</v>
      </c>
      <c r="CN73" s="3">
        <v>0</v>
      </c>
      <c r="CO73" s="3">
        <v>0.66400000000000003</v>
      </c>
      <c r="CP73" s="3">
        <v>0.39466666700000003</v>
      </c>
      <c r="CQ73" s="3">
        <v>0</v>
      </c>
      <c r="CR73" s="3">
        <v>0.69799999999999995</v>
      </c>
      <c r="CS73" s="3">
        <v>0.65500000000000003</v>
      </c>
      <c r="CT73" s="48" t="s">
        <v>311</v>
      </c>
      <c r="CU73" s="49" t="s">
        <v>346</v>
      </c>
      <c r="CV73" s="3">
        <v>1.873</v>
      </c>
      <c r="CW73" s="3">
        <v>1.5389999999999999</v>
      </c>
      <c r="CX73" s="3">
        <v>1.39</v>
      </c>
      <c r="CY73" s="3">
        <v>1.1339999999999999</v>
      </c>
      <c r="CZ73" s="3">
        <v>2.3519999999999999</v>
      </c>
      <c r="DA73" s="3">
        <v>6.2629999999999999</v>
      </c>
      <c r="DB73" s="3">
        <v>-0.60099999999999998</v>
      </c>
      <c r="DC73" s="3">
        <v>4.8159999999999998</v>
      </c>
      <c r="DD73" s="3">
        <v>4.1890000000000001</v>
      </c>
      <c r="DE73" s="3">
        <v>4.2050000000000001</v>
      </c>
      <c r="DF73" s="3">
        <v>3.1139999999999999</v>
      </c>
      <c r="DG73" s="3">
        <v>4.3769999999999998</v>
      </c>
      <c r="DH73" s="3">
        <v>3.7360000000000002</v>
      </c>
    </row>
    <row r="74" spans="1:112" x14ac:dyDescent="0.3">
      <c r="A74" s="48" t="s">
        <v>311</v>
      </c>
      <c r="B74" s="49" t="s">
        <v>347</v>
      </c>
      <c r="C74" s="3">
        <v>40.863550500000002</v>
      </c>
      <c r="D74" s="3">
        <v>42.521014899999997</v>
      </c>
      <c r="E74" s="3">
        <v>34.207244000000003</v>
      </c>
      <c r="F74" s="3">
        <v>25.267515800000002</v>
      </c>
      <c r="G74" s="3">
        <v>25.267515800000002</v>
      </c>
      <c r="H74" s="3">
        <v>42.521014899999997</v>
      </c>
      <c r="I74" s="48" t="s">
        <v>311</v>
      </c>
      <c r="J74" s="49" t="s">
        <v>347</v>
      </c>
      <c r="K74" s="3">
        <v>32057.5</v>
      </c>
      <c r="L74" s="48" t="s">
        <v>311</v>
      </c>
      <c r="M74" s="49" t="s">
        <v>347</v>
      </c>
      <c r="N74" s="3">
        <v>4924.5015530000001</v>
      </c>
      <c r="O74" s="3">
        <v>5579.2722100000001</v>
      </c>
      <c r="P74" s="3">
        <v>3483.826552</v>
      </c>
      <c r="Q74" s="3">
        <v>3220.2277629999999</v>
      </c>
      <c r="R74" s="3">
        <v>6543.6923820000002</v>
      </c>
      <c r="S74" s="3">
        <v>6552.328289</v>
      </c>
      <c r="T74" s="3">
        <v>5158.2296130000004</v>
      </c>
      <c r="U74" s="3">
        <v>6287.5922970000001</v>
      </c>
      <c r="V74" s="3">
        <v>3942.719587</v>
      </c>
      <c r="W74" s="3">
        <v>1319.5599199999999</v>
      </c>
      <c r="X74" s="3">
        <v>4746.8724469999997</v>
      </c>
      <c r="Y74" s="3">
        <v>235.58460819999999</v>
      </c>
      <c r="Z74" s="3">
        <v>959.40012279999996</v>
      </c>
      <c r="AA74" s="48" t="s">
        <v>311</v>
      </c>
      <c r="AB74" s="49" t="s">
        <v>347</v>
      </c>
      <c r="AC74" s="3">
        <v>671.80697640000005</v>
      </c>
      <c r="AD74" s="3">
        <v>663.53104150000001</v>
      </c>
      <c r="AE74" s="3">
        <v>455.38187360000001</v>
      </c>
      <c r="AF74" s="3">
        <v>145.9677308</v>
      </c>
      <c r="AG74" s="3">
        <v>1099.649576</v>
      </c>
      <c r="AH74" s="3">
        <v>893.01218449999999</v>
      </c>
      <c r="AI74" s="3">
        <v>1072.8411739999999</v>
      </c>
      <c r="AJ74" s="3">
        <v>791.97440440000003</v>
      </c>
      <c r="AK74" s="3">
        <v>321.08856989999998</v>
      </c>
      <c r="AL74" s="3">
        <v>478.26001530000002</v>
      </c>
      <c r="AM74" s="3">
        <v>878.01599940000006</v>
      </c>
      <c r="AN74" s="3">
        <v>108.7282484</v>
      </c>
      <c r="AO74" s="3">
        <v>331.83226519999999</v>
      </c>
      <c r="AP74" s="48" t="s">
        <v>311</v>
      </c>
      <c r="AQ74" s="49" t="s">
        <v>347</v>
      </c>
      <c r="AR74" s="3">
        <v>649.93963599999995</v>
      </c>
      <c r="AS74" s="3">
        <v>881.17007339999998</v>
      </c>
      <c r="AT74" s="3">
        <v>837.44060300000001</v>
      </c>
      <c r="AU74" s="3">
        <v>807.38588600000003</v>
      </c>
      <c r="AV74" s="3">
        <v>209.25051500000001</v>
      </c>
      <c r="AW74" s="3">
        <v>1146.545114</v>
      </c>
      <c r="AX74" s="3">
        <v>737.34622200000001</v>
      </c>
      <c r="AY74" s="3">
        <v>855.84320579999996</v>
      </c>
      <c r="AZ74" s="3">
        <v>487.99696799999998</v>
      </c>
      <c r="BA74" s="3">
        <v>256.27804559999998</v>
      </c>
      <c r="BB74" s="3">
        <v>432.8483554</v>
      </c>
      <c r="BC74" s="3">
        <v>118.8419528</v>
      </c>
      <c r="BD74" s="3">
        <v>583.58945080000001</v>
      </c>
      <c r="BE74" s="48" t="s">
        <v>311</v>
      </c>
      <c r="BF74" s="49" t="s">
        <v>347</v>
      </c>
      <c r="BG74" s="3">
        <v>0</v>
      </c>
      <c r="BH74" s="3">
        <v>0.54400000000000004</v>
      </c>
      <c r="BI74" s="3">
        <v>0.36349999999999999</v>
      </c>
      <c r="BJ74" s="3">
        <v>0</v>
      </c>
      <c r="BK74" s="3">
        <v>0.28799999999999998</v>
      </c>
      <c r="BL74" s="3">
        <v>0.27650000000000002</v>
      </c>
      <c r="BM74" s="3">
        <v>0</v>
      </c>
      <c r="BN74" s="3">
        <v>0.29099999999999998</v>
      </c>
      <c r="BO74" s="3">
        <v>9.4500000000000001E-2</v>
      </c>
      <c r="BP74" s="3">
        <v>0</v>
      </c>
      <c r="BQ74" s="3">
        <v>0.46300000000000002</v>
      </c>
      <c r="BR74" s="3">
        <v>0.47466666699999999</v>
      </c>
      <c r="BS74" s="3">
        <v>0</v>
      </c>
      <c r="BT74" s="3">
        <v>0.64200000000000002</v>
      </c>
      <c r="BU74" s="3">
        <v>0.37991666699999999</v>
      </c>
      <c r="BV74" s="3">
        <v>0</v>
      </c>
      <c r="BW74" s="3">
        <v>0.505</v>
      </c>
      <c r="BX74" s="3">
        <v>0.6</v>
      </c>
      <c r="BY74" s="3">
        <v>0</v>
      </c>
      <c r="BZ74" s="3">
        <v>0.505</v>
      </c>
      <c r="CA74" s="3">
        <v>0.68899999999999995</v>
      </c>
      <c r="CB74" s="3">
        <v>0</v>
      </c>
      <c r="CC74" s="3">
        <v>0.63</v>
      </c>
      <c r="CD74" s="3">
        <v>0.39633333300000001</v>
      </c>
      <c r="CE74" s="3">
        <v>0</v>
      </c>
      <c r="CF74" s="3">
        <v>0.52500000000000002</v>
      </c>
      <c r="CG74" s="3">
        <v>0.52900000000000003</v>
      </c>
      <c r="CH74" s="3">
        <v>0</v>
      </c>
      <c r="CI74" s="3">
        <v>0.61199999999999999</v>
      </c>
      <c r="CJ74" s="3">
        <v>0.799666667</v>
      </c>
      <c r="CK74" s="3">
        <v>0</v>
      </c>
      <c r="CL74" s="3">
        <v>0.55300000000000005</v>
      </c>
      <c r="CM74" s="3">
        <v>0.01</v>
      </c>
      <c r="CN74" s="3">
        <v>0</v>
      </c>
      <c r="CO74" s="3">
        <v>0.70299999999999996</v>
      </c>
      <c r="CP74" s="3">
        <v>0.38766666700000002</v>
      </c>
      <c r="CQ74" s="3">
        <v>0</v>
      </c>
      <c r="CR74" s="3">
        <v>0.72499999999999998</v>
      </c>
      <c r="CS74" s="3">
        <v>0.69</v>
      </c>
      <c r="CT74" s="48" t="s">
        <v>311</v>
      </c>
      <c r="CU74" s="49" t="s">
        <v>347</v>
      </c>
      <c r="CV74" s="3">
        <v>2.1680000000000001</v>
      </c>
      <c r="CW74" s="3">
        <v>1.42</v>
      </c>
      <c r="CX74" s="3">
        <v>1.369</v>
      </c>
      <c r="CY74" s="3">
        <v>1.589</v>
      </c>
      <c r="CZ74" s="3">
        <v>2.36</v>
      </c>
      <c r="DA74" s="3">
        <v>5.7519999999999998</v>
      </c>
      <c r="DB74" s="3">
        <v>-1.1040000000000001</v>
      </c>
      <c r="DC74" s="3">
        <v>4.8499999999999996</v>
      </c>
      <c r="DD74" s="3">
        <v>4.1349999999999998</v>
      </c>
      <c r="DE74" s="3">
        <v>4.1020000000000003</v>
      </c>
      <c r="DF74" s="3">
        <v>2.8340000000000001</v>
      </c>
      <c r="DG74" s="3">
        <v>4.2380000000000004</v>
      </c>
      <c r="DH74" s="3">
        <v>3.7829999999999999</v>
      </c>
    </row>
    <row r="75" spans="1:112" x14ac:dyDescent="0.3">
      <c r="A75" s="48" t="s">
        <v>312</v>
      </c>
      <c r="B75" s="49" t="s">
        <v>324</v>
      </c>
      <c r="C75" s="3">
        <v>27.883925999999999</v>
      </c>
      <c r="D75" s="3">
        <v>28.103418000000001</v>
      </c>
      <c r="E75" s="3">
        <v>25.326000000000001</v>
      </c>
      <c r="F75" s="3">
        <v>25.587702</v>
      </c>
      <c r="G75" s="3">
        <v>25.587702</v>
      </c>
      <c r="H75" s="3">
        <v>30.247686000000002</v>
      </c>
      <c r="I75" s="48" t="s">
        <v>312</v>
      </c>
      <c r="J75" s="49" t="s">
        <v>324</v>
      </c>
      <c r="K75" s="3">
        <v>27411</v>
      </c>
      <c r="L75" s="48" t="s">
        <v>312</v>
      </c>
      <c r="M75" s="49" t="s">
        <v>324</v>
      </c>
      <c r="N75" s="3">
        <v>1614.87898</v>
      </c>
      <c r="O75" s="3">
        <v>1936.741612</v>
      </c>
      <c r="P75" s="3">
        <v>1043.5414619999999</v>
      </c>
      <c r="Q75" s="3">
        <v>941.09306600000002</v>
      </c>
      <c r="R75" s="3">
        <v>2355.2976100000001</v>
      </c>
      <c r="S75" s="3">
        <v>2207.8968209999998</v>
      </c>
      <c r="T75" s="3">
        <v>2060.5438180000001</v>
      </c>
      <c r="U75" s="3">
        <v>2171.7769579999999</v>
      </c>
      <c r="V75" s="3">
        <v>1495.5146099999999</v>
      </c>
      <c r="W75" s="3">
        <v>737.59925639999994</v>
      </c>
      <c r="X75" s="3">
        <v>1438.795877</v>
      </c>
      <c r="Y75" s="3">
        <v>148.00525060000001</v>
      </c>
      <c r="Z75" s="3">
        <v>573.28422950000004</v>
      </c>
      <c r="AA75" s="48" t="s">
        <v>312</v>
      </c>
      <c r="AB75" s="49" t="s">
        <v>324</v>
      </c>
      <c r="AC75" s="3">
        <v>598.65679050000006</v>
      </c>
      <c r="AD75" s="3">
        <v>594.87218270000005</v>
      </c>
      <c r="AE75" s="3">
        <v>381.91360300000002</v>
      </c>
      <c r="AF75" s="3">
        <v>123.4570552</v>
      </c>
      <c r="AG75" s="3">
        <v>1081.2283179999999</v>
      </c>
      <c r="AH75" s="3">
        <v>889.39482450000003</v>
      </c>
      <c r="AI75" s="3">
        <v>1043.989108</v>
      </c>
      <c r="AJ75" s="3">
        <v>770.07391959999995</v>
      </c>
      <c r="AK75" s="3">
        <v>327.43745619999999</v>
      </c>
      <c r="AL75" s="3">
        <v>530.03437710000003</v>
      </c>
      <c r="AM75" s="3">
        <v>899.13478959999998</v>
      </c>
      <c r="AN75" s="3">
        <v>117.0008053</v>
      </c>
      <c r="AO75" s="3">
        <v>361.18876210000002</v>
      </c>
      <c r="AP75" s="48" t="s">
        <v>312</v>
      </c>
      <c r="AQ75" s="49" t="s">
        <v>324</v>
      </c>
      <c r="AR75" s="3">
        <v>421.016368</v>
      </c>
      <c r="AS75" s="3">
        <v>896.91804000000002</v>
      </c>
      <c r="AT75" s="3">
        <v>838.59488999999996</v>
      </c>
      <c r="AU75" s="3">
        <v>663.48767999999995</v>
      </c>
      <c r="AV75" s="3">
        <v>282.89984079999999</v>
      </c>
      <c r="AW75" s="3">
        <v>1209.7567200000001</v>
      </c>
      <c r="AX75" s="3">
        <v>721.89192000000003</v>
      </c>
      <c r="AY75" s="3">
        <v>507.92249800000002</v>
      </c>
      <c r="AZ75" s="3">
        <v>469.09205839999998</v>
      </c>
      <c r="BA75" s="3">
        <v>282.8682</v>
      </c>
      <c r="BB75" s="3">
        <v>450.39240000000001</v>
      </c>
      <c r="BC75" s="3">
        <v>132.70434</v>
      </c>
      <c r="BD75" s="3">
        <v>733.44224999999994</v>
      </c>
      <c r="BE75" s="48" t="s">
        <v>312</v>
      </c>
      <c r="BF75" s="49" t="s">
        <v>324</v>
      </c>
      <c r="BG75" s="3">
        <v>0</v>
      </c>
      <c r="BH75" s="3">
        <v>0.30399999999999999</v>
      </c>
      <c r="BI75" s="3">
        <v>0.36849999999999999</v>
      </c>
      <c r="BJ75" s="3">
        <v>0</v>
      </c>
      <c r="BK75" s="3">
        <v>0.13500000000000001</v>
      </c>
      <c r="BL75" s="3">
        <v>0.61799999999999999</v>
      </c>
      <c r="BM75" s="3">
        <v>0</v>
      </c>
      <c r="BN75" s="3">
        <v>0.25</v>
      </c>
      <c r="BO75" s="3">
        <v>0.72499999999999998</v>
      </c>
      <c r="BP75" s="3">
        <v>0</v>
      </c>
      <c r="BQ75" s="3">
        <v>0.24199999999999999</v>
      </c>
      <c r="BR75" s="3">
        <v>0.48499999999999999</v>
      </c>
      <c r="BS75" s="3">
        <v>0</v>
      </c>
      <c r="BT75" s="3">
        <v>0.40300000000000002</v>
      </c>
      <c r="BU75" s="3">
        <v>0.47891666700000002</v>
      </c>
      <c r="BV75" s="3">
        <v>0</v>
      </c>
      <c r="BW75" s="3">
        <v>0.46600000000000003</v>
      </c>
      <c r="BX75" s="3">
        <v>0.38500000000000001</v>
      </c>
      <c r="BY75" s="3">
        <v>0</v>
      </c>
      <c r="BZ75" s="3">
        <v>0.46600000000000003</v>
      </c>
      <c r="CA75" s="3">
        <v>0.91600000000000004</v>
      </c>
      <c r="CB75" s="3">
        <v>0</v>
      </c>
      <c r="CC75" s="3">
        <v>0.46300000000000002</v>
      </c>
      <c r="CD75" s="3">
        <v>0.58933333300000001</v>
      </c>
      <c r="CE75" s="3">
        <v>0</v>
      </c>
      <c r="CF75" s="3">
        <v>0.30299999999999999</v>
      </c>
      <c r="CG75" s="3">
        <v>0.44350000000000001</v>
      </c>
      <c r="CH75" s="3">
        <v>0</v>
      </c>
      <c r="CI75" s="3">
        <v>0.158</v>
      </c>
      <c r="CJ75" s="3">
        <v>0.78600000000000003</v>
      </c>
      <c r="CK75" s="3">
        <v>0</v>
      </c>
      <c r="CL75" s="3">
        <v>0.254</v>
      </c>
      <c r="CM75" s="3">
        <v>0.01</v>
      </c>
      <c r="CN75" s="3">
        <v>0</v>
      </c>
      <c r="CO75" s="3">
        <v>0.13700000000000001</v>
      </c>
      <c r="CP75" s="3">
        <v>0.21766666700000001</v>
      </c>
      <c r="CQ75" s="3">
        <v>0</v>
      </c>
      <c r="CR75" s="3">
        <v>0.113</v>
      </c>
      <c r="CS75" s="3">
        <v>0.435</v>
      </c>
      <c r="CT75" s="48" t="s">
        <v>312</v>
      </c>
      <c r="CU75" s="49" t="s">
        <v>324</v>
      </c>
      <c r="CV75" s="3">
        <v>0.74199999999999999</v>
      </c>
      <c r="CW75" s="3">
        <v>1.266</v>
      </c>
      <c r="CX75" s="3">
        <v>2.0110000000000001</v>
      </c>
      <c r="CY75" s="3">
        <v>3.387</v>
      </c>
      <c r="CZ75" s="3">
        <v>0.218</v>
      </c>
      <c r="DA75" s="3">
        <v>6.3170000000000002</v>
      </c>
      <c r="DB75" s="3">
        <v>3.7570000000000001</v>
      </c>
      <c r="DC75" s="3">
        <v>4.87</v>
      </c>
      <c r="DD75" s="3">
        <v>2.8039999999999998</v>
      </c>
      <c r="DE75" s="3">
        <v>1.2030000000000001</v>
      </c>
      <c r="DF75" s="3">
        <v>-5.2999999999999999E-2</v>
      </c>
      <c r="DG75" s="3">
        <v>1.641</v>
      </c>
      <c r="DH75" s="3">
        <v>0.8</v>
      </c>
    </row>
    <row r="76" spans="1:112" x14ac:dyDescent="0.3">
      <c r="A76" s="48" t="s">
        <v>312</v>
      </c>
      <c r="B76" s="49" t="s">
        <v>325</v>
      </c>
      <c r="C76" s="3">
        <v>31.075002000000001</v>
      </c>
      <c r="D76" s="3">
        <v>26.203968</v>
      </c>
      <c r="E76" s="3">
        <v>26.203968</v>
      </c>
      <c r="F76" s="3">
        <v>25.579260000000001</v>
      </c>
      <c r="G76" s="3">
        <v>25.579260000000001</v>
      </c>
      <c r="H76" s="3">
        <v>26.203968</v>
      </c>
      <c r="I76" s="48" t="s">
        <v>312</v>
      </c>
      <c r="J76" s="49" t="s">
        <v>325</v>
      </c>
      <c r="K76" s="3">
        <v>27617</v>
      </c>
      <c r="L76" s="48" t="s">
        <v>312</v>
      </c>
      <c r="M76" s="49" t="s">
        <v>325</v>
      </c>
      <c r="N76" s="3">
        <v>1127.7005349999999</v>
      </c>
      <c r="O76" s="3">
        <v>1364.3332069999999</v>
      </c>
      <c r="P76" s="3">
        <v>929.7199134</v>
      </c>
      <c r="Q76" s="3">
        <v>863.28828269999997</v>
      </c>
      <c r="R76" s="3">
        <v>1470.869774</v>
      </c>
      <c r="S76" s="3">
        <v>1362.0394570000001</v>
      </c>
      <c r="T76" s="3">
        <v>1355.049595</v>
      </c>
      <c r="U76" s="3">
        <v>1410.0724580000001</v>
      </c>
      <c r="V76" s="3">
        <v>1140.790266</v>
      </c>
      <c r="W76" s="3">
        <v>677.84124329999997</v>
      </c>
      <c r="X76" s="3">
        <v>788.13108239999997</v>
      </c>
      <c r="Y76" s="3">
        <v>122.6860835</v>
      </c>
      <c r="Z76" s="3">
        <v>505.49753529999998</v>
      </c>
      <c r="AA76" s="48" t="s">
        <v>312</v>
      </c>
      <c r="AB76" s="49" t="s">
        <v>325</v>
      </c>
      <c r="AC76" s="3">
        <v>692.4761383</v>
      </c>
      <c r="AD76" s="3">
        <v>647.84025380000003</v>
      </c>
      <c r="AE76" s="3">
        <v>415.91960879999999</v>
      </c>
      <c r="AF76" s="3">
        <v>134.44980659999999</v>
      </c>
      <c r="AG76" s="3">
        <v>1250.6745470000001</v>
      </c>
      <c r="AH76" s="3">
        <v>968.58751440000003</v>
      </c>
      <c r="AI76" s="3">
        <v>1136.947042</v>
      </c>
      <c r="AJ76" s="3">
        <v>890.75714579999999</v>
      </c>
      <c r="AK76" s="3">
        <v>378.75228149999998</v>
      </c>
      <c r="AL76" s="3">
        <v>577.22921889999998</v>
      </c>
      <c r="AM76" s="3">
        <v>979.19473660000006</v>
      </c>
      <c r="AN76" s="3">
        <v>127.41868530000001</v>
      </c>
      <c r="AO76" s="3">
        <v>393.3494053</v>
      </c>
      <c r="AP76" s="48" t="s">
        <v>312</v>
      </c>
      <c r="AQ76" s="49" t="s">
        <v>325</v>
      </c>
      <c r="AR76" s="3">
        <v>458.07766800000002</v>
      </c>
      <c r="AS76" s="3">
        <v>932.79476160000002</v>
      </c>
      <c r="AT76" s="3">
        <v>872.13868560000003</v>
      </c>
      <c r="AU76" s="3">
        <v>690.02718719999996</v>
      </c>
      <c r="AV76" s="3">
        <v>307.80299580000002</v>
      </c>
      <c r="AW76" s="3">
        <v>1258.1469890000001</v>
      </c>
      <c r="AX76" s="3">
        <v>750.76759679999998</v>
      </c>
      <c r="AY76" s="3">
        <v>552.63398549999999</v>
      </c>
      <c r="AZ76" s="3">
        <v>510.38537339999999</v>
      </c>
      <c r="BA76" s="3">
        <v>294.182928</v>
      </c>
      <c r="BB76" s="3">
        <v>468.408096</v>
      </c>
      <c r="BC76" s="3">
        <v>138.01251360000001</v>
      </c>
      <c r="BD76" s="3">
        <v>762.77994000000001</v>
      </c>
      <c r="BE76" s="48" t="s">
        <v>312</v>
      </c>
      <c r="BF76" s="49" t="s">
        <v>325</v>
      </c>
      <c r="BG76" s="3">
        <v>0</v>
      </c>
      <c r="BH76" s="3">
        <v>0.29799999999999999</v>
      </c>
      <c r="BI76" s="3">
        <v>0.4405</v>
      </c>
      <c r="BJ76" s="3">
        <v>0</v>
      </c>
      <c r="BK76" s="3">
        <v>0.187</v>
      </c>
      <c r="BL76" s="3">
        <v>0.70350000000000001</v>
      </c>
      <c r="BM76" s="3">
        <v>0</v>
      </c>
      <c r="BN76" s="3">
        <v>0.34599999999999997</v>
      </c>
      <c r="BO76" s="3">
        <v>0.69299999999999995</v>
      </c>
      <c r="BP76" s="3">
        <v>0</v>
      </c>
      <c r="BQ76" s="3">
        <v>0.23499999999999999</v>
      </c>
      <c r="BR76" s="3">
        <v>0.421666667</v>
      </c>
      <c r="BS76" s="3">
        <v>0</v>
      </c>
      <c r="BT76" s="3">
        <v>0.41299999999999998</v>
      </c>
      <c r="BU76" s="3">
        <v>0.54425000000000001</v>
      </c>
      <c r="BV76" s="3">
        <v>0</v>
      </c>
      <c r="BW76" s="3">
        <v>0.49299999999999999</v>
      </c>
      <c r="BX76" s="3">
        <v>0.32100000000000001</v>
      </c>
      <c r="BY76" s="3">
        <v>0</v>
      </c>
      <c r="BZ76" s="3">
        <v>0.49299999999999999</v>
      </c>
      <c r="CA76" s="3">
        <v>0.93400000000000005</v>
      </c>
      <c r="CB76" s="3">
        <v>0</v>
      </c>
      <c r="CC76" s="3">
        <v>0.438</v>
      </c>
      <c r="CD76" s="3">
        <v>0.64800000000000002</v>
      </c>
      <c r="CE76" s="3">
        <v>0</v>
      </c>
      <c r="CF76" s="3">
        <v>0.28799999999999998</v>
      </c>
      <c r="CG76" s="3">
        <v>0.54049999999999998</v>
      </c>
      <c r="CH76" s="3">
        <v>0</v>
      </c>
      <c r="CI76" s="3">
        <v>0.157</v>
      </c>
      <c r="CJ76" s="3">
        <v>0.71366666700000003</v>
      </c>
      <c r="CK76" s="3">
        <v>0</v>
      </c>
      <c r="CL76" s="3">
        <v>0.26500000000000001</v>
      </c>
      <c r="CM76" s="3">
        <v>0.01</v>
      </c>
      <c r="CN76" s="3">
        <v>0</v>
      </c>
      <c r="CO76" s="3">
        <v>0.111</v>
      </c>
      <c r="CP76" s="3">
        <v>0.25233333299999999</v>
      </c>
      <c r="CQ76" s="3">
        <v>0</v>
      </c>
      <c r="CR76" s="3">
        <v>0.14000000000000001</v>
      </c>
      <c r="CS76" s="3">
        <v>0.33700000000000002</v>
      </c>
      <c r="CT76" s="48" t="s">
        <v>312</v>
      </c>
      <c r="CU76" s="49" t="s">
        <v>325</v>
      </c>
      <c r="CV76" s="3">
        <v>0.35499999999999998</v>
      </c>
      <c r="CW76" s="3">
        <v>1.028</v>
      </c>
      <c r="CX76" s="3">
        <v>2.2469999999999999</v>
      </c>
      <c r="CY76" s="3">
        <v>3.387</v>
      </c>
      <c r="CZ76" s="3">
        <v>-0.32</v>
      </c>
      <c r="DA76" s="3">
        <v>6.1849999999999996</v>
      </c>
      <c r="DB76" s="3">
        <v>3.714</v>
      </c>
      <c r="DC76" s="3">
        <v>4.5430000000000001</v>
      </c>
      <c r="DD76" s="3">
        <v>2.3079999999999998</v>
      </c>
      <c r="DE76" s="3">
        <v>0.67400000000000004</v>
      </c>
      <c r="DF76" s="3">
        <v>-0.38</v>
      </c>
      <c r="DG76" s="3">
        <v>1.4770000000000001</v>
      </c>
      <c r="DH76" s="3">
        <v>0.60199999999999998</v>
      </c>
    </row>
    <row r="77" spans="1:112" x14ac:dyDescent="0.3">
      <c r="A77" s="48" t="s">
        <v>312</v>
      </c>
      <c r="B77" s="49" t="s">
        <v>326</v>
      </c>
      <c r="C77" s="3">
        <v>33.683579999999999</v>
      </c>
      <c r="D77" s="3">
        <v>26.609183999999999</v>
      </c>
      <c r="E77" s="3">
        <v>26.609183999999999</v>
      </c>
      <c r="F77" s="3">
        <v>25.942266</v>
      </c>
      <c r="G77" s="3">
        <v>25.967592</v>
      </c>
      <c r="H77" s="3">
        <v>26.609183999999999</v>
      </c>
      <c r="I77" s="48" t="s">
        <v>312</v>
      </c>
      <c r="J77" s="49" t="s">
        <v>326</v>
      </c>
      <c r="K77" s="3">
        <v>26957</v>
      </c>
      <c r="L77" s="48" t="s">
        <v>312</v>
      </c>
      <c r="M77" s="49" t="s">
        <v>326</v>
      </c>
      <c r="N77" s="3">
        <v>968.18546330000004</v>
      </c>
      <c r="O77" s="3">
        <v>1179.979495</v>
      </c>
      <c r="P77" s="3">
        <v>900.83190139999999</v>
      </c>
      <c r="Q77" s="3">
        <v>872.35948589999998</v>
      </c>
      <c r="R77" s="3">
        <v>1125.006566</v>
      </c>
      <c r="S77" s="3">
        <v>1090.131065</v>
      </c>
      <c r="T77" s="3">
        <v>1099.6352609999999</v>
      </c>
      <c r="U77" s="3">
        <v>1523.1602150000001</v>
      </c>
      <c r="V77" s="3">
        <v>1162.034498</v>
      </c>
      <c r="W77" s="3">
        <v>691.50599609999995</v>
      </c>
      <c r="X77" s="3">
        <v>682.7099144</v>
      </c>
      <c r="Y77" s="3">
        <v>108.12978459999999</v>
      </c>
      <c r="Z77" s="3">
        <v>397.77683450000001</v>
      </c>
      <c r="AA77" s="48" t="s">
        <v>312</v>
      </c>
      <c r="AB77" s="49" t="s">
        <v>326</v>
      </c>
      <c r="AC77" s="3">
        <v>710.34649030000003</v>
      </c>
      <c r="AD77" s="3">
        <v>647.84025380000003</v>
      </c>
      <c r="AE77" s="3">
        <v>415.91960879999999</v>
      </c>
      <c r="AF77" s="3">
        <v>134.44980659999999</v>
      </c>
      <c r="AG77" s="3">
        <v>1282.9500190000001</v>
      </c>
      <c r="AH77" s="3">
        <v>968.58751440000003</v>
      </c>
      <c r="AI77" s="3">
        <v>1136.947042</v>
      </c>
      <c r="AJ77" s="3">
        <v>913.74442699999997</v>
      </c>
      <c r="AK77" s="3">
        <v>388.5265339</v>
      </c>
      <c r="AL77" s="3">
        <v>577.22921889999998</v>
      </c>
      <c r="AM77" s="3">
        <v>979.19473660000006</v>
      </c>
      <c r="AN77" s="3">
        <v>127.41868530000001</v>
      </c>
      <c r="AO77" s="3">
        <v>393.3494053</v>
      </c>
      <c r="AP77" s="48" t="s">
        <v>312</v>
      </c>
      <c r="AQ77" s="49" t="s">
        <v>326</v>
      </c>
      <c r="AR77" s="3">
        <v>474.38463999999999</v>
      </c>
      <c r="AS77" s="3">
        <v>959.70230279999998</v>
      </c>
      <c r="AT77" s="3">
        <v>897.29653229999997</v>
      </c>
      <c r="AU77" s="3">
        <v>709.93181760000004</v>
      </c>
      <c r="AV77" s="3">
        <v>318.76038399999999</v>
      </c>
      <c r="AW77" s="3">
        <v>1294.4396899999999</v>
      </c>
      <c r="AX77" s="3">
        <v>772.42435439999997</v>
      </c>
      <c r="AY77" s="3">
        <v>572.30704000000003</v>
      </c>
      <c r="AZ77" s="3">
        <v>528.55443200000002</v>
      </c>
      <c r="BA77" s="3">
        <v>302.66897399999999</v>
      </c>
      <c r="BB77" s="3">
        <v>481.91986800000001</v>
      </c>
      <c r="BC77" s="3">
        <v>141.9936438</v>
      </c>
      <c r="BD77" s="3">
        <v>784.7832075</v>
      </c>
      <c r="BE77" s="48" t="s">
        <v>312</v>
      </c>
      <c r="BF77" s="49" t="s">
        <v>326</v>
      </c>
      <c r="BG77" s="3">
        <v>0</v>
      </c>
      <c r="BH77" s="3">
        <v>0.30199999999999999</v>
      </c>
      <c r="BI77" s="3">
        <v>0.46050000000000002</v>
      </c>
      <c r="BJ77" s="3">
        <v>0</v>
      </c>
      <c r="BK77" s="3">
        <v>0.254</v>
      </c>
      <c r="BL77" s="3">
        <v>0.74050000000000005</v>
      </c>
      <c r="BM77" s="3">
        <v>0</v>
      </c>
      <c r="BN77" s="3">
        <v>0.40100000000000002</v>
      </c>
      <c r="BO77" s="3">
        <v>0.65200000000000002</v>
      </c>
      <c r="BP77" s="3">
        <v>0</v>
      </c>
      <c r="BQ77" s="3">
        <v>0.23200000000000001</v>
      </c>
      <c r="BR77" s="3">
        <v>0.35299999999999998</v>
      </c>
      <c r="BS77" s="3">
        <v>0</v>
      </c>
      <c r="BT77" s="3">
        <v>0.442</v>
      </c>
      <c r="BU77" s="3">
        <v>0.577083334</v>
      </c>
      <c r="BV77" s="3">
        <v>0</v>
      </c>
      <c r="BW77" s="3">
        <v>0.53900000000000003</v>
      </c>
      <c r="BX77" s="3">
        <v>0.23699999999999999</v>
      </c>
      <c r="BY77" s="3">
        <v>0</v>
      </c>
      <c r="BZ77" s="3">
        <v>0.53900000000000003</v>
      </c>
      <c r="CA77" s="3">
        <v>0.9405</v>
      </c>
      <c r="CB77" s="3">
        <v>0</v>
      </c>
      <c r="CC77" s="3">
        <v>0.41099999999999998</v>
      </c>
      <c r="CD77" s="3">
        <v>0.69366666700000001</v>
      </c>
      <c r="CE77" s="3">
        <v>0</v>
      </c>
      <c r="CF77" s="3">
        <v>0.27</v>
      </c>
      <c r="CG77" s="3">
        <v>0.59699999999999998</v>
      </c>
      <c r="CH77" s="3">
        <v>0</v>
      </c>
      <c r="CI77" s="3">
        <v>0.158</v>
      </c>
      <c r="CJ77" s="3">
        <v>0.62466666699999995</v>
      </c>
      <c r="CK77" s="3">
        <v>0</v>
      </c>
      <c r="CL77" s="3">
        <v>0.27500000000000002</v>
      </c>
      <c r="CM77" s="3">
        <v>0.01</v>
      </c>
      <c r="CN77" s="3">
        <v>0</v>
      </c>
      <c r="CO77" s="3">
        <v>0.10100000000000001</v>
      </c>
      <c r="CP77" s="3">
        <v>0.27</v>
      </c>
      <c r="CQ77" s="3">
        <v>0</v>
      </c>
      <c r="CR77" s="3">
        <v>0.18099999999999999</v>
      </c>
      <c r="CS77" s="3">
        <v>0.251</v>
      </c>
      <c r="CT77" s="48" t="s">
        <v>312</v>
      </c>
      <c r="CU77" s="49" t="s">
        <v>326</v>
      </c>
      <c r="CV77" s="3">
        <v>7.0999999999999994E-2</v>
      </c>
      <c r="CW77" s="3">
        <v>1.2130000000000001</v>
      </c>
      <c r="CX77" s="3">
        <v>2.6549999999999998</v>
      </c>
      <c r="CY77" s="3">
        <v>3.41</v>
      </c>
      <c r="CZ77" s="3">
        <v>-0.748</v>
      </c>
      <c r="DA77" s="3">
        <v>6.0540000000000003</v>
      </c>
      <c r="DB77" s="3">
        <v>3.7240000000000002</v>
      </c>
      <c r="DC77" s="3">
        <v>4.2300000000000004</v>
      </c>
      <c r="DD77" s="3">
        <v>1.92</v>
      </c>
      <c r="DE77" s="3">
        <v>0.19700000000000001</v>
      </c>
      <c r="DF77" s="3">
        <v>-0.45</v>
      </c>
      <c r="DG77" s="3">
        <v>1.367</v>
      </c>
      <c r="DH77" s="3">
        <v>1.165</v>
      </c>
    </row>
    <row r="78" spans="1:112" x14ac:dyDescent="0.3">
      <c r="A78" s="48" t="s">
        <v>312</v>
      </c>
      <c r="B78" s="49" t="s">
        <v>327</v>
      </c>
      <c r="C78" s="3">
        <v>35.194698000000002</v>
      </c>
      <c r="D78" s="3">
        <v>28.390446000000001</v>
      </c>
      <c r="E78" s="3">
        <v>26.862444</v>
      </c>
      <c r="F78" s="3">
        <v>26.001359999999998</v>
      </c>
      <c r="G78" s="3">
        <v>27.419616000000001</v>
      </c>
      <c r="H78" s="3">
        <v>29.462579999999999</v>
      </c>
      <c r="I78" s="48" t="s">
        <v>312</v>
      </c>
      <c r="J78" s="49" t="s">
        <v>327</v>
      </c>
      <c r="K78" s="3">
        <v>26695</v>
      </c>
      <c r="L78" s="48" t="s">
        <v>312</v>
      </c>
      <c r="M78" s="49" t="s">
        <v>327</v>
      </c>
      <c r="N78" s="3">
        <v>812.69687550000003</v>
      </c>
      <c r="O78" s="3">
        <v>1030.6522600000001</v>
      </c>
      <c r="P78" s="3">
        <v>939.09124959999997</v>
      </c>
      <c r="Q78" s="3">
        <v>865.36496190000003</v>
      </c>
      <c r="R78" s="3">
        <v>865.91148469999996</v>
      </c>
      <c r="S78" s="3">
        <v>914.53086129999997</v>
      </c>
      <c r="T78" s="3">
        <v>946.28007149999996</v>
      </c>
      <c r="U78" s="3">
        <v>1354.0646079999999</v>
      </c>
      <c r="V78" s="3">
        <v>1192.5470290000001</v>
      </c>
      <c r="W78" s="3">
        <v>704.60358650000001</v>
      </c>
      <c r="X78" s="3">
        <v>471.36383530000001</v>
      </c>
      <c r="Y78" s="3">
        <v>109.9738121</v>
      </c>
      <c r="Z78" s="3">
        <v>406.4531331</v>
      </c>
      <c r="AA78" s="48" t="s">
        <v>312</v>
      </c>
      <c r="AB78" s="49" t="s">
        <v>327</v>
      </c>
      <c r="AC78" s="3">
        <v>797.46445610000001</v>
      </c>
      <c r="AD78" s="3">
        <v>739.51576139999997</v>
      </c>
      <c r="AE78" s="3">
        <v>474.7761572</v>
      </c>
      <c r="AF78" s="3">
        <v>153.47572270000001</v>
      </c>
      <c r="AG78" s="3">
        <v>1440.292946</v>
      </c>
      <c r="AH78" s="3">
        <v>1105.651785</v>
      </c>
      <c r="AI78" s="3">
        <v>1297.835775</v>
      </c>
      <c r="AJ78" s="3">
        <v>1025.807423</v>
      </c>
      <c r="AK78" s="3">
        <v>436.17601450000001</v>
      </c>
      <c r="AL78" s="3">
        <v>658.91259890000003</v>
      </c>
      <c r="AM78" s="3">
        <v>1117.7600299999999</v>
      </c>
      <c r="AN78" s="3">
        <v>145.44963129999999</v>
      </c>
      <c r="AO78" s="3">
        <v>449.01205700000003</v>
      </c>
      <c r="AP78" s="48" t="s">
        <v>312</v>
      </c>
      <c r="AQ78" s="49" t="s">
        <v>327</v>
      </c>
      <c r="AR78" s="3">
        <v>520.34065199999998</v>
      </c>
      <c r="AS78" s="3">
        <v>1043.414653</v>
      </c>
      <c r="AT78" s="3">
        <v>975.56538869999997</v>
      </c>
      <c r="AU78" s="3">
        <v>771.85733440000001</v>
      </c>
      <c r="AV78" s="3">
        <v>349.64029620000002</v>
      </c>
      <c r="AW78" s="3">
        <v>1407.350318</v>
      </c>
      <c r="AX78" s="3">
        <v>839.80093360000001</v>
      </c>
      <c r="AY78" s="3">
        <v>627.74928450000004</v>
      </c>
      <c r="AZ78" s="3">
        <v>579.75814260000004</v>
      </c>
      <c r="BA78" s="3">
        <v>329.07000599999998</v>
      </c>
      <c r="BB78" s="3">
        <v>523.95649200000003</v>
      </c>
      <c r="BC78" s="3">
        <v>154.37938220000001</v>
      </c>
      <c r="BD78" s="3">
        <v>853.23781750000001</v>
      </c>
      <c r="BE78" s="48" t="s">
        <v>312</v>
      </c>
      <c r="BF78" s="49" t="s">
        <v>327</v>
      </c>
      <c r="BG78" s="3">
        <v>0</v>
      </c>
      <c r="BH78" s="3">
        <v>0.309</v>
      </c>
      <c r="BI78" s="3">
        <v>0.44500000000000001</v>
      </c>
      <c r="BJ78" s="3">
        <v>0</v>
      </c>
      <c r="BK78" s="3">
        <v>0.32</v>
      </c>
      <c r="BL78" s="3">
        <v>0.72250000000000003</v>
      </c>
      <c r="BM78" s="3">
        <v>0</v>
      </c>
      <c r="BN78" s="3">
        <v>0.41</v>
      </c>
      <c r="BO78" s="3">
        <v>0.61050000000000004</v>
      </c>
      <c r="BP78" s="3">
        <v>0</v>
      </c>
      <c r="BQ78" s="3">
        <v>0.23200000000000001</v>
      </c>
      <c r="BR78" s="3">
        <v>0.28199999999999997</v>
      </c>
      <c r="BS78" s="3">
        <v>0</v>
      </c>
      <c r="BT78" s="3">
        <v>0.47299999999999998</v>
      </c>
      <c r="BU78" s="3">
        <v>0.56916666699999996</v>
      </c>
      <c r="BV78" s="3">
        <v>0</v>
      </c>
      <c r="BW78" s="3">
        <v>0.55600000000000005</v>
      </c>
      <c r="BX78" s="3">
        <v>0.14299999999999999</v>
      </c>
      <c r="BY78" s="3">
        <v>0</v>
      </c>
      <c r="BZ78" s="3">
        <v>0.55600000000000005</v>
      </c>
      <c r="CA78" s="3">
        <v>0.93300000000000005</v>
      </c>
      <c r="CB78" s="3">
        <v>0</v>
      </c>
      <c r="CC78" s="3">
        <v>0.38100000000000001</v>
      </c>
      <c r="CD78" s="3">
        <v>0.693333333</v>
      </c>
      <c r="CE78" s="3">
        <v>0</v>
      </c>
      <c r="CF78" s="3">
        <v>0.246</v>
      </c>
      <c r="CG78" s="3">
        <v>0.60350000000000004</v>
      </c>
      <c r="CH78" s="3">
        <v>0</v>
      </c>
      <c r="CI78" s="3">
        <v>0.153</v>
      </c>
      <c r="CJ78" s="3">
        <v>0.51466666699999997</v>
      </c>
      <c r="CK78" s="3">
        <v>0</v>
      </c>
      <c r="CL78" s="3">
        <v>0.28699999999999998</v>
      </c>
      <c r="CM78" s="3">
        <v>0.01</v>
      </c>
      <c r="CN78" s="3">
        <v>0</v>
      </c>
      <c r="CO78" s="3">
        <v>0.10100000000000001</v>
      </c>
      <c r="CP78" s="3">
        <v>0.27300000000000002</v>
      </c>
      <c r="CQ78" s="3">
        <v>0</v>
      </c>
      <c r="CR78" s="3">
        <v>0.20599999999999999</v>
      </c>
      <c r="CS78" s="3">
        <v>0.184</v>
      </c>
      <c r="CT78" s="48" t="s">
        <v>312</v>
      </c>
      <c r="CU78" s="49" t="s">
        <v>327</v>
      </c>
      <c r="CV78" s="3">
        <v>-0.157</v>
      </c>
      <c r="CW78" s="3">
        <v>1.613</v>
      </c>
      <c r="CX78" s="3">
        <v>2.9060000000000001</v>
      </c>
      <c r="CY78" s="3">
        <v>3.4510000000000001</v>
      </c>
      <c r="CZ78" s="3">
        <v>-1.095</v>
      </c>
      <c r="DA78" s="3">
        <v>6.0490000000000004</v>
      </c>
      <c r="DB78" s="3">
        <v>3.56</v>
      </c>
      <c r="DC78" s="3">
        <v>3.9430000000000001</v>
      </c>
      <c r="DD78" s="3">
        <v>1.601</v>
      </c>
      <c r="DE78" s="3">
        <v>-0.22800000000000001</v>
      </c>
      <c r="DF78" s="3">
        <v>-0.14499999999999999</v>
      </c>
      <c r="DG78" s="3">
        <v>1.355</v>
      </c>
      <c r="DH78" s="3">
        <v>2.0880000000000001</v>
      </c>
    </row>
    <row r="79" spans="1:112" x14ac:dyDescent="0.3">
      <c r="A79" s="48" t="s">
        <v>312</v>
      </c>
      <c r="B79" s="49" t="s">
        <v>328</v>
      </c>
      <c r="C79" s="3">
        <v>34.966763999999998</v>
      </c>
      <c r="D79" s="3">
        <v>34.873902000000001</v>
      </c>
      <c r="E79" s="3">
        <v>34.629083999999999</v>
      </c>
      <c r="F79" s="3">
        <v>31.395797999999999</v>
      </c>
      <c r="G79" s="3">
        <v>34.654409999999999</v>
      </c>
      <c r="H79" s="3">
        <v>34.983648000000002</v>
      </c>
      <c r="I79" s="48" t="s">
        <v>312</v>
      </c>
      <c r="J79" s="49" t="s">
        <v>328</v>
      </c>
      <c r="K79" s="3">
        <v>27530.5</v>
      </c>
      <c r="L79" s="48" t="s">
        <v>312</v>
      </c>
      <c r="M79" s="49" t="s">
        <v>328</v>
      </c>
      <c r="N79" s="3">
        <v>629.34449689999997</v>
      </c>
      <c r="O79" s="3">
        <v>968.59278689999996</v>
      </c>
      <c r="P79" s="3">
        <v>1088.096137</v>
      </c>
      <c r="Q79" s="3">
        <v>1039.269098</v>
      </c>
      <c r="R79" s="3">
        <v>591.18794230000003</v>
      </c>
      <c r="S79" s="3">
        <v>696.18408650000003</v>
      </c>
      <c r="T79" s="3">
        <v>694.8125086</v>
      </c>
      <c r="U79" s="3">
        <v>1214.9937600000001</v>
      </c>
      <c r="V79" s="3">
        <v>1287.029841</v>
      </c>
      <c r="W79" s="3">
        <v>833.23133199999995</v>
      </c>
      <c r="X79" s="3">
        <v>298.19937970000001</v>
      </c>
      <c r="Y79" s="3">
        <v>98.53440191</v>
      </c>
      <c r="Z79" s="3">
        <v>541.84173480000004</v>
      </c>
      <c r="AA79" s="48" t="s">
        <v>312</v>
      </c>
      <c r="AB79" s="49" t="s">
        <v>328</v>
      </c>
      <c r="AC79" s="3">
        <v>1099.0266449999999</v>
      </c>
      <c r="AD79" s="3">
        <v>939.16464470000005</v>
      </c>
      <c r="AE79" s="3">
        <v>602.95264039999995</v>
      </c>
      <c r="AF79" s="3">
        <v>194.90993979999999</v>
      </c>
      <c r="AG79" s="3">
        <v>1984.9415389999999</v>
      </c>
      <c r="AH79" s="3">
        <v>1404.147309</v>
      </c>
      <c r="AI79" s="3">
        <v>1648.2156809999999</v>
      </c>
      <c r="AJ79" s="3">
        <v>1413.717793</v>
      </c>
      <c r="AK79" s="3">
        <v>601.11652409999999</v>
      </c>
      <c r="AL79" s="3">
        <v>836.80084880000004</v>
      </c>
      <c r="AM79" s="3">
        <v>1419.524445</v>
      </c>
      <c r="AN79" s="3">
        <v>184.71702490000001</v>
      </c>
      <c r="AO79" s="3">
        <v>570.23294290000001</v>
      </c>
      <c r="AP79" s="48" t="s">
        <v>312</v>
      </c>
      <c r="AQ79" s="49" t="s">
        <v>328</v>
      </c>
      <c r="AR79" s="3">
        <v>597.42815599999994</v>
      </c>
      <c r="AS79" s="3">
        <v>1139.0859109999999</v>
      </c>
      <c r="AT79" s="3">
        <v>1065.0155099999999</v>
      </c>
      <c r="AU79" s="3">
        <v>842.62935359999994</v>
      </c>
      <c r="AV79" s="3">
        <v>401.4388586</v>
      </c>
      <c r="AW79" s="3">
        <v>1536.391034</v>
      </c>
      <c r="AX79" s="3">
        <v>916.80273839999995</v>
      </c>
      <c r="AY79" s="3">
        <v>720.74917849999997</v>
      </c>
      <c r="AZ79" s="3">
        <v>665.64823779999995</v>
      </c>
      <c r="BA79" s="3">
        <v>359.242614</v>
      </c>
      <c r="BB79" s="3">
        <v>571.99834799999996</v>
      </c>
      <c r="BC79" s="3">
        <v>168.53451179999999</v>
      </c>
      <c r="BD79" s="3">
        <v>931.47165749999999</v>
      </c>
      <c r="BE79" s="48" t="s">
        <v>312</v>
      </c>
      <c r="BF79" s="49" t="s">
        <v>328</v>
      </c>
      <c r="BG79" s="3">
        <v>0</v>
      </c>
      <c r="BH79" s="3">
        <v>0.314</v>
      </c>
      <c r="BI79" s="3">
        <v>0.41549999999999998</v>
      </c>
      <c r="BJ79" s="3">
        <v>0</v>
      </c>
      <c r="BK79" s="3">
        <v>0.35199999999999998</v>
      </c>
      <c r="BL79" s="3">
        <v>0.66849999999999998</v>
      </c>
      <c r="BM79" s="3">
        <v>0</v>
      </c>
      <c r="BN79" s="3">
        <v>0.39800000000000002</v>
      </c>
      <c r="BO79" s="3">
        <v>0.55549999999999999</v>
      </c>
      <c r="BP79" s="3">
        <v>0</v>
      </c>
      <c r="BQ79" s="3">
        <v>0.23</v>
      </c>
      <c r="BR79" s="3">
        <v>0.21766666700000001</v>
      </c>
      <c r="BS79" s="3">
        <v>0</v>
      </c>
      <c r="BT79" s="3">
        <v>0.51300000000000001</v>
      </c>
      <c r="BU79" s="3">
        <v>0.53674999999999995</v>
      </c>
      <c r="BV79" s="3">
        <v>0</v>
      </c>
      <c r="BW79" s="3">
        <v>0.54200000000000004</v>
      </c>
      <c r="BX79" s="3">
        <v>6.8000000000000005E-2</v>
      </c>
      <c r="BY79" s="3">
        <v>0</v>
      </c>
      <c r="BZ79" s="3">
        <v>0.54200000000000004</v>
      </c>
      <c r="CA79" s="3">
        <v>0.91900000000000004</v>
      </c>
      <c r="CB79" s="3">
        <v>0</v>
      </c>
      <c r="CC79" s="3">
        <v>0.34899999999999998</v>
      </c>
      <c r="CD79" s="3">
        <v>0.65800000000000003</v>
      </c>
      <c r="CE79" s="3">
        <v>0</v>
      </c>
      <c r="CF79" s="3">
        <v>0.218</v>
      </c>
      <c r="CG79" s="3">
        <v>0.58950000000000002</v>
      </c>
      <c r="CH79" s="3">
        <v>0</v>
      </c>
      <c r="CI79" s="3">
        <v>0.13900000000000001</v>
      </c>
      <c r="CJ79" s="3">
        <v>0.39066666700000002</v>
      </c>
      <c r="CK79" s="3">
        <v>0</v>
      </c>
      <c r="CL79" s="3">
        <v>0.29699999999999999</v>
      </c>
      <c r="CM79" s="3">
        <v>0.01</v>
      </c>
      <c r="CN79" s="3">
        <v>0</v>
      </c>
      <c r="CO79" s="3">
        <v>0.107</v>
      </c>
      <c r="CP79" s="3">
        <v>0.26766666700000002</v>
      </c>
      <c r="CQ79" s="3">
        <v>0</v>
      </c>
      <c r="CR79" s="3">
        <v>0.189</v>
      </c>
      <c r="CS79" s="3">
        <v>0.125</v>
      </c>
      <c r="CT79" s="48" t="s">
        <v>312</v>
      </c>
      <c r="CU79" s="49" t="s">
        <v>328</v>
      </c>
      <c r="CV79" s="3">
        <v>-0.21299999999999999</v>
      </c>
      <c r="CW79" s="3">
        <v>1.9390000000000001</v>
      </c>
      <c r="CX79" s="3">
        <v>3.117</v>
      </c>
      <c r="CY79" s="3">
        <v>3.492</v>
      </c>
      <c r="CZ79" s="3">
        <v>-1.3620000000000001</v>
      </c>
      <c r="DA79" s="3">
        <v>6.1769999999999996</v>
      </c>
      <c r="DB79" s="3">
        <v>3.3620000000000001</v>
      </c>
      <c r="DC79" s="3">
        <v>3.7080000000000002</v>
      </c>
      <c r="DD79" s="3">
        <v>1.355</v>
      </c>
      <c r="DE79" s="3">
        <v>-0.67100000000000004</v>
      </c>
      <c r="DF79" s="3">
        <v>0.153</v>
      </c>
      <c r="DG79" s="3">
        <v>1.5129999999999999</v>
      </c>
      <c r="DH79" s="3">
        <v>2.726</v>
      </c>
    </row>
    <row r="80" spans="1:112" x14ac:dyDescent="0.3">
      <c r="A80" s="48" t="s">
        <v>312</v>
      </c>
      <c r="B80" s="49" t="s">
        <v>329</v>
      </c>
      <c r="C80" s="3">
        <v>40.082616000000002</v>
      </c>
      <c r="D80" s="3">
        <v>43.501626000000002</v>
      </c>
      <c r="E80" s="3">
        <v>34.342055999999999</v>
      </c>
      <c r="F80" s="3">
        <v>33.244596000000001</v>
      </c>
      <c r="G80" s="3">
        <v>37.963673999999997</v>
      </c>
      <c r="H80" s="3">
        <v>46.608282000000003</v>
      </c>
      <c r="I80" s="48" t="s">
        <v>312</v>
      </c>
      <c r="J80" s="49" t="s">
        <v>329</v>
      </c>
      <c r="K80" s="3">
        <v>30856</v>
      </c>
      <c r="L80" s="48" t="s">
        <v>312</v>
      </c>
      <c r="M80" s="49" t="s">
        <v>329</v>
      </c>
      <c r="N80" s="3">
        <v>1010.109945</v>
      </c>
      <c r="O80" s="3">
        <v>1253.7989669999999</v>
      </c>
      <c r="P80" s="3">
        <v>2027.5855039999999</v>
      </c>
      <c r="Q80" s="3">
        <v>1771.7484959999999</v>
      </c>
      <c r="R80" s="3">
        <v>897.77459950000002</v>
      </c>
      <c r="S80" s="3">
        <v>965.7895254</v>
      </c>
      <c r="T80" s="3">
        <v>944.25974220000001</v>
      </c>
      <c r="U80" s="3">
        <v>1501.658678</v>
      </c>
      <c r="V80" s="3">
        <v>1660.3609739999999</v>
      </c>
      <c r="W80" s="3">
        <v>1760.3340109999999</v>
      </c>
      <c r="X80" s="3">
        <v>505.04830049999998</v>
      </c>
      <c r="Y80" s="3">
        <v>204.9201443</v>
      </c>
      <c r="Z80" s="3">
        <v>841.87710179999999</v>
      </c>
      <c r="AA80" s="48" t="s">
        <v>312</v>
      </c>
      <c r="AB80" s="49" t="s">
        <v>329</v>
      </c>
      <c r="AC80" s="3">
        <v>1288.8991349999999</v>
      </c>
      <c r="AD80" s="3">
        <v>1020.653985</v>
      </c>
      <c r="AE80" s="3">
        <v>655.26957230000005</v>
      </c>
      <c r="AF80" s="3">
        <v>211.82186519999999</v>
      </c>
      <c r="AG80" s="3">
        <v>2327.8684309999999</v>
      </c>
      <c r="AH80" s="3">
        <v>1525.9822160000001</v>
      </c>
      <c r="AI80" s="3">
        <v>1791.2278879999999</v>
      </c>
      <c r="AJ80" s="3">
        <v>1657.9576549999999</v>
      </c>
      <c r="AK80" s="3">
        <v>704.9679562</v>
      </c>
      <c r="AL80" s="3">
        <v>909.40829770000005</v>
      </c>
      <c r="AM80" s="3">
        <v>1542.6935940000001</v>
      </c>
      <c r="AN80" s="3">
        <v>200.7445324</v>
      </c>
      <c r="AO80" s="3">
        <v>619.71085559999995</v>
      </c>
      <c r="AP80" s="48" t="s">
        <v>312</v>
      </c>
      <c r="AQ80" s="49" t="s">
        <v>329</v>
      </c>
      <c r="AR80" s="3">
        <v>689.34018000000003</v>
      </c>
      <c r="AS80" s="3">
        <v>1381.253782</v>
      </c>
      <c r="AT80" s="3">
        <v>1291.4361309999999</v>
      </c>
      <c r="AU80" s="3">
        <v>1021.771027</v>
      </c>
      <c r="AV80" s="3">
        <v>463.19868300000002</v>
      </c>
      <c r="AW80" s="3">
        <v>1863.025349</v>
      </c>
      <c r="AX80" s="3">
        <v>1111.713557</v>
      </c>
      <c r="AY80" s="3">
        <v>831.6336675</v>
      </c>
      <c r="AZ80" s="3">
        <v>768.05565899999999</v>
      </c>
      <c r="BA80" s="3">
        <v>435.617028</v>
      </c>
      <c r="BB80" s="3">
        <v>693.60429599999998</v>
      </c>
      <c r="BC80" s="3">
        <v>204.36468360000001</v>
      </c>
      <c r="BD80" s="3">
        <v>1129.5010649999999</v>
      </c>
      <c r="BE80" s="48" t="s">
        <v>312</v>
      </c>
      <c r="BF80" s="49" t="s">
        <v>329</v>
      </c>
      <c r="BG80" s="3">
        <v>2.5000000000000001E-2</v>
      </c>
      <c r="BH80" s="3">
        <v>0.28899999999999998</v>
      </c>
      <c r="BI80" s="3">
        <v>0.36699999999999999</v>
      </c>
      <c r="BJ80" s="3">
        <v>2.1000000000000001E-2</v>
      </c>
      <c r="BK80" s="3">
        <v>0.32400000000000001</v>
      </c>
      <c r="BL80" s="3">
        <v>0.56200000000000006</v>
      </c>
      <c r="BM80" s="3">
        <v>0.02</v>
      </c>
      <c r="BN80" s="3">
        <v>0.38900000000000001</v>
      </c>
      <c r="BO80" s="3">
        <v>0.46700000000000003</v>
      </c>
      <c r="BP80" s="3">
        <v>0.02</v>
      </c>
      <c r="BQ80" s="3">
        <v>0.21199999999999999</v>
      </c>
      <c r="BR80" s="3">
        <v>0.169333333</v>
      </c>
      <c r="BS80" s="3">
        <v>0.02</v>
      </c>
      <c r="BT80" s="3">
        <v>0.58299999999999996</v>
      </c>
      <c r="BU80" s="3">
        <v>0.48149999999999998</v>
      </c>
      <c r="BV80" s="3">
        <v>1.9E-2</v>
      </c>
      <c r="BW80" s="3">
        <v>0.52100000000000002</v>
      </c>
      <c r="BX80" s="3">
        <v>2.1000000000000001E-2</v>
      </c>
      <c r="BY80" s="3">
        <v>2.1999999999999999E-2</v>
      </c>
      <c r="BZ80" s="3">
        <v>0.52100000000000002</v>
      </c>
      <c r="CA80" s="3">
        <v>0.877</v>
      </c>
      <c r="CB80" s="3">
        <v>2.3E-2</v>
      </c>
      <c r="CC80" s="3">
        <v>0.3</v>
      </c>
      <c r="CD80" s="3">
        <v>0.59599999999999997</v>
      </c>
      <c r="CE80" s="3">
        <v>1.7999999999999999E-2</v>
      </c>
      <c r="CF80" s="3">
        <v>0.185</v>
      </c>
      <c r="CG80" s="3">
        <v>0.54449999999999998</v>
      </c>
      <c r="CH80" s="3">
        <v>1.7999999999999999E-2</v>
      </c>
      <c r="CI80" s="3">
        <v>0.11600000000000001</v>
      </c>
      <c r="CJ80" s="3">
        <v>0.28699999999999998</v>
      </c>
      <c r="CK80" s="3">
        <v>1.2999999999999999E-2</v>
      </c>
      <c r="CL80" s="3">
        <v>0.28599999999999998</v>
      </c>
      <c r="CM80" s="3">
        <v>0.01</v>
      </c>
      <c r="CN80" s="3">
        <v>1.9E-2</v>
      </c>
      <c r="CO80" s="3">
        <v>0.125</v>
      </c>
      <c r="CP80" s="3">
        <v>0.24933333299999999</v>
      </c>
      <c r="CQ80" s="3">
        <v>1.4E-2</v>
      </c>
      <c r="CR80" s="3">
        <v>0.191</v>
      </c>
      <c r="CS80" s="3">
        <v>7.5999999999999998E-2</v>
      </c>
      <c r="CT80" s="48" t="s">
        <v>312</v>
      </c>
      <c r="CU80" s="49" t="s">
        <v>329</v>
      </c>
      <c r="CV80" s="3">
        <v>1.3049999999999999</v>
      </c>
      <c r="CW80" s="3">
        <v>2.65</v>
      </c>
      <c r="CX80" s="3">
        <v>3.512</v>
      </c>
      <c r="CY80" s="3">
        <v>3.6850000000000001</v>
      </c>
      <c r="CZ80" s="3">
        <v>3.3000000000000002E-2</v>
      </c>
      <c r="DA80" s="3">
        <v>6.3680000000000003</v>
      </c>
      <c r="DB80" s="3">
        <v>3.6549999999999998</v>
      </c>
      <c r="DC80" s="3">
        <v>4.2809999999999997</v>
      </c>
      <c r="DD80" s="3">
        <v>2.234</v>
      </c>
      <c r="DE80" s="3">
        <v>-0.04</v>
      </c>
      <c r="DF80" s="3">
        <v>1.3109999999999999</v>
      </c>
      <c r="DG80" s="3">
        <v>2.2440000000000002</v>
      </c>
      <c r="DH80" s="3">
        <v>3.1920000000000002</v>
      </c>
    </row>
    <row r="81" spans="1:112" x14ac:dyDescent="0.3">
      <c r="A81" s="48" t="s">
        <v>312</v>
      </c>
      <c r="B81" s="49" t="s">
        <v>330</v>
      </c>
      <c r="C81" s="3">
        <v>29.487905999999999</v>
      </c>
      <c r="D81" s="3">
        <v>46.718027999999997</v>
      </c>
      <c r="E81" s="3">
        <v>33.286805999999999</v>
      </c>
      <c r="F81" s="3">
        <v>32.214672</v>
      </c>
      <c r="G81" s="3">
        <v>38.774106000000003</v>
      </c>
      <c r="H81" s="3">
        <v>48.499290000000002</v>
      </c>
      <c r="I81" s="48" t="s">
        <v>312</v>
      </c>
      <c r="J81" s="49" t="s">
        <v>330</v>
      </c>
      <c r="K81" s="3">
        <v>35776</v>
      </c>
      <c r="L81" s="48" t="s">
        <v>312</v>
      </c>
      <c r="M81" s="49" t="s">
        <v>330</v>
      </c>
      <c r="N81" s="3">
        <v>3195.7629489999999</v>
      </c>
      <c r="O81" s="3">
        <v>3342.900275</v>
      </c>
      <c r="P81" s="3">
        <v>4177.736296</v>
      </c>
      <c r="Q81" s="3">
        <v>3508.888524</v>
      </c>
      <c r="R81" s="3">
        <v>3351.7408540000001</v>
      </c>
      <c r="S81" s="3">
        <v>2708.0049899999999</v>
      </c>
      <c r="T81" s="3">
        <v>1896.7072250000001</v>
      </c>
      <c r="U81" s="3">
        <v>4066.4017939999999</v>
      </c>
      <c r="V81" s="3">
        <v>3084.2534810000002</v>
      </c>
      <c r="W81" s="3">
        <v>4191.8489250000002</v>
      </c>
      <c r="X81" s="3">
        <v>2302.978517</v>
      </c>
      <c r="Y81" s="3">
        <v>504.88791209999999</v>
      </c>
      <c r="Z81" s="3">
        <v>1721.1187809999999</v>
      </c>
      <c r="AA81" s="48" t="s">
        <v>312</v>
      </c>
      <c r="AB81" s="49" t="s">
        <v>330</v>
      </c>
      <c r="AC81" s="3">
        <v>1722.2551699999999</v>
      </c>
      <c r="AD81" s="3">
        <v>1261.047538</v>
      </c>
      <c r="AE81" s="3">
        <v>809.60452150000003</v>
      </c>
      <c r="AF81" s="3">
        <v>261.71204499999999</v>
      </c>
      <c r="AG81" s="3">
        <v>3110.5486310000001</v>
      </c>
      <c r="AH81" s="3">
        <v>1885.3951930000001</v>
      </c>
      <c r="AI81" s="3">
        <v>2213.1138970000002</v>
      </c>
      <c r="AJ81" s="3">
        <v>2215.3992239999998</v>
      </c>
      <c r="AK81" s="3">
        <v>941.99357750000001</v>
      </c>
      <c r="AL81" s="3">
        <v>1123.6002719999999</v>
      </c>
      <c r="AM81" s="3">
        <v>1906.0425849999999</v>
      </c>
      <c r="AN81" s="3">
        <v>248.02567980000001</v>
      </c>
      <c r="AO81" s="3">
        <v>765.67069779999997</v>
      </c>
      <c r="AP81" s="48" t="s">
        <v>312</v>
      </c>
      <c r="AQ81" s="49" t="s">
        <v>330</v>
      </c>
      <c r="AR81" s="3">
        <v>796.07672400000001</v>
      </c>
      <c r="AS81" s="3">
        <v>1578.57575</v>
      </c>
      <c r="AT81" s="3">
        <v>1475.9270059999999</v>
      </c>
      <c r="AU81" s="3">
        <v>1167.7383170000001</v>
      </c>
      <c r="AV81" s="3">
        <v>534.91976939999995</v>
      </c>
      <c r="AW81" s="3">
        <v>2129.1718270000001</v>
      </c>
      <c r="AX81" s="3">
        <v>1270.529779</v>
      </c>
      <c r="AY81" s="3">
        <v>960.40275150000002</v>
      </c>
      <c r="AZ81" s="3">
        <v>886.98040619999995</v>
      </c>
      <c r="BA81" s="3">
        <v>497.84803199999999</v>
      </c>
      <c r="BB81" s="3">
        <v>792.69062399999996</v>
      </c>
      <c r="BC81" s="3">
        <v>233.55963840000001</v>
      </c>
      <c r="BD81" s="3">
        <v>1290.8583599999999</v>
      </c>
      <c r="BE81" s="48" t="s">
        <v>312</v>
      </c>
      <c r="BF81" s="49" t="s">
        <v>330</v>
      </c>
      <c r="BG81" s="3">
        <v>0.16</v>
      </c>
      <c r="BH81" s="3">
        <v>0.193</v>
      </c>
      <c r="BI81" s="3">
        <v>0.28999999999999998</v>
      </c>
      <c r="BJ81" s="3">
        <v>0.14499999999999999</v>
      </c>
      <c r="BK81" s="3">
        <v>0.26500000000000001</v>
      </c>
      <c r="BL81" s="3">
        <v>0.39750000000000002</v>
      </c>
      <c r="BM81" s="3">
        <v>0.151</v>
      </c>
      <c r="BN81" s="3">
        <v>0.38500000000000001</v>
      </c>
      <c r="BO81" s="3">
        <v>0.33550000000000002</v>
      </c>
      <c r="BP81" s="3">
        <v>0.14000000000000001</v>
      </c>
      <c r="BQ81" s="3">
        <v>0.13</v>
      </c>
      <c r="BR81" s="3">
        <v>0.123</v>
      </c>
      <c r="BS81" s="3">
        <v>0.14699999999999999</v>
      </c>
      <c r="BT81" s="3">
        <v>0.67400000000000004</v>
      </c>
      <c r="BU81" s="3">
        <v>0.39633333399999998</v>
      </c>
      <c r="BV81" s="3">
        <v>0.129</v>
      </c>
      <c r="BW81" s="3">
        <v>0.53900000000000003</v>
      </c>
      <c r="BX81" s="3">
        <v>4.0000000000000001E-3</v>
      </c>
      <c r="BY81" s="3">
        <v>0.11600000000000001</v>
      </c>
      <c r="BZ81" s="3">
        <v>0.53900000000000003</v>
      </c>
      <c r="CA81" s="3">
        <v>0.78600000000000003</v>
      </c>
      <c r="CB81" s="3">
        <v>0.151</v>
      </c>
      <c r="CC81" s="3">
        <v>0.20899999999999999</v>
      </c>
      <c r="CD81" s="3">
        <v>0.50266666699999996</v>
      </c>
      <c r="CE81" s="3">
        <v>0.13200000000000001</v>
      </c>
      <c r="CF81" s="3">
        <v>0.126</v>
      </c>
      <c r="CG81" s="3">
        <v>0.46400000000000002</v>
      </c>
      <c r="CH81" s="3">
        <v>0.13100000000000001</v>
      </c>
      <c r="CI81" s="3">
        <v>7.5999999999999998E-2</v>
      </c>
      <c r="CJ81" s="3">
        <v>0.20633333300000001</v>
      </c>
      <c r="CK81" s="3">
        <v>0.107</v>
      </c>
      <c r="CL81" s="3">
        <v>0.21</v>
      </c>
      <c r="CM81" s="3">
        <v>0.01</v>
      </c>
      <c r="CN81" s="3">
        <v>0.127</v>
      </c>
      <c r="CO81" s="3">
        <v>0.14299999999999999</v>
      </c>
      <c r="CP81" s="3">
        <v>0.21133333300000001</v>
      </c>
      <c r="CQ81" s="3">
        <v>0.10299999999999999</v>
      </c>
      <c r="CR81" s="3">
        <v>0.18099999999999999</v>
      </c>
      <c r="CS81" s="3">
        <v>4.3999999999999997E-2</v>
      </c>
      <c r="CT81" s="48" t="s">
        <v>312</v>
      </c>
      <c r="CU81" s="49" t="s">
        <v>330</v>
      </c>
      <c r="CV81" s="3">
        <v>2.629</v>
      </c>
      <c r="CW81" s="3">
        <v>3.524</v>
      </c>
      <c r="CX81" s="3">
        <v>4.29</v>
      </c>
      <c r="CY81" s="3">
        <v>4.3479999999999999</v>
      </c>
      <c r="CZ81" s="3">
        <v>2.1320000000000001</v>
      </c>
      <c r="DA81" s="3">
        <v>6.383</v>
      </c>
      <c r="DB81" s="3">
        <v>4.4489999999999998</v>
      </c>
      <c r="DC81" s="3">
        <v>5.1340000000000003</v>
      </c>
      <c r="DD81" s="3">
        <v>4.1740000000000004</v>
      </c>
      <c r="DE81" s="3">
        <v>2.8740000000000001</v>
      </c>
      <c r="DF81" s="3">
        <v>3.2149999999999999</v>
      </c>
      <c r="DG81" s="3">
        <v>4.2480000000000002</v>
      </c>
      <c r="DH81" s="3">
        <v>4.1399999999999997</v>
      </c>
    </row>
    <row r="82" spans="1:112" x14ac:dyDescent="0.3">
      <c r="A82" s="48" t="s">
        <v>312</v>
      </c>
      <c r="B82" s="49" t="s">
        <v>331</v>
      </c>
      <c r="C82" s="3">
        <v>114.920946</v>
      </c>
      <c r="D82" s="3">
        <v>46.430999999999997</v>
      </c>
      <c r="E82" s="3">
        <v>36.866213999999999</v>
      </c>
      <c r="F82" s="3">
        <v>31.944527999999998</v>
      </c>
      <c r="G82" s="3">
        <v>36.866213999999999</v>
      </c>
      <c r="H82" s="3">
        <v>46.430999999999997</v>
      </c>
      <c r="I82" s="48" t="s">
        <v>312</v>
      </c>
      <c r="J82" s="49" t="s">
        <v>331</v>
      </c>
      <c r="K82" s="3">
        <v>36442</v>
      </c>
      <c r="L82" s="48" t="s">
        <v>312</v>
      </c>
      <c r="M82" s="49" t="s">
        <v>331</v>
      </c>
      <c r="N82" s="3">
        <v>7055.542719</v>
      </c>
      <c r="O82" s="3">
        <v>7442.7063589999998</v>
      </c>
      <c r="P82" s="3">
        <v>5095.0943589999997</v>
      </c>
      <c r="Q82" s="3">
        <v>4386.4046449999996</v>
      </c>
      <c r="R82" s="3">
        <v>6964.3245580000003</v>
      </c>
      <c r="S82" s="3">
        <v>6556.0004410000001</v>
      </c>
      <c r="T82" s="3">
        <v>4881.0393480000002</v>
      </c>
      <c r="U82" s="3">
        <v>8611.2837720000007</v>
      </c>
      <c r="V82" s="3">
        <v>6618.7600510000002</v>
      </c>
      <c r="W82" s="3">
        <v>5026.028327</v>
      </c>
      <c r="X82" s="3">
        <v>5816.7020709999997</v>
      </c>
      <c r="Y82" s="3">
        <v>734.24790110000004</v>
      </c>
      <c r="Z82" s="3">
        <v>2426.6389859999999</v>
      </c>
      <c r="AA82" s="48" t="s">
        <v>312</v>
      </c>
      <c r="AB82" s="49" t="s">
        <v>331</v>
      </c>
      <c r="AC82" s="3">
        <v>1521.21371</v>
      </c>
      <c r="AD82" s="3">
        <v>1244.7496699999999</v>
      </c>
      <c r="AE82" s="3">
        <v>799.14113510000004</v>
      </c>
      <c r="AF82" s="3">
        <v>258.32965990000002</v>
      </c>
      <c r="AG82" s="3">
        <v>2747.4495689999999</v>
      </c>
      <c r="AH82" s="3">
        <v>1861.0282119999999</v>
      </c>
      <c r="AI82" s="3">
        <v>2184.5114560000002</v>
      </c>
      <c r="AJ82" s="3">
        <v>1956.7923109999999</v>
      </c>
      <c r="AK82" s="3">
        <v>832.03323769999997</v>
      </c>
      <c r="AL82" s="3">
        <v>1109.078782</v>
      </c>
      <c r="AM82" s="3">
        <v>1881.4087549999999</v>
      </c>
      <c r="AN82" s="3">
        <v>244.82017830000001</v>
      </c>
      <c r="AO82" s="3">
        <v>755.77511530000004</v>
      </c>
      <c r="AP82" s="48" t="s">
        <v>312</v>
      </c>
      <c r="AQ82" s="49" t="s">
        <v>331</v>
      </c>
      <c r="AR82" s="3">
        <v>843.51518799999997</v>
      </c>
      <c r="AS82" s="3">
        <v>1626.4113789999999</v>
      </c>
      <c r="AT82" s="3">
        <v>1520.652067</v>
      </c>
      <c r="AU82" s="3">
        <v>1203.1243260000001</v>
      </c>
      <c r="AV82" s="3">
        <v>566.79580780000003</v>
      </c>
      <c r="AW82" s="3">
        <v>2193.6921860000002</v>
      </c>
      <c r="AX82" s="3">
        <v>1309.0306820000001</v>
      </c>
      <c r="AY82" s="3">
        <v>1017.633456</v>
      </c>
      <c r="AZ82" s="3">
        <v>939.83584940000003</v>
      </c>
      <c r="BA82" s="3">
        <v>512.93433600000003</v>
      </c>
      <c r="BB82" s="3">
        <v>816.71155199999998</v>
      </c>
      <c r="BC82" s="3">
        <v>240.63720319999999</v>
      </c>
      <c r="BD82" s="3">
        <v>1329.9752800000001</v>
      </c>
      <c r="BE82" s="48" t="s">
        <v>312</v>
      </c>
      <c r="BF82" s="49" t="s">
        <v>331</v>
      </c>
      <c r="BG82" s="3">
        <v>0.36</v>
      </c>
      <c r="BH82" s="3">
        <v>0.16700000000000001</v>
      </c>
      <c r="BI82" s="3">
        <v>0.21299999999999999</v>
      </c>
      <c r="BJ82" s="3">
        <v>0.35199999999999998</v>
      </c>
      <c r="BK82" s="3">
        <v>0.26500000000000001</v>
      </c>
      <c r="BL82" s="3">
        <v>0.25800000000000001</v>
      </c>
      <c r="BM82" s="3">
        <v>0.35499999999999998</v>
      </c>
      <c r="BN82" s="3">
        <v>0.40400000000000003</v>
      </c>
      <c r="BO82" s="3">
        <v>0.25700000000000001</v>
      </c>
      <c r="BP82" s="3">
        <v>0.34200000000000003</v>
      </c>
      <c r="BQ82" s="3">
        <v>0.125</v>
      </c>
      <c r="BR82" s="3">
        <v>0.13266666699999999</v>
      </c>
      <c r="BS82" s="3">
        <v>0.34899999999999998</v>
      </c>
      <c r="BT82" s="3">
        <v>0.749</v>
      </c>
      <c r="BU82" s="3">
        <v>0.32716666700000002</v>
      </c>
      <c r="BV82" s="3">
        <v>0.32400000000000001</v>
      </c>
      <c r="BW82" s="3">
        <v>0.63700000000000001</v>
      </c>
      <c r="BX82" s="3">
        <v>2.1999999999999999E-2</v>
      </c>
      <c r="BY82" s="3">
        <v>0.27300000000000002</v>
      </c>
      <c r="BZ82" s="3">
        <v>0.63700000000000001</v>
      </c>
      <c r="CA82" s="3">
        <v>0.76649999999999996</v>
      </c>
      <c r="CB82" s="3">
        <v>0.35399999999999998</v>
      </c>
      <c r="CC82" s="3">
        <v>0.193</v>
      </c>
      <c r="CD82" s="3">
        <v>0.44133333299999999</v>
      </c>
      <c r="CE82" s="3">
        <v>0.33400000000000002</v>
      </c>
      <c r="CF82" s="3">
        <v>0.13700000000000001</v>
      </c>
      <c r="CG82" s="3">
        <v>0.38750000000000001</v>
      </c>
      <c r="CH82" s="3">
        <v>0.33300000000000002</v>
      </c>
      <c r="CI82" s="3">
        <v>8.3000000000000004E-2</v>
      </c>
      <c r="CJ82" s="3">
        <v>0.15533333299999999</v>
      </c>
      <c r="CK82" s="3">
        <v>0.28999999999999998</v>
      </c>
      <c r="CL82" s="3">
        <v>0.18099999999999999</v>
      </c>
      <c r="CM82" s="3">
        <v>0.01</v>
      </c>
      <c r="CN82" s="3">
        <v>0.32200000000000001</v>
      </c>
      <c r="CO82" s="3">
        <v>0.14799999999999999</v>
      </c>
      <c r="CP82" s="3">
        <v>0.17633333300000001</v>
      </c>
      <c r="CQ82" s="3">
        <v>0.26800000000000002</v>
      </c>
      <c r="CR82" s="3">
        <v>0.20799999999999999</v>
      </c>
      <c r="CS82" s="3">
        <v>0.03</v>
      </c>
      <c r="CT82" s="48" t="s">
        <v>312</v>
      </c>
      <c r="CU82" s="49" t="s">
        <v>331</v>
      </c>
      <c r="CV82" s="3">
        <v>3.9079999999999999</v>
      </c>
      <c r="CW82" s="3">
        <v>4.76</v>
      </c>
      <c r="CX82" s="3">
        <v>5.4379999999999997</v>
      </c>
      <c r="CY82" s="3">
        <v>5.2080000000000002</v>
      </c>
      <c r="CZ82" s="3">
        <v>4.4619999999999997</v>
      </c>
      <c r="DA82" s="3">
        <v>6.4279999999999999</v>
      </c>
      <c r="DB82" s="3">
        <v>5.5170000000000003</v>
      </c>
      <c r="DC82" s="3">
        <v>6.0289999999999999</v>
      </c>
      <c r="DD82" s="3">
        <v>5.8630000000000004</v>
      </c>
      <c r="DE82" s="3">
        <v>5.2469999999999999</v>
      </c>
      <c r="DF82" s="3">
        <v>4.6609999999999996</v>
      </c>
      <c r="DG82" s="3">
        <v>5.7320000000000002</v>
      </c>
      <c r="DH82" s="3">
        <v>5.0229999999999997</v>
      </c>
    </row>
    <row r="83" spans="1:112" x14ac:dyDescent="0.3">
      <c r="A83" s="48" t="s">
        <v>312</v>
      </c>
      <c r="B83" s="49" t="s">
        <v>332</v>
      </c>
      <c r="C83" s="3">
        <v>59.912874000000002</v>
      </c>
      <c r="D83" s="3">
        <v>44.084124000000003</v>
      </c>
      <c r="E83" s="3">
        <v>36.233063999999999</v>
      </c>
      <c r="F83" s="3">
        <v>31.74192</v>
      </c>
      <c r="G83" s="3">
        <v>36.233063999999999</v>
      </c>
      <c r="H83" s="3">
        <v>44.084124000000003</v>
      </c>
      <c r="I83" s="48" t="s">
        <v>312</v>
      </c>
      <c r="J83" s="49" t="s">
        <v>332</v>
      </c>
      <c r="K83" s="3">
        <v>35621.5</v>
      </c>
      <c r="L83" s="48" t="s">
        <v>312</v>
      </c>
      <c r="M83" s="49" t="s">
        <v>332</v>
      </c>
      <c r="N83" s="3">
        <v>7838.4395770000001</v>
      </c>
      <c r="O83" s="3">
        <v>8902.9601220000004</v>
      </c>
      <c r="P83" s="3">
        <v>4188.3042249999999</v>
      </c>
      <c r="Q83" s="3">
        <v>3689.433587</v>
      </c>
      <c r="R83" s="3">
        <v>7941.8193240000001</v>
      </c>
      <c r="S83" s="3">
        <v>8517.5185729999994</v>
      </c>
      <c r="T83" s="3">
        <v>5970.0260870000002</v>
      </c>
      <c r="U83" s="3">
        <v>9445.7784929999998</v>
      </c>
      <c r="V83" s="3">
        <v>7400.2536190000001</v>
      </c>
      <c r="W83" s="3">
        <v>3451.28748</v>
      </c>
      <c r="X83" s="3">
        <v>7117.3699109999998</v>
      </c>
      <c r="Y83" s="3">
        <v>607.48922579999999</v>
      </c>
      <c r="Z83" s="3">
        <v>1905.9954909999999</v>
      </c>
      <c r="AA83" s="48" t="s">
        <v>312</v>
      </c>
      <c r="AB83" s="49" t="s">
        <v>332</v>
      </c>
      <c r="AC83" s="3">
        <v>1333.5750149999999</v>
      </c>
      <c r="AD83" s="3">
        <v>1199.930533</v>
      </c>
      <c r="AE83" s="3">
        <v>770.36682259999998</v>
      </c>
      <c r="AF83" s="3">
        <v>249.02810099999999</v>
      </c>
      <c r="AG83" s="3">
        <v>2408.5571110000001</v>
      </c>
      <c r="AH83" s="3">
        <v>1794.0190130000001</v>
      </c>
      <c r="AI83" s="3">
        <v>2105.854742</v>
      </c>
      <c r="AJ83" s="3">
        <v>1715.4258580000001</v>
      </c>
      <c r="AK83" s="3">
        <v>729.40358719999995</v>
      </c>
      <c r="AL83" s="3">
        <v>1069.144685</v>
      </c>
      <c r="AM83" s="3">
        <v>1813.6657230000001</v>
      </c>
      <c r="AN83" s="3">
        <v>236.00504910000001</v>
      </c>
      <c r="AO83" s="3">
        <v>728.56226330000004</v>
      </c>
      <c r="AP83" s="48" t="s">
        <v>312</v>
      </c>
      <c r="AQ83" s="49" t="s">
        <v>332</v>
      </c>
      <c r="AR83" s="3">
        <v>822.76085999999998</v>
      </c>
      <c r="AS83" s="3">
        <v>1590.534658</v>
      </c>
      <c r="AT83" s="3">
        <v>1487.1082719999999</v>
      </c>
      <c r="AU83" s="3">
        <v>1176.5848189999999</v>
      </c>
      <c r="AV83" s="3">
        <v>552.85004100000003</v>
      </c>
      <c r="AW83" s="3">
        <v>2145.3019169999998</v>
      </c>
      <c r="AX83" s="3">
        <v>1280.1550050000001</v>
      </c>
      <c r="AY83" s="3">
        <v>992.59502250000003</v>
      </c>
      <c r="AZ83" s="3">
        <v>916.71159299999999</v>
      </c>
      <c r="BA83" s="3">
        <v>501.61960800000003</v>
      </c>
      <c r="BB83" s="3">
        <v>798.69585600000005</v>
      </c>
      <c r="BC83" s="3">
        <v>235.32902960000001</v>
      </c>
      <c r="BD83" s="3">
        <v>1300.63759</v>
      </c>
      <c r="BE83" s="48" t="s">
        <v>312</v>
      </c>
      <c r="BF83" s="49" t="s">
        <v>332</v>
      </c>
      <c r="BG83" s="3">
        <v>0.53900000000000003</v>
      </c>
      <c r="BH83" s="3">
        <v>0.28499999999999998</v>
      </c>
      <c r="BI83" s="3">
        <v>0.17100000000000001</v>
      </c>
      <c r="BJ83" s="3">
        <v>0.53600000000000003</v>
      </c>
      <c r="BK83" s="3">
        <v>0.39</v>
      </c>
      <c r="BL83" s="3">
        <v>0.14499999999999999</v>
      </c>
      <c r="BM83" s="3">
        <v>0.53600000000000003</v>
      </c>
      <c r="BN83" s="3">
        <v>0.46400000000000002</v>
      </c>
      <c r="BO83" s="3">
        <v>0.17449999999999999</v>
      </c>
      <c r="BP83" s="3">
        <v>0.52600000000000002</v>
      </c>
      <c r="BQ83" s="3">
        <v>0.251</v>
      </c>
      <c r="BR83" s="3">
        <v>0.170333333</v>
      </c>
      <c r="BS83" s="3">
        <v>0.52700000000000002</v>
      </c>
      <c r="BT83" s="3">
        <v>0.79600000000000004</v>
      </c>
      <c r="BU83" s="3">
        <v>0.27483333399999998</v>
      </c>
      <c r="BV83" s="3">
        <v>0.49399999999999999</v>
      </c>
      <c r="BW83" s="3">
        <v>0.70099999999999996</v>
      </c>
      <c r="BX83" s="3">
        <v>7.4999999999999997E-2</v>
      </c>
      <c r="BY83" s="3">
        <v>0.42399999999999999</v>
      </c>
      <c r="BZ83" s="3">
        <v>0.70099999999999996</v>
      </c>
      <c r="CA83" s="3">
        <v>0.6895</v>
      </c>
      <c r="CB83" s="3">
        <v>0.53100000000000003</v>
      </c>
      <c r="CC83" s="3">
        <v>0.214</v>
      </c>
      <c r="CD83" s="3">
        <v>0.37866666700000001</v>
      </c>
      <c r="CE83" s="3">
        <v>0.51500000000000001</v>
      </c>
      <c r="CF83" s="3">
        <v>0.20699999999999999</v>
      </c>
      <c r="CG83" s="3">
        <v>0.30649999999999999</v>
      </c>
      <c r="CH83" s="3">
        <v>0.51500000000000001</v>
      </c>
      <c r="CI83" s="3">
        <v>0.14099999999999999</v>
      </c>
      <c r="CJ83" s="3">
        <v>0.14933333300000001</v>
      </c>
      <c r="CK83" s="3">
        <v>0.45500000000000002</v>
      </c>
      <c r="CL83" s="3">
        <v>0.26800000000000002</v>
      </c>
      <c r="CM83" s="3">
        <v>0.01</v>
      </c>
      <c r="CN83" s="3">
        <v>0.504</v>
      </c>
      <c r="CO83" s="3">
        <v>0.186</v>
      </c>
      <c r="CP83" s="3">
        <v>0.15033333300000001</v>
      </c>
      <c r="CQ83" s="3">
        <v>0.39</v>
      </c>
      <c r="CR83" s="3">
        <v>0.29299999999999998</v>
      </c>
      <c r="CS83" s="3">
        <v>5.0999999999999997E-2</v>
      </c>
      <c r="CT83" s="48" t="s">
        <v>312</v>
      </c>
      <c r="CU83" s="49" t="s">
        <v>332</v>
      </c>
      <c r="CV83" s="3">
        <v>5.6740000000000004</v>
      </c>
      <c r="CW83" s="3">
        <v>6.2990000000000004</v>
      </c>
      <c r="CX83" s="3">
        <v>6.9710000000000001</v>
      </c>
      <c r="CY83" s="3">
        <v>6.2169999999999996</v>
      </c>
      <c r="CZ83" s="3">
        <v>7.1349999999999998</v>
      </c>
      <c r="DA83" s="3">
        <v>6.5289999999999999</v>
      </c>
      <c r="DB83" s="3">
        <v>7.0380000000000003</v>
      </c>
      <c r="DC83" s="3">
        <v>6.8719999999999999</v>
      </c>
      <c r="DD83" s="3">
        <v>7.508</v>
      </c>
      <c r="DE83" s="3">
        <v>7.4409999999999998</v>
      </c>
      <c r="DF83" s="3">
        <v>6.2930000000000001</v>
      </c>
      <c r="DG83" s="3">
        <v>6.6059999999999999</v>
      </c>
      <c r="DH83" s="3">
        <v>5.67</v>
      </c>
    </row>
    <row r="84" spans="1:112" x14ac:dyDescent="0.3">
      <c r="A84" s="48" t="s">
        <v>312</v>
      </c>
      <c r="B84" s="49" t="s">
        <v>333</v>
      </c>
      <c r="C84" s="3">
        <v>54.797021999999998</v>
      </c>
      <c r="D84" s="3">
        <v>41.998950000000001</v>
      </c>
      <c r="E84" s="3">
        <v>34.569989999999997</v>
      </c>
      <c r="F84" s="3">
        <v>30.230802000000001</v>
      </c>
      <c r="G84" s="3">
        <v>34.569989999999997</v>
      </c>
      <c r="H84" s="3">
        <v>41.998950000000001</v>
      </c>
      <c r="I84" s="48" t="s">
        <v>312</v>
      </c>
      <c r="J84" s="49" t="s">
        <v>333</v>
      </c>
      <c r="K84" s="3">
        <v>34781.5</v>
      </c>
      <c r="L84" s="48" t="s">
        <v>312</v>
      </c>
      <c r="M84" s="49" t="s">
        <v>333</v>
      </c>
      <c r="N84" s="3">
        <v>5587.3462440000003</v>
      </c>
      <c r="O84" s="3">
        <v>6999.5976220000002</v>
      </c>
      <c r="P84" s="3">
        <v>3249.3056190000002</v>
      </c>
      <c r="Q84" s="3">
        <v>2952.1658659999998</v>
      </c>
      <c r="R84" s="3">
        <v>6024.7551050000002</v>
      </c>
      <c r="S84" s="3">
        <v>7254.8353669999997</v>
      </c>
      <c r="T84" s="3">
        <v>5013.9125160000003</v>
      </c>
      <c r="U84" s="3">
        <v>6264.1129220000003</v>
      </c>
      <c r="V84" s="3">
        <v>5200.0245809999997</v>
      </c>
      <c r="W84" s="3">
        <v>2090.8970650000001</v>
      </c>
      <c r="X84" s="3">
        <v>5549.6075350000001</v>
      </c>
      <c r="Y84" s="3">
        <v>445.12194290000002</v>
      </c>
      <c r="Z84" s="3">
        <v>1557.44624</v>
      </c>
      <c r="AA84" s="48" t="s">
        <v>312</v>
      </c>
      <c r="AB84" s="49" t="s">
        <v>333</v>
      </c>
      <c r="AC84" s="3">
        <v>1170.508053</v>
      </c>
      <c r="AD84" s="3">
        <v>1085.8454569999999</v>
      </c>
      <c r="AE84" s="3">
        <v>697.12311790000001</v>
      </c>
      <c r="AF84" s="3">
        <v>225.3514055</v>
      </c>
      <c r="AG84" s="3">
        <v>2114.0434279999999</v>
      </c>
      <c r="AH84" s="3">
        <v>1623.4501419999999</v>
      </c>
      <c r="AI84" s="3">
        <v>1905.637653</v>
      </c>
      <c r="AJ84" s="3">
        <v>1505.666917</v>
      </c>
      <c r="AK84" s="3">
        <v>640.21353380000005</v>
      </c>
      <c r="AL84" s="3">
        <v>967.49425680000002</v>
      </c>
      <c r="AM84" s="3">
        <v>1641.228914</v>
      </c>
      <c r="AN84" s="3">
        <v>213.56653850000001</v>
      </c>
      <c r="AO84" s="3">
        <v>659.29318560000002</v>
      </c>
      <c r="AP84" s="48" t="s">
        <v>312</v>
      </c>
      <c r="AQ84" s="49" t="s">
        <v>333</v>
      </c>
      <c r="AR84" s="3">
        <v>769.39258800000005</v>
      </c>
      <c r="AS84" s="3">
        <v>1524.7606679999999</v>
      </c>
      <c r="AT84" s="3">
        <v>1425.6113130000001</v>
      </c>
      <c r="AU84" s="3">
        <v>1127.9290559999999</v>
      </c>
      <c r="AV84" s="3">
        <v>516.98949779999998</v>
      </c>
      <c r="AW84" s="3">
        <v>2056.5864240000001</v>
      </c>
      <c r="AX84" s="3">
        <v>1227.2162639999999</v>
      </c>
      <c r="AY84" s="3">
        <v>928.21048050000002</v>
      </c>
      <c r="AZ84" s="3">
        <v>857.24921940000002</v>
      </c>
      <c r="BA84" s="3">
        <v>480.87594000000001</v>
      </c>
      <c r="BB84" s="3">
        <v>765.66708000000006</v>
      </c>
      <c r="BC84" s="3">
        <v>225.59737799999999</v>
      </c>
      <c r="BD84" s="3">
        <v>1246.851825</v>
      </c>
      <c r="BE84" s="48" t="s">
        <v>312</v>
      </c>
      <c r="BF84" s="49" t="s">
        <v>333</v>
      </c>
      <c r="BG84" s="3">
        <v>0.67400000000000004</v>
      </c>
      <c r="BH84" s="3">
        <v>0.38700000000000001</v>
      </c>
      <c r="BI84" s="3">
        <v>0.16400000000000001</v>
      </c>
      <c r="BJ84" s="3">
        <v>0.67400000000000004</v>
      </c>
      <c r="BK84" s="3">
        <v>0.44400000000000001</v>
      </c>
      <c r="BL84" s="3">
        <v>7.9000000000000001E-2</v>
      </c>
      <c r="BM84" s="3">
        <v>0.67300000000000004</v>
      </c>
      <c r="BN84" s="3">
        <v>0.49199999999999999</v>
      </c>
      <c r="BO84" s="3">
        <v>0.10349999999999999</v>
      </c>
      <c r="BP84" s="3">
        <v>0.66500000000000004</v>
      </c>
      <c r="BQ84" s="3">
        <v>0.26800000000000002</v>
      </c>
      <c r="BR84" s="3">
        <v>0.23933333300000001</v>
      </c>
      <c r="BS84" s="3">
        <v>0.66200000000000003</v>
      </c>
      <c r="BT84" s="3">
        <v>0.83</v>
      </c>
      <c r="BU84" s="3">
        <v>0.248</v>
      </c>
      <c r="BV84" s="3">
        <v>0.59899999999999998</v>
      </c>
      <c r="BW84" s="3">
        <v>0.72699999999999998</v>
      </c>
      <c r="BX84" s="3">
        <v>0.153</v>
      </c>
      <c r="BY84" s="3">
        <v>0.44800000000000001</v>
      </c>
      <c r="BZ84" s="3">
        <v>0.72699999999999998</v>
      </c>
      <c r="CA84" s="3">
        <v>0.55300000000000005</v>
      </c>
      <c r="CB84" s="3">
        <v>0.65600000000000003</v>
      </c>
      <c r="CC84" s="3">
        <v>0.217</v>
      </c>
      <c r="CD84" s="3">
        <v>0.33200000000000002</v>
      </c>
      <c r="CE84" s="3">
        <v>0.65400000000000003</v>
      </c>
      <c r="CF84" s="3">
        <v>0.23200000000000001</v>
      </c>
      <c r="CG84" s="3">
        <v>0.219</v>
      </c>
      <c r="CH84" s="3">
        <v>0.65400000000000003</v>
      </c>
      <c r="CI84" s="3">
        <v>0.16</v>
      </c>
      <c r="CJ84" s="3">
        <v>0.17066666699999999</v>
      </c>
      <c r="CK84" s="3">
        <v>0.55900000000000005</v>
      </c>
      <c r="CL84" s="3">
        <v>0.314</v>
      </c>
      <c r="CM84" s="3">
        <v>0.01</v>
      </c>
      <c r="CN84" s="3">
        <v>0.628</v>
      </c>
      <c r="CO84" s="3">
        <v>0.22900000000000001</v>
      </c>
      <c r="CP84" s="3">
        <v>0.142666667</v>
      </c>
      <c r="CQ84" s="3">
        <v>0.46400000000000002</v>
      </c>
      <c r="CR84" s="3">
        <v>0.38</v>
      </c>
      <c r="CS84" s="3">
        <v>9.0999999999999998E-2</v>
      </c>
      <c r="CT84" s="48" t="s">
        <v>312</v>
      </c>
      <c r="CU84" s="49" t="s">
        <v>333</v>
      </c>
      <c r="CV84" s="3">
        <v>6.8419999999999996</v>
      </c>
      <c r="CW84" s="3">
        <v>7.6230000000000002</v>
      </c>
      <c r="CX84" s="3">
        <v>8.3879999999999999</v>
      </c>
      <c r="CY84" s="3">
        <v>7.6470000000000002</v>
      </c>
      <c r="CZ84" s="3">
        <v>8.1319999999999997</v>
      </c>
      <c r="DA84" s="3">
        <v>6.57</v>
      </c>
      <c r="DB84" s="3">
        <v>8.5340000000000007</v>
      </c>
      <c r="DC84" s="3">
        <v>7.4509999999999996</v>
      </c>
      <c r="DD84" s="3">
        <v>8.3469999999999995</v>
      </c>
      <c r="DE84" s="3">
        <v>8.4760000000000009</v>
      </c>
      <c r="DF84" s="3">
        <v>7.6449999999999996</v>
      </c>
      <c r="DG84" s="3">
        <v>7.4489999999999998</v>
      </c>
      <c r="DH84" s="3">
        <v>6.3319999999999999</v>
      </c>
    </row>
    <row r="85" spans="1:112" x14ac:dyDescent="0.3">
      <c r="A85" s="48" t="s">
        <v>312</v>
      </c>
      <c r="B85" s="49" t="s">
        <v>334</v>
      </c>
      <c r="C85" s="3">
        <v>52.880687999999999</v>
      </c>
      <c r="D85" s="3">
        <v>39.930660000000003</v>
      </c>
      <c r="E85" s="3">
        <v>30.247686000000002</v>
      </c>
      <c r="F85" s="3">
        <v>29.099574</v>
      </c>
      <c r="G85" s="3">
        <v>30.247686000000002</v>
      </c>
      <c r="H85" s="3">
        <v>39.930660000000003</v>
      </c>
      <c r="I85" s="48" t="s">
        <v>312</v>
      </c>
      <c r="J85" s="49" t="s">
        <v>334</v>
      </c>
      <c r="K85" s="3">
        <v>34955</v>
      </c>
      <c r="L85" s="48" t="s">
        <v>312</v>
      </c>
      <c r="M85" s="49" t="s">
        <v>334</v>
      </c>
      <c r="N85" s="3">
        <v>3690.4707749999998</v>
      </c>
      <c r="O85" s="3">
        <v>5253.8849840000003</v>
      </c>
      <c r="P85" s="3">
        <v>2659.3030309999999</v>
      </c>
      <c r="Q85" s="3">
        <v>2434.5991979999999</v>
      </c>
      <c r="R85" s="3">
        <v>4024.795991</v>
      </c>
      <c r="S85" s="3">
        <v>5657.7494509999997</v>
      </c>
      <c r="T85" s="3">
        <v>3577.4965029999998</v>
      </c>
      <c r="U85" s="3">
        <v>3978.3586690000002</v>
      </c>
      <c r="V85" s="3">
        <v>3133.9940849999998</v>
      </c>
      <c r="W85" s="3">
        <v>1415.679662</v>
      </c>
      <c r="X85" s="3">
        <v>3910.475406</v>
      </c>
      <c r="Y85" s="3">
        <v>352.36541340000002</v>
      </c>
      <c r="Z85" s="3">
        <v>1300.419727</v>
      </c>
      <c r="AA85" s="48" t="s">
        <v>312</v>
      </c>
      <c r="AB85" s="49" t="s">
        <v>334</v>
      </c>
      <c r="AC85" s="3">
        <v>1206.4721360000001</v>
      </c>
      <c r="AD85" s="3">
        <v>1107.0326849999999</v>
      </c>
      <c r="AE85" s="3">
        <v>710.72552020000001</v>
      </c>
      <c r="AF85" s="3">
        <v>229.74850609999999</v>
      </c>
      <c r="AG85" s="3">
        <v>2178.9978160000001</v>
      </c>
      <c r="AH85" s="3">
        <v>1655.1272180000001</v>
      </c>
      <c r="AI85" s="3">
        <v>1942.820827</v>
      </c>
      <c r="AJ85" s="3">
        <v>1551.928821</v>
      </c>
      <c r="AK85" s="3">
        <v>659.88421689999996</v>
      </c>
      <c r="AL85" s="3">
        <v>986.37219359999995</v>
      </c>
      <c r="AM85" s="3">
        <v>1673.2528930000001</v>
      </c>
      <c r="AN85" s="3">
        <v>217.73369049999999</v>
      </c>
      <c r="AO85" s="3">
        <v>672.15744289999998</v>
      </c>
      <c r="AP85" s="48" t="s">
        <v>312</v>
      </c>
      <c r="AQ85" s="49" t="s">
        <v>334</v>
      </c>
      <c r="AR85" s="3">
        <v>721.95412399999998</v>
      </c>
      <c r="AS85" s="3">
        <v>1455.996952</v>
      </c>
      <c r="AT85" s="3">
        <v>1361.3190380000001</v>
      </c>
      <c r="AU85" s="3">
        <v>1077.0616669999999</v>
      </c>
      <c r="AV85" s="3">
        <v>485.11345940000001</v>
      </c>
      <c r="AW85" s="3">
        <v>1963.838409</v>
      </c>
      <c r="AX85" s="3">
        <v>1171.8712169999999</v>
      </c>
      <c r="AY85" s="3">
        <v>870.97977649999996</v>
      </c>
      <c r="AZ85" s="3">
        <v>804.39377620000005</v>
      </c>
      <c r="BA85" s="3">
        <v>459.18937799999998</v>
      </c>
      <c r="BB85" s="3">
        <v>731.13699599999995</v>
      </c>
      <c r="BC85" s="3">
        <v>215.42337860000001</v>
      </c>
      <c r="BD85" s="3">
        <v>1190.6212519999999</v>
      </c>
      <c r="BE85" s="48" t="s">
        <v>312</v>
      </c>
      <c r="BF85" s="49" t="s">
        <v>334</v>
      </c>
      <c r="BG85" s="3">
        <v>0.76100000000000001</v>
      </c>
      <c r="BH85" s="3">
        <v>0.42499999999999999</v>
      </c>
      <c r="BI85" s="3">
        <v>0.17849999999999999</v>
      </c>
      <c r="BJ85" s="3">
        <v>0.76300000000000001</v>
      </c>
      <c r="BK85" s="3">
        <v>0.45500000000000002</v>
      </c>
      <c r="BL85" s="3">
        <v>3.7499999999999999E-2</v>
      </c>
      <c r="BM85" s="3">
        <v>0.76100000000000001</v>
      </c>
      <c r="BN85" s="3">
        <v>0.496</v>
      </c>
      <c r="BO85" s="3">
        <v>6.1499999999999999E-2</v>
      </c>
      <c r="BP85" s="3">
        <v>0.73899999999999999</v>
      </c>
      <c r="BQ85" s="3">
        <v>0.27100000000000002</v>
      </c>
      <c r="BR85" s="3">
        <v>0.33300000000000002</v>
      </c>
      <c r="BS85" s="3">
        <v>0.75</v>
      </c>
      <c r="BT85" s="3">
        <v>0.84199999999999997</v>
      </c>
      <c r="BU85" s="3">
        <v>0.235916667</v>
      </c>
      <c r="BV85" s="3">
        <v>0.63100000000000001</v>
      </c>
      <c r="BW85" s="3">
        <v>0.73899999999999999</v>
      </c>
      <c r="BX85" s="3">
        <v>0.249</v>
      </c>
      <c r="BY85" s="3">
        <v>0.38300000000000001</v>
      </c>
      <c r="BZ85" s="3">
        <v>0.73899999999999999</v>
      </c>
      <c r="CA85" s="3">
        <v>0.42249999999999999</v>
      </c>
      <c r="CB85" s="3">
        <v>0.74</v>
      </c>
      <c r="CC85" s="3">
        <v>0.20799999999999999</v>
      </c>
      <c r="CD85" s="3">
        <v>0.29333333299999997</v>
      </c>
      <c r="CE85" s="3">
        <v>0.74199999999999999</v>
      </c>
      <c r="CF85" s="3">
        <v>0.23499999999999999</v>
      </c>
      <c r="CG85" s="3">
        <v>0.15049999999999999</v>
      </c>
      <c r="CH85" s="3">
        <v>0.74199999999999999</v>
      </c>
      <c r="CI85" s="3">
        <v>0.18099999999999999</v>
      </c>
      <c r="CJ85" s="3">
        <v>0.20799999999999999</v>
      </c>
      <c r="CK85" s="3">
        <v>0.61</v>
      </c>
      <c r="CL85" s="3">
        <v>0.36199999999999999</v>
      </c>
      <c r="CM85" s="3">
        <v>0.01</v>
      </c>
      <c r="CN85" s="3">
        <v>0.68200000000000005</v>
      </c>
      <c r="CO85" s="3">
        <v>0.27800000000000002</v>
      </c>
      <c r="CP85" s="3">
        <v>0.15366666700000001</v>
      </c>
      <c r="CQ85" s="3">
        <v>0.55100000000000005</v>
      </c>
      <c r="CR85" s="3">
        <v>0.45900000000000002</v>
      </c>
      <c r="CS85" s="3">
        <v>0.13600000000000001</v>
      </c>
      <c r="CT85" s="48" t="s">
        <v>312</v>
      </c>
      <c r="CU85" s="49" t="s">
        <v>334</v>
      </c>
      <c r="CV85" s="3">
        <v>7.3639999999999999</v>
      </c>
      <c r="CW85" s="3">
        <v>8.6170000000000009</v>
      </c>
      <c r="CX85" s="3">
        <v>9.3030000000000008</v>
      </c>
      <c r="CY85" s="3">
        <v>8.7010000000000005</v>
      </c>
      <c r="CZ85" s="3">
        <v>8.7420000000000009</v>
      </c>
      <c r="DA85" s="3">
        <v>6.6719999999999997</v>
      </c>
      <c r="DB85" s="3">
        <v>9.57</v>
      </c>
      <c r="DC85" s="3">
        <v>7.9560000000000004</v>
      </c>
      <c r="DD85" s="3">
        <v>8.923</v>
      </c>
      <c r="DE85" s="3">
        <v>8.9369999999999994</v>
      </c>
      <c r="DF85" s="3">
        <v>8.6020000000000003</v>
      </c>
      <c r="DG85" s="3">
        <v>8.1359999999999992</v>
      </c>
      <c r="DH85" s="3">
        <v>6.7859999999999996</v>
      </c>
    </row>
    <row r="86" spans="1:112" x14ac:dyDescent="0.3">
      <c r="A86" s="48" t="s">
        <v>312</v>
      </c>
      <c r="B86" s="49" t="s">
        <v>335</v>
      </c>
      <c r="C86" s="3">
        <v>44.379593999999997</v>
      </c>
      <c r="D86" s="3">
        <v>38.824758000000003</v>
      </c>
      <c r="E86" s="3">
        <v>28.348236</v>
      </c>
      <c r="F86" s="3">
        <v>27.444942000000001</v>
      </c>
      <c r="G86" s="3">
        <v>29.538557999999998</v>
      </c>
      <c r="H86" s="3">
        <v>38.824758000000003</v>
      </c>
      <c r="I86" s="48" t="s">
        <v>312</v>
      </c>
      <c r="J86" s="49" t="s">
        <v>335</v>
      </c>
      <c r="K86" s="3">
        <v>35148.5</v>
      </c>
      <c r="L86" s="48" t="s">
        <v>312</v>
      </c>
      <c r="M86" s="49" t="s">
        <v>335</v>
      </c>
      <c r="N86" s="3">
        <v>2763.8912289999998</v>
      </c>
      <c r="O86" s="3">
        <v>4347.5412619999997</v>
      </c>
      <c r="P86" s="3">
        <v>2422.901926</v>
      </c>
      <c r="Q86" s="3">
        <v>2303.8987900000002</v>
      </c>
      <c r="R86" s="3">
        <v>3141.5677390000001</v>
      </c>
      <c r="S86" s="3">
        <v>4824.7413210000004</v>
      </c>
      <c r="T86" s="3">
        <v>2810.2725879999998</v>
      </c>
      <c r="U86" s="3">
        <v>2974.4546999999998</v>
      </c>
      <c r="V86" s="3">
        <v>2266.7772319999999</v>
      </c>
      <c r="W86" s="3">
        <v>1276.774874</v>
      </c>
      <c r="X86" s="3">
        <v>3120.3202310000001</v>
      </c>
      <c r="Y86" s="3">
        <v>336.42659709999998</v>
      </c>
      <c r="Z86" s="3">
        <v>1103.2321910000001</v>
      </c>
      <c r="AA86" s="48" t="s">
        <v>312</v>
      </c>
      <c r="AB86" s="49" t="s">
        <v>335</v>
      </c>
      <c r="AC86" s="3">
        <v>1235.221065</v>
      </c>
      <c r="AD86" s="3">
        <v>1151.179535</v>
      </c>
      <c r="AE86" s="3">
        <v>739.068218</v>
      </c>
      <c r="AF86" s="3">
        <v>238.91054159999999</v>
      </c>
      <c r="AG86" s="3">
        <v>2230.9209810000002</v>
      </c>
      <c r="AH86" s="3">
        <v>1721.1312789999999</v>
      </c>
      <c r="AI86" s="3">
        <v>2020.2976900000001</v>
      </c>
      <c r="AJ86" s="3">
        <v>1588.909609</v>
      </c>
      <c r="AK86" s="3">
        <v>675.60854540000003</v>
      </c>
      <c r="AL86" s="3">
        <v>1025.707279</v>
      </c>
      <c r="AM86" s="3">
        <v>1739.979779</v>
      </c>
      <c r="AN86" s="3">
        <v>226.4165927</v>
      </c>
      <c r="AO86" s="3">
        <v>698.96210210000004</v>
      </c>
      <c r="AP86" s="48" t="s">
        <v>312</v>
      </c>
      <c r="AQ86" s="49" t="s">
        <v>335</v>
      </c>
      <c r="AR86" s="3">
        <v>662.65604399999995</v>
      </c>
      <c r="AS86" s="3">
        <v>1372.2846010000001</v>
      </c>
      <c r="AT86" s="3">
        <v>1283.0501819999999</v>
      </c>
      <c r="AU86" s="3">
        <v>1015.13615</v>
      </c>
      <c r="AV86" s="3">
        <v>445.26841139999999</v>
      </c>
      <c r="AW86" s="3">
        <v>1850.927782</v>
      </c>
      <c r="AX86" s="3">
        <v>1104.4946379999999</v>
      </c>
      <c r="AY86" s="3">
        <v>799.4413965</v>
      </c>
      <c r="AZ86" s="3">
        <v>738.32447219999995</v>
      </c>
      <c r="BA86" s="3">
        <v>432.78834599999999</v>
      </c>
      <c r="BB86" s="3">
        <v>689.10037199999999</v>
      </c>
      <c r="BC86" s="3">
        <v>203.0376402</v>
      </c>
      <c r="BD86" s="3">
        <v>1122.166643</v>
      </c>
      <c r="BE86" s="48" t="s">
        <v>312</v>
      </c>
      <c r="BF86" s="49" t="s">
        <v>335</v>
      </c>
      <c r="BG86" s="3">
        <v>0.80100000000000005</v>
      </c>
      <c r="BH86" s="3">
        <v>0.436</v>
      </c>
      <c r="BI86" s="3">
        <v>0.19900000000000001</v>
      </c>
      <c r="BJ86" s="3">
        <v>0.80100000000000005</v>
      </c>
      <c r="BK86" s="3">
        <v>0.44900000000000001</v>
      </c>
      <c r="BL86" s="3">
        <v>0.01</v>
      </c>
      <c r="BM86" s="3">
        <v>0.80100000000000005</v>
      </c>
      <c r="BN86" s="3">
        <v>0.47299999999999998</v>
      </c>
      <c r="BO86" s="3">
        <v>5.8999999999999997E-2</v>
      </c>
      <c r="BP86" s="3">
        <v>0.72499999999999998</v>
      </c>
      <c r="BQ86" s="3">
        <v>0.28100000000000003</v>
      </c>
      <c r="BR86" s="3">
        <v>0.43433333299999999</v>
      </c>
      <c r="BS86" s="3">
        <v>0.78600000000000003</v>
      </c>
      <c r="BT86" s="3">
        <v>0.83399999999999996</v>
      </c>
      <c r="BU86" s="3">
        <v>0.22083333399999999</v>
      </c>
      <c r="BV86" s="3">
        <v>0.625</v>
      </c>
      <c r="BW86" s="3">
        <v>0.751</v>
      </c>
      <c r="BX86" s="3">
        <v>0.34799999999999998</v>
      </c>
      <c r="BY86" s="3">
        <v>0.30599999999999999</v>
      </c>
      <c r="BZ86" s="3">
        <v>0.751</v>
      </c>
      <c r="CA86" s="3">
        <v>0.41349999999999998</v>
      </c>
      <c r="CB86" s="3">
        <v>0.77400000000000002</v>
      </c>
      <c r="CC86" s="3">
        <v>0.20399999999999999</v>
      </c>
      <c r="CD86" s="3">
        <v>0.242666667</v>
      </c>
      <c r="CE86" s="3">
        <v>0.76800000000000002</v>
      </c>
      <c r="CF86" s="3">
        <v>0.23899999999999999</v>
      </c>
      <c r="CG86" s="3">
        <v>8.5500000000000007E-2</v>
      </c>
      <c r="CH86" s="3">
        <v>0.76700000000000002</v>
      </c>
      <c r="CI86" s="3">
        <v>0.22</v>
      </c>
      <c r="CJ86" s="3">
        <v>0.26633333300000001</v>
      </c>
      <c r="CK86" s="3">
        <v>0.624</v>
      </c>
      <c r="CL86" s="3">
        <v>0.433</v>
      </c>
      <c r="CM86" s="3">
        <v>0.01</v>
      </c>
      <c r="CN86" s="3">
        <v>0.69899999999999995</v>
      </c>
      <c r="CO86" s="3">
        <v>0.34200000000000003</v>
      </c>
      <c r="CP86" s="3">
        <v>0.18333333299999999</v>
      </c>
      <c r="CQ86" s="3">
        <v>0.623</v>
      </c>
      <c r="CR86" s="3">
        <v>0.51600000000000001</v>
      </c>
      <c r="CS86" s="3">
        <v>0.20200000000000001</v>
      </c>
      <c r="CT86" s="48" t="s">
        <v>312</v>
      </c>
      <c r="CU86" s="49" t="s">
        <v>335</v>
      </c>
      <c r="CV86" s="3">
        <v>7.79</v>
      </c>
      <c r="CW86" s="3">
        <v>9.4600000000000009</v>
      </c>
      <c r="CX86" s="3">
        <v>9.952</v>
      </c>
      <c r="CY86" s="3">
        <v>9.4570000000000007</v>
      </c>
      <c r="CZ86" s="3">
        <v>8.9819999999999993</v>
      </c>
      <c r="DA86" s="3">
        <v>6.8810000000000002</v>
      </c>
      <c r="DB86" s="3">
        <v>10.226000000000001</v>
      </c>
      <c r="DC86" s="3">
        <v>8.468</v>
      </c>
      <c r="DD86" s="3">
        <v>9.5470000000000006</v>
      </c>
      <c r="DE86" s="3">
        <v>9.1050000000000004</v>
      </c>
      <c r="DF86" s="3">
        <v>9.4969999999999999</v>
      </c>
      <c r="DG86" s="3">
        <v>8.8559999999999999</v>
      </c>
      <c r="DH86" s="3">
        <v>7.1059999999999999</v>
      </c>
    </row>
    <row r="87" spans="1:112" x14ac:dyDescent="0.3">
      <c r="A87" s="48" t="s">
        <v>312</v>
      </c>
      <c r="B87" s="49" t="s">
        <v>336</v>
      </c>
      <c r="C87" s="3">
        <v>39.533886000000003</v>
      </c>
      <c r="D87" s="3">
        <v>35.92071</v>
      </c>
      <c r="E87" s="3">
        <v>27.022842000000001</v>
      </c>
      <c r="F87" s="3">
        <v>26.153316</v>
      </c>
      <c r="G87" s="3">
        <v>27.022842000000001</v>
      </c>
      <c r="H87" s="3">
        <v>35.92071</v>
      </c>
      <c r="I87" s="48" t="s">
        <v>312</v>
      </c>
      <c r="J87" s="49" t="s">
        <v>336</v>
      </c>
      <c r="K87" s="3">
        <v>34888</v>
      </c>
      <c r="L87" s="48" t="s">
        <v>312</v>
      </c>
      <c r="M87" s="49" t="s">
        <v>336</v>
      </c>
      <c r="N87" s="3">
        <v>2706.016662</v>
      </c>
      <c r="O87" s="3">
        <v>4277.35754</v>
      </c>
      <c r="P87" s="3">
        <v>2308.268795</v>
      </c>
      <c r="Q87" s="3">
        <v>2407.754101</v>
      </c>
      <c r="R87" s="3">
        <v>3086.0822880000001</v>
      </c>
      <c r="S87" s="3">
        <v>4593.8170129999999</v>
      </c>
      <c r="T87" s="3">
        <v>2538.3899350000002</v>
      </c>
      <c r="U87" s="3">
        <v>2997.4638439999999</v>
      </c>
      <c r="V87" s="3">
        <v>2122.787159</v>
      </c>
      <c r="W87" s="3">
        <v>1370.412744</v>
      </c>
      <c r="X87" s="3">
        <v>3097.706283</v>
      </c>
      <c r="Y87" s="3">
        <v>335.73060759999998</v>
      </c>
      <c r="Z87" s="3">
        <v>1129.8427320000001</v>
      </c>
      <c r="AA87" s="48" t="s">
        <v>312</v>
      </c>
      <c r="AB87" s="49" t="s">
        <v>336</v>
      </c>
      <c r="AC87" s="3">
        <v>1140.6198890000001</v>
      </c>
      <c r="AD87" s="3">
        <v>1092.018274</v>
      </c>
      <c r="AE87" s="3">
        <v>701.08612549999998</v>
      </c>
      <c r="AF87" s="3">
        <v>226.63248379999999</v>
      </c>
      <c r="AG87" s="3">
        <v>2060.0627009999998</v>
      </c>
      <c r="AH87" s="3">
        <v>1632.679136</v>
      </c>
      <c r="AI87" s="3">
        <v>1916.470828</v>
      </c>
      <c r="AJ87" s="3">
        <v>1467.2206900000001</v>
      </c>
      <c r="AK87" s="3">
        <v>623.86609669999996</v>
      </c>
      <c r="AL87" s="3">
        <v>972.99427109999999</v>
      </c>
      <c r="AM87" s="3">
        <v>1650.5589769999999</v>
      </c>
      <c r="AN87" s="3">
        <v>214.78062220000001</v>
      </c>
      <c r="AO87" s="3">
        <v>663.04113749999999</v>
      </c>
      <c r="AP87" s="48" t="s">
        <v>312</v>
      </c>
      <c r="AQ87" s="49" t="s">
        <v>336</v>
      </c>
      <c r="AR87" s="3">
        <v>641.90171599999996</v>
      </c>
      <c r="AS87" s="3">
        <v>1297.5414310000001</v>
      </c>
      <c r="AT87" s="3">
        <v>1213.1672739999999</v>
      </c>
      <c r="AU87" s="3">
        <v>959.84551039999997</v>
      </c>
      <c r="AV87" s="3">
        <v>431.32264459999999</v>
      </c>
      <c r="AW87" s="3">
        <v>1750.114722</v>
      </c>
      <c r="AX87" s="3">
        <v>1044.336978</v>
      </c>
      <c r="AY87" s="3">
        <v>774.40296350000006</v>
      </c>
      <c r="AZ87" s="3">
        <v>715.20021580000002</v>
      </c>
      <c r="BA87" s="3">
        <v>409.21599600000002</v>
      </c>
      <c r="BB87" s="3">
        <v>651.56767200000002</v>
      </c>
      <c r="BC87" s="3">
        <v>191.9789452</v>
      </c>
      <c r="BD87" s="3">
        <v>1061.0464549999999</v>
      </c>
      <c r="BE87" s="48" t="s">
        <v>312</v>
      </c>
      <c r="BF87" s="49" t="s">
        <v>336</v>
      </c>
      <c r="BG87" s="3">
        <v>0.79500000000000004</v>
      </c>
      <c r="BH87" s="3">
        <v>0.43099999999999999</v>
      </c>
      <c r="BI87" s="3">
        <v>0.23050000000000001</v>
      </c>
      <c r="BJ87" s="3">
        <v>0.79</v>
      </c>
      <c r="BK87" s="3">
        <v>0.41899999999999998</v>
      </c>
      <c r="BL87" s="3">
        <v>6.0000000000000001E-3</v>
      </c>
      <c r="BM87" s="3">
        <v>0.78300000000000003</v>
      </c>
      <c r="BN87" s="3">
        <v>0.434</v>
      </c>
      <c r="BO87" s="3">
        <v>0.11</v>
      </c>
      <c r="BP87" s="3">
        <v>0.63800000000000001</v>
      </c>
      <c r="BQ87" s="3">
        <v>0.29299999999999998</v>
      </c>
      <c r="BR87" s="3">
        <v>0.53866666699999999</v>
      </c>
      <c r="BS87" s="3">
        <v>0.77700000000000002</v>
      </c>
      <c r="BT87" s="3">
        <v>0.81399999999999995</v>
      </c>
      <c r="BU87" s="3">
        <v>0.20674999999999999</v>
      </c>
      <c r="BV87" s="3">
        <v>0.59599999999999997</v>
      </c>
      <c r="BW87" s="3">
        <v>0.76400000000000001</v>
      </c>
      <c r="BX87" s="3">
        <v>0.438</v>
      </c>
      <c r="BY87" s="3">
        <v>0.22</v>
      </c>
      <c r="BZ87" s="3">
        <v>0.76400000000000001</v>
      </c>
      <c r="CA87" s="3">
        <v>0.52900000000000003</v>
      </c>
      <c r="CB87" s="3">
        <v>0.75600000000000001</v>
      </c>
      <c r="CC87" s="3">
        <v>0.20100000000000001</v>
      </c>
      <c r="CD87" s="3">
        <v>0.183</v>
      </c>
      <c r="CE87" s="3">
        <v>0.73899999999999999</v>
      </c>
      <c r="CF87" s="3">
        <v>0.25700000000000001</v>
      </c>
      <c r="CG87" s="3">
        <v>3.5000000000000003E-2</v>
      </c>
      <c r="CH87" s="3">
        <v>0.73699999999999999</v>
      </c>
      <c r="CI87" s="3">
        <v>0.25700000000000001</v>
      </c>
      <c r="CJ87" s="3">
        <v>0.35466666699999999</v>
      </c>
      <c r="CK87" s="3">
        <v>0.63200000000000001</v>
      </c>
      <c r="CL87" s="3">
        <v>0.503</v>
      </c>
      <c r="CM87" s="3">
        <v>0.01</v>
      </c>
      <c r="CN87" s="3">
        <v>0.67400000000000004</v>
      </c>
      <c r="CO87" s="3">
        <v>0.43</v>
      </c>
      <c r="CP87" s="3">
        <v>0.23266666699999999</v>
      </c>
      <c r="CQ87" s="3">
        <v>0.625</v>
      </c>
      <c r="CR87" s="3">
        <v>0.56200000000000006</v>
      </c>
      <c r="CS87" s="3">
        <v>0.29699999999999999</v>
      </c>
      <c r="CT87" s="48" t="s">
        <v>312</v>
      </c>
      <c r="CU87" s="49" t="s">
        <v>336</v>
      </c>
      <c r="CV87" s="3">
        <v>8.4060000000000006</v>
      </c>
      <c r="CW87" s="3">
        <v>10.048</v>
      </c>
      <c r="CX87" s="3">
        <v>10.477</v>
      </c>
      <c r="CY87" s="3">
        <v>10.08</v>
      </c>
      <c r="CZ87" s="3">
        <v>9.0640000000000001</v>
      </c>
      <c r="DA87" s="3">
        <v>7.1059999999999999</v>
      </c>
      <c r="DB87" s="3">
        <v>10.625999999999999</v>
      </c>
      <c r="DC87" s="3">
        <v>8.8550000000000004</v>
      </c>
      <c r="DD87" s="3">
        <v>9.8979999999999997</v>
      </c>
      <c r="DE87" s="3">
        <v>9.2639999999999993</v>
      </c>
      <c r="DF87" s="3">
        <v>10.084</v>
      </c>
      <c r="DG87" s="3">
        <v>9.5139999999999993</v>
      </c>
      <c r="DH87" s="3">
        <v>7.5179999999999998</v>
      </c>
    </row>
    <row r="88" spans="1:112" x14ac:dyDescent="0.3">
      <c r="A88" s="48" t="s">
        <v>312</v>
      </c>
      <c r="B88" s="49" t="s">
        <v>337</v>
      </c>
      <c r="C88" s="3">
        <v>30.560040000000001</v>
      </c>
      <c r="D88" s="3">
        <v>35.042741999999997</v>
      </c>
      <c r="E88" s="3">
        <v>26.811792000000001</v>
      </c>
      <c r="F88" s="3">
        <v>25.950707999999999</v>
      </c>
      <c r="G88" s="3">
        <v>27.774180000000001</v>
      </c>
      <c r="H88" s="3">
        <v>35.042741999999997</v>
      </c>
      <c r="I88" s="48" t="s">
        <v>312</v>
      </c>
      <c r="J88" s="49" t="s">
        <v>337</v>
      </c>
      <c r="K88" s="3">
        <v>34951.5</v>
      </c>
      <c r="L88" s="48" t="s">
        <v>312</v>
      </c>
      <c r="M88" s="49" t="s">
        <v>337</v>
      </c>
      <c r="N88" s="3">
        <v>2994.0813979999998</v>
      </c>
      <c r="O88" s="3">
        <v>4331.7806200000005</v>
      </c>
      <c r="P88" s="3">
        <v>2267.9435429999999</v>
      </c>
      <c r="Q88" s="3">
        <v>2396.0175599999998</v>
      </c>
      <c r="R88" s="3">
        <v>3086.4368650000001</v>
      </c>
      <c r="S88" s="3">
        <v>4389.7788069999997</v>
      </c>
      <c r="T88" s="3">
        <v>2462.0340080000001</v>
      </c>
      <c r="U88" s="3">
        <v>3037.1687489999999</v>
      </c>
      <c r="V88" s="3">
        <v>2239.42463</v>
      </c>
      <c r="W88" s="3">
        <v>1398.094276</v>
      </c>
      <c r="X88" s="3">
        <v>3286.4927590000002</v>
      </c>
      <c r="Y88" s="3">
        <v>326.35148140000001</v>
      </c>
      <c r="Z88" s="3">
        <v>1254.1470200000001</v>
      </c>
      <c r="AA88" s="48" t="s">
        <v>312</v>
      </c>
      <c r="AB88" s="49" t="s">
        <v>337</v>
      </c>
      <c r="AC88" s="3">
        <v>1089.264966</v>
      </c>
      <c r="AD88" s="3">
        <v>1055.0424860000001</v>
      </c>
      <c r="AE88" s="3">
        <v>677.3473176</v>
      </c>
      <c r="AF88" s="3">
        <v>218.95869769999999</v>
      </c>
      <c r="AG88" s="3">
        <v>1967.311062</v>
      </c>
      <c r="AH88" s="3">
        <v>1577.3965470000001</v>
      </c>
      <c r="AI88" s="3">
        <v>1851.579039</v>
      </c>
      <c r="AJ88" s="3">
        <v>1401.1609900000001</v>
      </c>
      <c r="AK88" s="3">
        <v>595.77733880000005</v>
      </c>
      <c r="AL88" s="3">
        <v>940.04864120000002</v>
      </c>
      <c r="AM88" s="3">
        <v>1594.670975</v>
      </c>
      <c r="AN88" s="3">
        <v>207.50814059999999</v>
      </c>
      <c r="AO88" s="3">
        <v>640.59053470000003</v>
      </c>
      <c r="AP88" s="48" t="s">
        <v>312</v>
      </c>
      <c r="AQ88" s="49" t="s">
        <v>337</v>
      </c>
      <c r="AR88" s="3">
        <v>607.80532000000005</v>
      </c>
      <c r="AS88" s="3">
        <v>1276.6133440000001</v>
      </c>
      <c r="AT88" s="3">
        <v>1193.60006</v>
      </c>
      <c r="AU88" s="3">
        <v>944.36413119999997</v>
      </c>
      <c r="AV88" s="3">
        <v>408.411742</v>
      </c>
      <c r="AW88" s="3">
        <v>1721.8870649999999</v>
      </c>
      <c r="AX88" s="3">
        <v>1027.492833</v>
      </c>
      <c r="AY88" s="3">
        <v>733.26839500000006</v>
      </c>
      <c r="AZ88" s="3">
        <v>677.21036600000002</v>
      </c>
      <c r="BA88" s="3">
        <v>402.61573800000002</v>
      </c>
      <c r="BB88" s="3">
        <v>641.05851600000005</v>
      </c>
      <c r="BC88" s="3">
        <v>188.88251059999999</v>
      </c>
      <c r="BD88" s="3">
        <v>1043.9328029999999</v>
      </c>
      <c r="BE88" s="48" t="s">
        <v>312</v>
      </c>
      <c r="BF88" s="49" t="s">
        <v>337</v>
      </c>
      <c r="BG88" s="3">
        <v>0.74399999999999999</v>
      </c>
      <c r="BH88" s="3">
        <v>0.41599999999999998</v>
      </c>
      <c r="BI88" s="3">
        <v>0.27600000000000002</v>
      </c>
      <c r="BJ88" s="3">
        <v>0.73</v>
      </c>
      <c r="BK88" s="3">
        <v>0.375</v>
      </c>
      <c r="BL88" s="3">
        <v>1.9E-2</v>
      </c>
      <c r="BM88" s="3">
        <v>0.69799999999999995</v>
      </c>
      <c r="BN88" s="3">
        <v>0.40799999999999997</v>
      </c>
      <c r="BO88" s="3">
        <v>0.219</v>
      </c>
      <c r="BP88" s="3">
        <v>0.50800000000000001</v>
      </c>
      <c r="BQ88" s="3">
        <v>0.29399999999999998</v>
      </c>
      <c r="BR88" s="3">
        <v>0.63400000000000001</v>
      </c>
      <c r="BS88" s="3">
        <v>0.71799999999999997</v>
      </c>
      <c r="BT88" s="3">
        <v>0.78100000000000003</v>
      </c>
      <c r="BU88" s="3">
        <v>0.20200000000000001</v>
      </c>
      <c r="BV88" s="3">
        <v>0.54</v>
      </c>
      <c r="BW88" s="3">
        <v>0.77</v>
      </c>
      <c r="BX88" s="3">
        <v>0.52900000000000003</v>
      </c>
      <c r="BY88" s="3">
        <v>0.16300000000000001</v>
      </c>
      <c r="BZ88" s="3">
        <v>0.77</v>
      </c>
      <c r="CA88" s="3">
        <v>0.65449999999999997</v>
      </c>
      <c r="CB88" s="3">
        <v>0.70099999999999996</v>
      </c>
      <c r="CC88" s="3">
        <v>0.20399999999999999</v>
      </c>
      <c r="CD88" s="3">
        <v>0.128</v>
      </c>
      <c r="CE88" s="3">
        <v>0.66200000000000003</v>
      </c>
      <c r="CF88" s="3">
        <v>0.27</v>
      </c>
      <c r="CG88" s="3">
        <v>1.95E-2</v>
      </c>
      <c r="CH88" s="3">
        <v>0.66</v>
      </c>
      <c r="CI88" s="3">
        <v>0.29399999999999998</v>
      </c>
      <c r="CJ88" s="3">
        <v>0.46433333300000001</v>
      </c>
      <c r="CK88" s="3">
        <v>0.60399999999999998</v>
      </c>
      <c r="CL88" s="3">
        <v>0.55900000000000005</v>
      </c>
      <c r="CM88" s="3">
        <v>0.01</v>
      </c>
      <c r="CN88" s="3">
        <v>0.58499999999999996</v>
      </c>
      <c r="CO88" s="3">
        <v>0.52300000000000002</v>
      </c>
      <c r="CP88" s="3">
        <v>0.29699999999999999</v>
      </c>
      <c r="CQ88" s="3">
        <v>0.58799999999999997</v>
      </c>
      <c r="CR88" s="3">
        <v>0.59699999999999998</v>
      </c>
      <c r="CS88" s="3">
        <v>0.41599999999999998</v>
      </c>
      <c r="CT88" s="48" t="s">
        <v>312</v>
      </c>
      <c r="CU88" s="49" t="s">
        <v>337</v>
      </c>
      <c r="CV88" s="3">
        <v>8.8209999999999997</v>
      </c>
      <c r="CW88" s="3">
        <v>10.420999999999999</v>
      </c>
      <c r="CX88" s="3">
        <v>10.718</v>
      </c>
      <c r="CY88" s="3">
        <v>10.561999999999999</v>
      </c>
      <c r="CZ88" s="3">
        <v>9.1560000000000006</v>
      </c>
      <c r="DA88" s="3">
        <v>7.298</v>
      </c>
      <c r="DB88" s="3">
        <v>10.868</v>
      </c>
      <c r="DC88" s="3">
        <v>9.1820000000000004</v>
      </c>
      <c r="DD88" s="3">
        <v>9.8460000000000001</v>
      </c>
      <c r="DE88" s="3">
        <v>9.6820000000000004</v>
      </c>
      <c r="DF88" s="3">
        <v>10.358000000000001</v>
      </c>
      <c r="DG88" s="3">
        <v>9.8989999999999991</v>
      </c>
      <c r="DH88" s="3">
        <v>7.9390000000000001</v>
      </c>
    </row>
    <row r="89" spans="1:112" x14ac:dyDescent="0.3">
      <c r="A89" s="48" t="s">
        <v>312</v>
      </c>
      <c r="B89" s="49" t="s">
        <v>338</v>
      </c>
      <c r="C89" s="3">
        <v>31.286052000000002</v>
      </c>
      <c r="D89" s="3">
        <v>33.801768000000003</v>
      </c>
      <c r="E89" s="3">
        <v>27.039726000000002</v>
      </c>
      <c r="F89" s="3">
        <v>26.170200000000001</v>
      </c>
      <c r="G89" s="3">
        <v>27.765737999999999</v>
      </c>
      <c r="H89" s="3">
        <v>34.055028</v>
      </c>
      <c r="I89" s="48" t="s">
        <v>312</v>
      </c>
      <c r="J89" s="49" t="s">
        <v>338</v>
      </c>
      <c r="K89" s="3">
        <v>35413.5</v>
      </c>
      <c r="L89" s="48" t="s">
        <v>312</v>
      </c>
      <c r="M89" s="49" t="s">
        <v>338</v>
      </c>
      <c r="N89" s="3">
        <v>2965.8205079999998</v>
      </c>
      <c r="O89" s="3">
        <v>4235.0361199999998</v>
      </c>
      <c r="P89" s="3">
        <v>2331.4782759999998</v>
      </c>
      <c r="Q89" s="3">
        <v>2295.4795089999998</v>
      </c>
      <c r="R89" s="3">
        <v>3200.4861089999999</v>
      </c>
      <c r="S89" s="3">
        <v>4445.1176889999997</v>
      </c>
      <c r="T89" s="3">
        <v>2378.2726459999999</v>
      </c>
      <c r="U89" s="3">
        <v>2975.648322</v>
      </c>
      <c r="V89" s="3">
        <v>2088.4412790000001</v>
      </c>
      <c r="W89" s="3">
        <v>1612.3640789999999</v>
      </c>
      <c r="X89" s="3">
        <v>3329.8419690000001</v>
      </c>
      <c r="Y89" s="3">
        <v>303.47471039999999</v>
      </c>
      <c r="Z89" s="3">
        <v>1239.412004</v>
      </c>
      <c r="AA89" s="48" t="s">
        <v>312</v>
      </c>
      <c r="AB89" s="49" t="s">
        <v>338</v>
      </c>
      <c r="AC89" s="3">
        <v>950.06609279999998</v>
      </c>
      <c r="AD89" s="3">
        <v>988.23956250000003</v>
      </c>
      <c r="AE89" s="3">
        <v>634.45920469999999</v>
      </c>
      <c r="AF89" s="3">
        <v>205.09472410000001</v>
      </c>
      <c r="AG89" s="3">
        <v>1715.9053060000001</v>
      </c>
      <c r="AH89" s="3">
        <v>1477.5193360000001</v>
      </c>
      <c r="AI89" s="3">
        <v>1734.3412069999999</v>
      </c>
      <c r="AJ89" s="3">
        <v>1222.104437</v>
      </c>
      <c r="AK89" s="3">
        <v>519.64202130000001</v>
      </c>
      <c r="AL89" s="3">
        <v>880.52686970000002</v>
      </c>
      <c r="AM89" s="3">
        <v>1493.6999860000001</v>
      </c>
      <c r="AN89" s="3">
        <v>194.3691906</v>
      </c>
      <c r="AO89" s="3">
        <v>600.0297789</v>
      </c>
      <c r="AP89" s="48" t="s">
        <v>312</v>
      </c>
      <c r="AQ89" s="49" t="s">
        <v>338</v>
      </c>
      <c r="AR89" s="3">
        <v>597.42815599999994</v>
      </c>
      <c r="AS89" s="3">
        <v>1255.685256</v>
      </c>
      <c r="AT89" s="3">
        <v>1174.0328460000001</v>
      </c>
      <c r="AU89" s="3">
        <v>928.88275199999998</v>
      </c>
      <c r="AV89" s="3">
        <v>401.4388586</v>
      </c>
      <c r="AW89" s="3">
        <v>1693.659408</v>
      </c>
      <c r="AX89" s="3">
        <v>1010.648688</v>
      </c>
      <c r="AY89" s="3">
        <v>720.74917849999997</v>
      </c>
      <c r="AZ89" s="3">
        <v>665.64823779999995</v>
      </c>
      <c r="BA89" s="3">
        <v>396.01548000000003</v>
      </c>
      <c r="BB89" s="3">
        <v>630.54935999999998</v>
      </c>
      <c r="BC89" s="3">
        <v>185.78607600000001</v>
      </c>
      <c r="BD89" s="3">
        <v>1026.81915</v>
      </c>
      <c r="BE89" s="48" t="s">
        <v>312</v>
      </c>
      <c r="BF89" s="49" t="s">
        <v>338</v>
      </c>
      <c r="BG89" s="3">
        <v>0.64700000000000002</v>
      </c>
      <c r="BH89" s="3">
        <v>0.38100000000000001</v>
      </c>
      <c r="BI89" s="3">
        <v>0.32850000000000001</v>
      </c>
      <c r="BJ89" s="3">
        <v>0.62</v>
      </c>
      <c r="BK89" s="3">
        <v>0.32800000000000001</v>
      </c>
      <c r="BL89" s="3">
        <v>0.06</v>
      </c>
      <c r="BM89" s="3">
        <v>0.56299999999999994</v>
      </c>
      <c r="BN89" s="3">
        <v>0.373</v>
      </c>
      <c r="BO89" s="3">
        <v>0.36499999999999999</v>
      </c>
      <c r="BP89" s="3">
        <v>0.36099999999999999</v>
      </c>
      <c r="BQ89" s="3">
        <v>0.29899999999999999</v>
      </c>
      <c r="BR89" s="3">
        <v>0.71233333300000001</v>
      </c>
      <c r="BS89" s="3">
        <v>0.59699999999999998</v>
      </c>
      <c r="BT89" s="3">
        <v>0.73899999999999999</v>
      </c>
      <c r="BU89" s="3">
        <v>0.195583334</v>
      </c>
      <c r="BV89" s="3">
        <v>0.433</v>
      </c>
      <c r="BW89" s="3">
        <v>0.76</v>
      </c>
      <c r="BX89" s="3">
        <v>0.625</v>
      </c>
      <c r="BY89" s="3">
        <v>0.157</v>
      </c>
      <c r="BZ89" s="3">
        <v>0.76</v>
      </c>
      <c r="CA89" s="3">
        <v>0.70499999999999996</v>
      </c>
      <c r="CB89" s="3">
        <v>0.58099999999999996</v>
      </c>
      <c r="CC89" s="3">
        <v>0.21099999999999999</v>
      </c>
      <c r="CD89" s="3">
        <v>6.2666666999999995E-2</v>
      </c>
      <c r="CE89" s="3">
        <v>0.55400000000000005</v>
      </c>
      <c r="CF89" s="3">
        <v>0.27800000000000002</v>
      </c>
      <c r="CG89" s="3">
        <v>5.3499999999999999E-2</v>
      </c>
      <c r="CH89" s="3">
        <v>0.55400000000000005</v>
      </c>
      <c r="CI89" s="3">
        <v>0.35899999999999999</v>
      </c>
      <c r="CJ89" s="3">
        <v>0.57366666700000002</v>
      </c>
      <c r="CK89" s="3">
        <v>0.51700000000000002</v>
      </c>
      <c r="CL89" s="3">
        <v>0.59099999999999997</v>
      </c>
      <c r="CM89" s="3">
        <v>0.01</v>
      </c>
      <c r="CN89" s="3">
        <v>0.48699999999999999</v>
      </c>
      <c r="CO89" s="3">
        <v>0.57699999999999996</v>
      </c>
      <c r="CP89" s="3">
        <v>0.36699999999999999</v>
      </c>
      <c r="CQ89" s="3">
        <v>0.48599999999999999</v>
      </c>
      <c r="CR89" s="3">
        <v>0.61599999999999999</v>
      </c>
      <c r="CS89" s="3">
        <v>0.53600000000000003</v>
      </c>
      <c r="CT89" s="48" t="s">
        <v>312</v>
      </c>
      <c r="CU89" s="49" t="s">
        <v>338</v>
      </c>
      <c r="CV89" s="3">
        <v>9.0440000000000005</v>
      </c>
      <c r="CW89" s="3">
        <v>10.66</v>
      </c>
      <c r="CX89" s="3">
        <v>10.669</v>
      </c>
      <c r="CY89" s="3">
        <v>10.670999999999999</v>
      </c>
      <c r="CZ89" s="3">
        <v>9.2219999999999995</v>
      </c>
      <c r="DA89" s="3">
        <v>7.41</v>
      </c>
      <c r="DB89" s="3">
        <v>10.904</v>
      </c>
      <c r="DC89" s="3">
        <v>9.3640000000000008</v>
      </c>
      <c r="DD89" s="3">
        <v>9.7100000000000009</v>
      </c>
      <c r="DE89" s="3">
        <v>10.210000000000001</v>
      </c>
      <c r="DF89" s="3">
        <v>10.413</v>
      </c>
      <c r="DG89" s="3">
        <v>9.9979999999999993</v>
      </c>
      <c r="DH89" s="3">
        <v>8.1519999999999992</v>
      </c>
    </row>
    <row r="90" spans="1:112" x14ac:dyDescent="0.3">
      <c r="A90" s="48" t="s">
        <v>312</v>
      </c>
      <c r="B90" s="49" t="s">
        <v>339</v>
      </c>
      <c r="C90" s="3">
        <v>30.652902000000001</v>
      </c>
      <c r="D90" s="3">
        <v>35.042741999999997</v>
      </c>
      <c r="E90" s="3">
        <v>29.547000000000001</v>
      </c>
      <c r="F90" s="3">
        <v>26.997516000000001</v>
      </c>
      <c r="G90" s="3">
        <v>29.589210000000001</v>
      </c>
      <c r="H90" s="3">
        <v>35.051183999999999</v>
      </c>
      <c r="I90" s="48" t="s">
        <v>312</v>
      </c>
      <c r="J90" s="49" t="s">
        <v>339</v>
      </c>
      <c r="K90" s="3">
        <v>37135.5</v>
      </c>
      <c r="L90" s="48" t="s">
        <v>312</v>
      </c>
      <c r="M90" s="49" t="s">
        <v>339</v>
      </c>
      <c r="N90" s="3">
        <v>3043.6213750000002</v>
      </c>
      <c r="O90" s="3">
        <v>4277.805719</v>
      </c>
      <c r="P90" s="3">
        <v>2816.7887329999999</v>
      </c>
      <c r="Q90" s="3">
        <v>2654.8845270000002</v>
      </c>
      <c r="R90" s="3">
        <v>3151.1160730000001</v>
      </c>
      <c r="S90" s="3">
        <v>4388.259892</v>
      </c>
      <c r="T90" s="3">
        <v>2311.5823610000002</v>
      </c>
      <c r="U90" s="3">
        <v>3159.351032</v>
      </c>
      <c r="V90" s="3">
        <v>2096.668232</v>
      </c>
      <c r="W90" s="3">
        <v>1898.67362</v>
      </c>
      <c r="X90" s="3">
        <v>3287.095581</v>
      </c>
      <c r="Y90" s="3">
        <v>352.60096329999999</v>
      </c>
      <c r="Z90" s="3">
        <v>1396.0865249999999</v>
      </c>
      <c r="AA90" s="48" t="s">
        <v>312</v>
      </c>
      <c r="AB90" s="49" t="s">
        <v>339</v>
      </c>
      <c r="AC90" s="3">
        <v>1005.475353</v>
      </c>
      <c r="AD90" s="3">
        <v>993.41617280000003</v>
      </c>
      <c r="AE90" s="3">
        <v>637.78263779999997</v>
      </c>
      <c r="AF90" s="3">
        <v>206.16905410000001</v>
      </c>
      <c r="AG90" s="3">
        <v>1815.9794420000001</v>
      </c>
      <c r="AH90" s="3">
        <v>1485.258898</v>
      </c>
      <c r="AI90" s="3">
        <v>1743.426058</v>
      </c>
      <c r="AJ90" s="3">
        <v>1293.3793760000001</v>
      </c>
      <c r="AK90" s="3">
        <v>549.94831269999997</v>
      </c>
      <c r="AL90" s="3">
        <v>885.13925789999996</v>
      </c>
      <c r="AM90" s="3">
        <v>1501.524306</v>
      </c>
      <c r="AN90" s="3">
        <v>195.387338</v>
      </c>
      <c r="AO90" s="3">
        <v>603.17286330000002</v>
      </c>
      <c r="AP90" s="48" t="s">
        <v>312</v>
      </c>
      <c r="AQ90" s="49" t="s">
        <v>339</v>
      </c>
      <c r="AR90" s="3">
        <v>591.49834799999996</v>
      </c>
      <c r="AS90" s="3">
        <v>1261.66471</v>
      </c>
      <c r="AT90" s="3">
        <v>1179.6234790000001</v>
      </c>
      <c r="AU90" s="3">
        <v>933.30600319999996</v>
      </c>
      <c r="AV90" s="3">
        <v>397.45435379999998</v>
      </c>
      <c r="AW90" s="3">
        <v>1701.724453</v>
      </c>
      <c r="AX90" s="3">
        <v>1015.461301</v>
      </c>
      <c r="AY90" s="3">
        <v>713.59534050000002</v>
      </c>
      <c r="AZ90" s="3">
        <v>659.04130740000005</v>
      </c>
      <c r="BA90" s="3">
        <v>397.90126800000002</v>
      </c>
      <c r="BB90" s="3">
        <v>633.55197599999997</v>
      </c>
      <c r="BC90" s="3">
        <v>186.67077159999999</v>
      </c>
      <c r="BD90" s="3">
        <v>1031.7087650000001</v>
      </c>
      <c r="BE90" s="48" t="s">
        <v>312</v>
      </c>
      <c r="BF90" s="49" t="s">
        <v>339</v>
      </c>
      <c r="BG90" s="3">
        <v>0.49299999999999999</v>
      </c>
      <c r="BH90" s="3">
        <v>0.316</v>
      </c>
      <c r="BI90" s="3">
        <v>0.3755</v>
      </c>
      <c r="BJ90" s="3">
        <v>0.44</v>
      </c>
      <c r="BK90" s="3">
        <v>0.28499999999999998</v>
      </c>
      <c r="BL90" s="3">
        <v>0.12</v>
      </c>
      <c r="BM90" s="3">
        <v>0.35099999999999998</v>
      </c>
      <c r="BN90" s="3">
        <v>0.33</v>
      </c>
      <c r="BO90" s="3">
        <v>0.49149999999999999</v>
      </c>
      <c r="BP90" s="3">
        <v>0.246</v>
      </c>
      <c r="BQ90" s="3">
        <v>0.30399999999999999</v>
      </c>
      <c r="BR90" s="3">
        <v>0.76466666699999997</v>
      </c>
      <c r="BS90" s="3">
        <v>0.434</v>
      </c>
      <c r="BT90" s="3">
        <v>0.71499999999999997</v>
      </c>
      <c r="BU90" s="3">
        <v>0.202583334</v>
      </c>
      <c r="BV90" s="3">
        <v>0.29699999999999999</v>
      </c>
      <c r="BW90" s="3">
        <v>0.72499999999999998</v>
      </c>
      <c r="BX90" s="3">
        <v>0.70099999999999996</v>
      </c>
      <c r="BY90" s="3">
        <v>0.17599999999999999</v>
      </c>
      <c r="BZ90" s="3">
        <v>0.72499999999999998</v>
      </c>
      <c r="CA90" s="3">
        <v>0.71450000000000002</v>
      </c>
      <c r="CB90" s="3">
        <v>0.44500000000000001</v>
      </c>
      <c r="CC90" s="3">
        <v>0.22900000000000001</v>
      </c>
      <c r="CD90" s="3">
        <v>2.9666667000000001E-2</v>
      </c>
      <c r="CE90" s="3">
        <v>0.39800000000000002</v>
      </c>
      <c r="CF90" s="3">
        <v>0.28999999999999998</v>
      </c>
      <c r="CG90" s="3">
        <v>0.13900000000000001</v>
      </c>
      <c r="CH90" s="3">
        <v>0.39900000000000002</v>
      </c>
      <c r="CI90" s="3">
        <v>0.44900000000000001</v>
      </c>
      <c r="CJ90" s="3">
        <v>0.65666666699999998</v>
      </c>
      <c r="CK90" s="3">
        <v>0.41499999999999998</v>
      </c>
      <c r="CL90" s="3">
        <v>0.59099999999999997</v>
      </c>
      <c r="CM90" s="3">
        <v>0.01</v>
      </c>
      <c r="CN90" s="3">
        <v>0.32700000000000001</v>
      </c>
      <c r="CO90" s="3">
        <v>0.60899999999999999</v>
      </c>
      <c r="CP90" s="3">
        <v>0.42833333299999998</v>
      </c>
      <c r="CQ90" s="3">
        <v>0.371</v>
      </c>
      <c r="CR90" s="3">
        <v>0.60599999999999998</v>
      </c>
      <c r="CS90" s="3">
        <v>0.64500000000000002</v>
      </c>
      <c r="CT90" s="48" t="s">
        <v>312</v>
      </c>
      <c r="CU90" s="49" t="s">
        <v>339</v>
      </c>
      <c r="CV90" s="3">
        <v>8.86</v>
      </c>
      <c r="CW90" s="3">
        <v>10.654999999999999</v>
      </c>
      <c r="CX90" s="3">
        <v>10.488</v>
      </c>
      <c r="CY90" s="3">
        <v>10.148999999999999</v>
      </c>
      <c r="CZ90" s="3">
        <v>9.1300000000000008</v>
      </c>
      <c r="DA90" s="3">
        <v>7.4260000000000002</v>
      </c>
      <c r="DB90" s="3">
        <v>10.641999999999999</v>
      </c>
      <c r="DC90" s="3">
        <v>9.4009999999999998</v>
      </c>
      <c r="DD90" s="3">
        <v>9.452</v>
      </c>
      <c r="DE90" s="3">
        <v>10.404999999999999</v>
      </c>
      <c r="DF90" s="3">
        <v>10.246</v>
      </c>
      <c r="DG90" s="3">
        <v>9.827</v>
      </c>
      <c r="DH90" s="3">
        <v>8.1579999999999995</v>
      </c>
    </row>
    <row r="91" spans="1:112" x14ac:dyDescent="0.3">
      <c r="A91" s="48" t="s">
        <v>312</v>
      </c>
      <c r="B91" s="49" t="s">
        <v>340</v>
      </c>
      <c r="C91" s="3">
        <v>29.741166</v>
      </c>
      <c r="D91" s="3">
        <v>38.022767999999999</v>
      </c>
      <c r="E91" s="3">
        <v>32.045831999999997</v>
      </c>
      <c r="F91" s="3">
        <v>31.015908</v>
      </c>
      <c r="G91" s="3">
        <v>31.446449999999999</v>
      </c>
      <c r="H91" s="3">
        <v>38.022767999999999</v>
      </c>
      <c r="I91" s="48" t="s">
        <v>312</v>
      </c>
      <c r="J91" s="49" t="s">
        <v>340</v>
      </c>
      <c r="K91" s="3">
        <v>38012</v>
      </c>
      <c r="L91" s="48" t="s">
        <v>312</v>
      </c>
      <c r="M91" s="49" t="s">
        <v>340</v>
      </c>
      <c r="N91" s="3">
        <v>4085.1094640000001</v>
      </c>
      <c r="O91" s="3">
        <v>4984.2110249999996</v>
      </c>
      <c r="P91" s="3">
        <v>4062.8567410000001</v>
      </c>
      <c r="Q91" s="3">
        <v>3619.5753300000001</v>
      </c>
      <c r="R91" s="3">
        <v>4170.3294550000001</v>
      </c>
      <c r="S91" s="3">
        <v>5185.0392970000003</v>
      </c>
      <c r="T91" s="3">
        <v>2870.594756</v>
      </c>
      <c r="U91" s="3">
        <v>4668.2581700000001</v>
      </c>
      <c r="V91" s="3">
        <v>2881.0732090000001</v>
      </c>
      <c r="W91" s="3">
        <v>3411.9499959999998</v>
      </c>
      <c r="X91" s="3">
        <v>4043.536157</v>
      </c>
      <c r="Y91" s="3">
        <v>610.36875129999999</v>
      </c>
      <c r="Z91" s="3">
        <v>2207.5424910000002</v>
      </c>
      <c r="AA91" s="48" t="s">
        <v>312</v>
      </c>
      <c r="AB91" s="49" t="s">
        <v>340</v>
      </c>
      <c r="AC91" s="3">
        <v>770.65892810000003</v>
      </c>
      <c r="AD91" s="3">
        <v>784.33489850000001</v>
      </c>
      <c r="AE91" s="3">
        <v>503.55046979999997</v>
      </c>
      <c r="AF91" s="3">
        <v>162.77728160000001</v>
      </c>
      <c r="AG91" s="3">
        <v>1391.8797380000001</v>
      </c>
      <c r="AH91" s="3">
        <v>1172.6609840000001</v>
      </c>
      <c r="AI91" s="3">
        <v>1376.492489</v>
      </c>
      <c r="AJ91" s="3">
        <v>991.32650090000004</v>
      </c>
      <c r="AK91" s="3">
        <v>421.51463580000001</v>
      </c>
      <c r="AL91" s="3">
        <v>698.84669580000002</v>
      </c>
      <c r="AM91" s="3">
        <v>1185.503062</v>
      </c>
      <c r="AN91" s="3">
        <v>154.26476049999999</v>
      </c>
      <c r="AO91" s="3">
        <v>476.22490900000003</v>
      </c>
      <c r="AP91" s="48" t="s">
        <v>312</v>
      </c>
      <c r="AQ91" s="49" t="s">
        <v>340</v>
      </c>
      <c r="AR91" s="3">
        <v>609.28777200000002</v>
      </c>
      <c r="AS91" s="3">
        <v>1264.654436</v>
      </c>
      <c r="AT91" s="3">
        <v>1182.418795</v>
      </c>
      <c r="AU91" s="3">
        <v>935.51762880000001</v>
      </c>
      <c r="AV91" s="3">
        <v>409.4078682</v>
      </c>
      <c r="AW91" s="3">
        <v>1705.756975</v>
      </c>
      <c r="AX91" s="3">
        <v>1017.867607</v>
      </c>
      <c r="AY91" s="3">
        <v>735.05685449999999</v>
      </c>
      <c r="AZ91" s="3">
        <v>678.86209859999997</v>
      </c>
      <c r="BA91" s="3">
        <v>398.84416199999998</v>
      </c>
      <c r="BB91" s="3">
        <v>635.05328399999996</v>
      </c>
      <c r="BC91" s="3">
        <v>187.11311939999999</v>
      </c>
      <c r="BD91" s="3">
        <v>1034.1535719999999</v>
      </c>
      <c r="BE91" s="48" t="s">
        <v>312</v>
      </c>
      <c r="BF91" s="49" t="s">
        <v>340</v>
      </c>
      <c r="BG91" s="3">
        <v>0.25600000000000001</v>
      </c>
      <c r="BH91" s="3">
        <v>0.222</v>
      </c>
      <c r="BI91" s="3">
        <v>0.42399999999999999</v>
      </c>
      <c r="BJ91" s="3">
        <v>0.22600000000000001</v>
      </c>
      <c r="BK91" s="3">
        <v>0.224</v>
      </c>
      <c r="BL91" s="3">
        <v>0.1885</v>
      </c>
      <c r="BM91" s="3">
        <v>0.189</v>
      </c>
      <c r="BN91" s="3">
        <v>0.26800000000000002</v>
      </c>
      <c r="BO91" s="3">
        <v>0.5635</v>
      </c>
      <c r="BP91" s="3">
        <v>0.14499999999999999</v>
      </c>
      <c r="BQ91" s="3">
        <v>0.28799999999999998</v>
      </c>
      <c r="BR91" s="3">
        <v>0.79266666699999999</v>
      </c>
      <c r="BS91" s="3">
        <v>0.24199999999999999</v>
      </c>
      <c r="BT91" s="3">
        <v>0.68100000000000005</v>
      </c>
      <c r="BU91" s="3">
        <v>0.224833334</v>
      </c>
      <c r="BV91" s="3">
        <v>0.17899999999999999</v>
      </c>
      <c r="BW91" s="3">
        <v>0.64700000000000002</v>
      </c>
      <c r="BX91" s="3">
        <v>0.75</v>
      </c>
      <c r="BY91" s="3">
        <v>0.157</v>
      </c>
      <c r="BZ91" s="3">
        <v>0.64700000000000002</v>
      </c>
      <c r="CA91" s="3">
        <v>0.67749999999999999</v>
      </c>
      <c r="CB91" s="3">
        <v>0.249</v>
      </c>
      <c r="CC91" s="3">
        <v>0.251</v>
      </c>
      <c r="CD91" s="3">
        <v>2.5666667000000001E-2</v>
      </c>
      <c r="CE91" s="3">
        <v>0.24299999999999999</v>
      </c>
      <c r="CF91" s="3">
        <v>0.30399999999999999</v>
      </c>
      <c r="CG91" s="3">
        <v>0.26700000000000002</v>
      </c>
      <c r="CH91" s="3">
        <v>0.24099999999999999</v>
      </c>
      <c r="CI91" s="3">
        <v>0.50700000000000001</v>
      </c>
      <c r="CJ91" s="3">
        <v>0.72366666700000004</v>
      </c>
      <c r="CK91" s="3">
        <v>0.28399999999999997</v>
      </c>
      <c r="CL91" s="3">
        <v>0.56599999999999995</v>
      </c>
      <c r="CM91" s="3">
        <v>0.01</v>
      </c>
      <c r="CN91" s="3">
        <v>0.19900000000000001</v>
      </c>
      <c r="CO91" s="3">
        <v>0.60199999999999998</v>
      </c>
      <c r="CP91" s="3">
        <v>0.47599999999999998</v>
      </c>
      <c r="CQ91" s="3">
        <v>0.26</v>
      </c>
      <c r="CR91" s="3">
        <v>0.56899999999999995</v>
      </c>
      <c r="CS91" s="3">
        <v>0.74399999999999999</v>
      </c>
      <c r="CT91" s="48" t="s">
        <v>312</v>
      </c>
      <c r="CU91" s="49" t="s">
        <v>340</v>
      </c>
      <c r="CV91" s="3">
        <v>8.7010000000000005</v>
      </c>
      <c r="CW91" s="3">
        <v>10.352</v>
      </c>
      <c r="CX91" s="3">
        <v>9.9489999999999998</v>
      </c>
      <c r="CY91" s="3">
        <v>9.3610000000000007</v>
      </c>
      <c r="CZ91" s="3">
        <v>8.8420000000000005</v>
      </c>
      <c r="DA91" s="3">
        <v>7.5629999999999997</v>
      </c>
      <c r="DB91" s="3">
        <v>10.122</v>
      </c>
      <c r="DC91" s="3">
        <v>9.2110000000000003</v>
      </c>
      <c r="DD91" s="3">
        <v>8.9949999999999992</v>
      </c>
      <c r="DE91" s="3">
        <v>10.212999999999999</v>
      </c>
      <c r="DF91" s="3">
        <v>9.859</v>
      </c>
      <c r="DG91" s="3">
        <v>9.4009999999999998</v>
      </c>
      <c r="DH91" s="3">
        <v>7.9980000000000002</v>
      </c>
    </row>
    <row r="92" spans="1:112" x14ac:dyDescent="0.3">
      <c r="A92" s="48" t="s">
        <v>312</v>
      </c>
      <c r="B92" s="49" t="s">
        <v>341</v>
      </c>
      <c r="C92" s="3">
        <v>32.856264000000003</v>
      </c>
      <c r="D92" s="3">
        <v>41.222285999999997</v>
      </c>
      <c r="E92" s="3">
        <v>32.172462000000003</v>
      </c>
      <c r="F92" s="3">
        <v>31.142537999999998</v>
      </c>
      <c r="G92" s="3">
        <v>31.893875999999999</v>
      </c>
      <c r="H92" s="3">
        <v>47.688858000000003</v>
      </c>
      <c r="I92" s="48" t="s">
        <v>312</v>
      </c>
      <c r="J92" s="49" t="s">
        <v>341</v>
      </c>
      <c r="K92" s="3">
        <v>38179.5</v>
      </c>
      <c r="L92" s="48" t="s">
        <v>312</v>
      </c>
      <c r="M92" s="49" t="s">
        <v>341</v>
      </c>
      <c r="N92" s="3">
        <v>5946.8348649999998</v>
      </c>
      <c r="O92" s="3">
        <v>6892.0301760000002</v>
      </c>
      <c r="P92" s="3">
        <v>4333.4552039999999</v>
      </c>
      <c r="Q92" s="3">
        <v>4058.57312</v>
      </c>
      <c r="R92" s="3">
        <v>5715.7368200000001</v>
      </c>
      <c r="S92" s="3">
        <v>6713.748861</v>
      </c>
      <c r="T92" s="3">
        <v>3952.5116680000001</v>
      </c>
      <c r="U92" s="3">
        <v>6066.1872210000001</v>
      </c>
      <c r="V92" s="3">
        <v>4652.6200140000001</v>
      </c>
      <c r="W92" s="3">
        <v>4534.1416159999999</v>
      </c>
      <c r="X92" s="3">
        <v>5567.9923509999999</v>
      </c>
      <c r="Y92" s="3">
        <v>804.44712879999997</v>
      </c>
      <c r="Z92" s="3">
        <v>2773.6387930000001</v>
      </c>
      <c r="AA92" s="48" t="s">
        <v>312</v>
      </c>
      <c r="AB92" s="49" t="s">
        <v>341</v>
      </c>
      <c r="AC92" s="3">
        <v>815.33480799999995</v>
      </c>
      <c r="AD92" s="3">
        <v>788.40936550000004</v>
      </c>
      <c r="AE92" s="3">
        <v>506.16631640000003</v>
      </c>
      <c r="AF92" s="3">
        <v>163.62287789999999</v>
      </c>
      <c r="AG92" s="3">
        <v>1472.5684180000001</v>
      </c>
      <c r="AH92" s="3">
        <v>1178.7527299999999</v>
      </c>
      <c r="AI92" s="3">
        <v>1383.6430989999999</v>
      </c>
      <c r="AJ92" s="3">
        <v>1048.7947039999999</v>
      </c>
      <c r="AK92" s="3">
        <v>445.95026689999997</v>
      </c>
      <c r="AL92" s="3">
        <v>702.47706830000004</v>
      </c>
      <c r="AM92" s="3">
        <v>1191.661519</v>
      </c>
      <c r="AN92" s="3">
        <v>155.06613580000001</v>
      </c>
      <c r="AO92" s="3">
        <v>478.69880460000002</v>
      </c>
      <c r="AP92" s="48" t="s">
        <v>312</v>
      </c>
      <c r="AQ92" s="49" t="s">
        <v>341</v>
      </c>
      <c r="AR92" s="3">
        <v>612.25267599999995</v>
      </c>
      <c r="AS92" s="3">
        <v>1288.5722510000001</v>
      </c>
      <c r="AT92" s="3">
        <v>1204.7813249999999</v>
      </c>
      <c r="AU92" s="3">
        <v>953.21063360000005</v>
      </c>
      <c r="AV92" s="3">
        <v>411.40012059999998</v>
      </c>
      <c r="AW92" s="3">
        <v>1738.0171539999999</v>
      </c>
      <c r="AX92" s="3">
        <v>1037.118058</v>
      </c>
      <c r="AY92" s="3">
        <v>738.63377349999996</v>
      </c>
      <c r="AZ92" s="3">
        <v>682.16556379999997</v>
      </c>
      <c r="BA92" s="3">
        <v>406.387314</v>
      </c>
      <c r="BB92" s="3">
        <v>647.06374800000003</v>
      </c>
      <c r="BC92" s="3">
        <v>190.65190179999999</v>
      </c>
      <c r="BD92" s="3">
        <v>1053.712033</v>
      </c>
      <c r="BE92" s="48" t="s">
        <v>312</v>
      </c>
      <c r="BF92" s="49" t="s">
        <v>341</v>
      </c>
      <c r="BG92" s="3">
        <v>0.109</v>
      </c>
      <c r="BH92" s="3">
        <v>0.14299999999999999</v>
      </c>
      <c r="BI92" s="3">
        <v>0.46850000000000003</v>
      </c>
      <c r="BJ92" s="3">
        <v>9.4E-2</v>
      </c>
      <c r="BK92" s="3">
        <v>0.16800000000000001</v>
      </c>
      <c r="BL92" s="3">
        <v>0.28749999999999998</v>
      </c>
      <c r="BM92" s="3">
        <v>8.8999999999999996E-2</v>
      </c>
      <c r="BN92" s="3">
        <v>0.22900000000000001</v>
      </c>
      <c r="BO92" s="3">
        <v>0.59650000000000003</v>
      </c>
      <c r="BP92" s="3">
        <v>6.2E-2</v>
      </c>
      <c r="BQ92" s="3">
        <v>0.23</v>
      </c>
      <c r="BR92" s="3">
        <v>0.79133333299999997</v>
      </c>
      <c r="BS92" s="3">
        <v>0.106</v>
      </c>
      <c r="BT92" s="3">
        <v>0.65100000000000002</v>
      </c>
      <c r="BU92" s="3">
        <v>0.258583334</v>
      </c>
      <c r="BV92" s="3">
        <v>0.08</v>
      </c>
      <c r="BW92" s="3">
        <v>0.51500000000000001</v>
      </c>
      <c r="BX92" s="3">
        <v>0.74099999999999999</v>
      </c>
      <c r="BY92" s="3">
        <v>0.12</v>
      </c>
      <c r="BZ92" s="3">
        <v>0.51500000000000001</v>
      </c>
      <c r="CA92" s="3">
        <v>0.60299999999999998</v>
      </c>
      <c r="CB92" s="3">
        <v>0.107</v>
      </c>
      <c r="CC92" s="3">
        <v>0.26</v>
      </c>
      <c r="CD92" s="3">
        <v>4.8666666999999997E-2</v>
      </c>
      <c r="CE92" s="3">
        <v>0.106</v>
      </c>
      <c r="CF92" s="3">
        <v>0.29699999999999999</v>
      </c>
      <c r="CG92" s="3">
        <v>0.40250000000000002</v>
      </c>
      <c r="CH92" s="3">
        <v>0.106</v>
      </c>
      <c r="CI92" s="3">
        <v>0.497</v>
      </c>
      <c r="CJ92" s="3">
        <v>0.79133333299999997</v>
      </c>
      <c r="CK92" s="3">
        <v>0.14099999999999999</v>
      </c>
      <c r="CL92" s="3">
        <v>0.46600000000000003</v>
      </c>
      <c r="CM92" s="3">
        <v>0.01</v>
      </c>
      <c r="CN92" s="3">
        <v>0.11</v>
      </c>
      <c r="CO92" s="3">
        <v>0.501</v>
      </c>
      <c r="CP92" s="3">
        <v>0.52266666699999997</v>
      </c>
      <c r="CQ92" s="3">
        <v>0.13200000000000001</v>
      </c>
      <c r="CR92" s="3">
        <v>0.46600000000000003</v>
      </c>
      <c r="CS92" s="3">
        <v>0.79700000000000004</v>
      </c>
      <c r="CT92" s="48" t="s">
        <v>312</v>
      </c>
      <c r="CU92" s="49" t="s">
        <v>341</v>
      </c>
      <c r="CV92" s="3">
        <v>8.4510000000000005</v>
      </c>
      <c r="CW92" s="3">
        <v>9.67</v>
      </c>
      <c r="CX92" s="3">
        <v>9.2550000000000008</v>
      </c>
      <c r="CY92" s="3">
        <v>8.6639999999999997</v>
      </c>
      <c r="CZ92" s="3">
        <v>8.3409999999999993</v>
      </c>
      <c r="DA92" s="3">
        <v>7.782</v>
      </c>
      <c r="DB92" s="3">
        <v>9.5299999999999994</v>
      </c>
      <c r="DC92" s="3">
        <v>8.7940000000000005</v>
      </c>
      <c r="DD92" s="3">
        <v>8.4949999999999992</v>
      </c>
      <c r="DE92" s="3">
        <v>9.6839999999999993</v>
      </c>
      <c r="DF92" s="3">
        <v>9.1140000000000008</v>
      </c>
      <c r="DG92" s="3">
        <v>8.7469999999999999</v>
      </c>
      <c r="DH92" s="3">
        <v>7.5490000000000004</v>
      </c>
    </row>
    <row r="93" spans="1:112" x14ac:dyDescent="0.3">
      <c r="A93" s="48" t="s">
        <v>312</v>
      </c>
      <c r="B93" s="49" t="s">
        <v>342</v>
      </c>
      <c r="C93" s="3">
        <v>30.610692</v>
      </c>
      <c r="D93" s="3">
        <v>39.998196</v>
      </c>
      <c r="E93" s="3">
        <v>35.380422000000003</v>
      </c>
      <c r="F93" s="3">
        <v>32.628329999999998</v>
      </c>
      <c r="G93" s="3">
        <v>32.628329999999998</v>
      </c>
      <c r="H93" s="3">
        <v>39.998196</v>
      </c>
      <c r="I93" s="48" t="s">
        <v>312</v>
      </c>
      <c r="J93" s="49" t="s">
        <v>342</v>
      </c>
      <c r="K93" s="3">
        <v>38181.5</v>
      </c>
      <c r="L93" s="48" t="s">
        <v>312</v>
      </c>
      <c r="M93" s="49" t="s">
        <v>342</v>
      </c>
      <c r="N93" s="3">
        <v>7162.9402140000002</v>
      </c>
      <c r="O93" s="3">
        <v>7933.3948129999999</v>
      </c>
      <c r="P93" s="3">
        <v>4547.1812419999997</v>
      </c>
      <c r="Q93" s="3">
        <v>4087.0876779999999</v>
      </c>
      <c r="R93" s="3">
        <v>7026.651965</v>
      </c>
      <c r="S93" s="3">
        <v>7835.2208579999997</v>
      </c>
      <c r="T93" s="3">
        <v>4704.6562119999999</v>
      </c>
      <c r="U93" s="3">
        <v>7819.7219050000003</v>
      </c>
      <c r="V93" s="3">
        <v>5860.1761759999999</v>
      </c>
      <c r="W93" s="3">
        <v>4619.4037179999996</v>
      </c>
      <c r="X93" s="3">
        <v>6556.4196849999998</v>
      </c>
      <c r="Y93" s="3">
        <v>813.75766520000002</v>
      </c>
      <c r="Z93" s="3">
        <v>2975.6874210000001</v>
      </c>
      <c r="AA93" s="48" t="s">
        <v>312</v>
      </c>
      <c r="AB93" s="49" t="s">
        <v>342</v>
      </c>
      <c r="AC93" s="3">
        <v>792.99686810000003</v>
      </c>
      <c r="AD93" s="3">
        <v>753.77639590000001</v>
      </c>
      <c r="AE93" s="3">
        <v>483.93162030000002</v>
      </c>
      <c r="AF93" s="3">
        <v>156.43530960000001</v>
      </c>
      <c r="AG93" s="3">
        <v>1432.224078</v>
      </c>
      <c r="AH93" s="3">
        <v>1126.972894</v>
      </c>
      <c r="AI93" s="3">
        <v>1322.8629109999999</v>
      </c>
      <c r="AJ93" s="3">
        <v>1020.060602</v>
      </c>
      <c r="AK93" s="3">
        <v>433.7324514</v>
      </c>
      <c r="AL93" s="3">
        <v>671.61890249999999</v>
      </c>
      <c r="AM93" s="3">
        <v>1139.314631</v>
      </c>
      <c r="AN93" s="3">
        <v>148.2544451</v>
      </c>
      <c r="AO93" s="3">
        <v>457.67069170000002</v>
      </c>
      <c r="AP93" s="48" t="s">
        <v>312</v>
      </c>
      <c r="AQ93" s="49" t="s">
        <v>342</v>
      </c>
      <c r="AR93" s="3">
        <v>627.07719599999996</v>
      </c>
      <c r="AS93" s="3">
        <v>1276.6133440000001</v>
      </c>
      <c r="AT93" s="3">
        <v>1193.60006</v>
      </c>
      <c r="AU93" s="3">
        <v>944.36413119999997</v>
      </c>
      <c r="AV93" s="3">
        <v>421.36138260000001</v>
      </c>
      <c r="AW93" s="3">
        <v>1721.8870649999999</v>
      </c>
      <c r="AX93" s="3">
        <v>1027.492833</v>
      </c>
      <c r="AY93" s="3">
        <v>756.51836849999995</v>
      </c>
      <c r="AZ93" s="3">
        <v>698.6828898</v>
      </c>
      <c r="BA93" s="3">
        <v>402.61573800000002</v>
      </c>
      <c r="BB93" s="3">
        <v>641.05851600000005</v>
      </c>
      <c r="BC93" s="3">
        <v>188.88251059999999</v>
      </c>
      <c r="BD93" s="3">
        <v>1043.9328029999999</v>
      </c>
      <c r="BE93" s="48" t="s">
        <v>312</v>
      </c>
      <c r="BF93" s="49" t="s">
        <v>342</v>
      </c>
      <c r="BG93" s="3">
        <v>0.02</v>
      </c>
      <c r="BH93" s="3">
        <v>0.13600000000000001</v>
      </c>
      <c r="BI93" s="3">
        <v>0.58050000000000002</v>
      </c>
      <c r="BJ93" s="3">
        <v>1.9E-2</v>
      </c>
      <c r="BK93" s="3">
        <v>0.152</v>
      </c>
      <c r="BL93" s="3">
        <v>0.45050000000000001</v>
      </c>
      <c r="BM93" s="3">
        <v>1.7999999999999999E-2</v>
      </c>
      <c r="BN93" s="3">
        <v>0.22500000000000001</v>
      </c>
      <c r="BO93" s="3">
        <v>0.61150000000000004</v>
      </c>
      <c r="BP93" s="3">
        <v>1.6E-2</v>
      </c>
      <c r="BQ93" s="3">
        <v>0.20300000000000001</v>
      </c>
      <c r="BR93" s="3">
        <v>0.79200000000000004</v>
      </c>
      <c r="BS93" s="3">
        <v>2.1999999999999999E-2</v>
      </c>
      <c r="BT93" s="3">
        <v>0.64500000000000002</v>
      </c>
      <c r="BU93" s="3">
        <v>0.33258333400000001</v>
      </c>
      <c r="BV93" s="3">
        <v>1.6E-2</v>
      </c>
      <c r="BW93" s="3">
        <v>0.43099999999999999</v>
      </c>
      <c r="BX93" s="3">
        <v>0.73</v>
      </c>
      <c r="BY93" s="3">
        <v>4.2999999999999997E-2</v>
      </c>
      <c r="BZ93" s="3">
        <v>0.43099999999999999</v>
      </c>
      <c r="CA93" s="3">
        <v>0.51349999999999996</v>
      </c>
      <c r="CB93" s="3">
        <v>1.9E-2</v>
      </c>
      <c r="CC93" s="3">
        <v>0.26900000000000002</v>
      </c>
      <c r="CD93" s="3">
        <v>8.4666667000000001E-2</v>
      </c>
      <c r="CE93" s="3">
        <v>2.8000000000000001E-2</v>
      </c>
      <c r="CF93" s="3">
        <v>0.29099999999999998</v>
      </c>
      <c r="CG93" s="3">
        <v>0.52949999999999997</v>
      </c>
      <c r="CH93" s="3">
        <v>2.9000000000000001E-2</v>
      </c>
      <c r="CI93" s="3">
        <v>0.497</v>
      </c>
      <c r="CJ93" s="3">
        <v>0.84099999999999997</v>
      </c>
      <c r="CK93" s="3">
        <v>3.5999999999999997E-2</v>
      </c>
      <c r="CL93" s="3">
        <v>0.39400000000000002</v>
      </c>
      <c r="CM93" s="3">
        <v>0.01</v>
      </c>
      <c r="CN93" s="3">
        <v>0.03</v>
      </c>
      <c r="CO93" s="3">
        <v>0.39400000000000002</v>
      </c>
      <c r="CP93" s="3">
        <v>0.60899999999999999</v>
      </c>
      <c r="CQ93" s="3">
        <v>3.1E-2</v>
      </c>
      <c r="CR93" s="3">
        <v>0.38400000000000001</v>
      </c>
      <c r="CS93" s="3">
        <v>0.80200000000000005</v>
      </c>
      <c r="CT93" s="48" t="s">
        <v>312</v>
      </c>
      <c r="CU93" s="49" t="s">
        <v>342</v>
      </c>
      <c r="CV93" s="3">
        <v>7.4740000000000002</v>
      </c>
      <c r="CW93" s="3">
        <v>8.625</v>
      </c>
      <c r="CX93" s="3">
        <v>8.2840000000000007</v>
      </c>
      <c r="CY93" s="3">
        <v>7.7919999999999998</v>
      </c>
      <c r="CZ93" s="3">
        <v>7.5830000000000002</v>
      </c>
      <c r="DA93" s="3">
        <v>8.0660000000000007</v>
      </c>
      <c r="DB93" s="3">
        <v>8.6129999999999995</v>
      </c>
      <c r="DC93" s="3">
        <v>8.2119999999999997</v>
      </c>
      <c r="DD93" s="3">
        <v>7.9359999999999999</v>
      </c>
      <c r="DE93" s="3">
        <v>8.7560000000000002</v>
      </c>
      <c r="DF93" s="3">
        <v>8.1509999999999998</v>
      </c>
      <c r="DG93" s="3">
        <v>8.0489999999999995</v>
      </c>
      <c r="DH93" s="3">
        <v>7.09</v>
      </c>
    </row>
    <row r="94" spans="1:112" x14ac:dyDescent="0.3">
      <c r="A94" s="48" t="s">
        <v>312</v>
      </c>
      <c r="B94" s="49" t="s">
        <v>343</v>
      </c>
      <c r="C94" s="3">
        <v>31.986737999999999</v>
      </c>
      <c r="D94" s="3">
        <v>44.320500000000003</v>
      </c>
      <c r="E94" s="3">
        <v>34.865459999999999</v>
      </c>
      <c r="F94" s="3">
        <v>33.455646000000002</v>
      </c>
      <c r="G94" s="3">
        <v>33.455646000000002</v>
      </c>
      <c r="H94" s="3">
        <v>44.320500000000003</v>
      </c>
      <c r="I94" s="48" t="s">
        <v>312</v>
      </c>
      <c r="J94" s="49" t="s">
        <v>343</v>
      </c>
      <c r="K94" s="3">
        <v>38043.5</v>
      </c>
      <c r="L94" s="48" t="s">
        <v>312</v>
      </c>
      <c r="M94" s="49" t="s">
        <v>343</v>
      </c>
      <c r="N94" s="3">
        <v>7663.1659069999996</v>
      </c>
      <c r="O94" s="3">
        <v>8291.3801449999992</v>
      </c>
      <c r="P94" s="3">
        <v>4752.9394439999996</v>
      </c>
      <c r="Q94" s="3">
        <v>3959.9954750000002</v>
      </c>
      <c r="R94" s="3">
        <v>8201.4494219999997</v>
      </c>
      <c r="S94" s="3">
        <v>8072.4522649999999</v>
      </c>
      <c r="T94" s="3">
        <v>5042.4918250000001</v>
      </c>
      <c r="U94" s="3">
        <v>8898.0836940000008</v>
      </c>
      <c r="V94" s="3">
        <v>6104.5336530000004</v>
      </c>
      <c r="W94" s="3">
        <v>4643.6509130000004</v>
      </c>
      <c r="X94" s="3">
        <v>7011.444716</v>
      </c>
      <c r="Y94" s="3">
        <v>823.89879599999995</v>
      </c>
      <c r="Z94" s="3">
        <v>2982.3995490000002</v>
      </c>
      <c r="AA94" s="48" t="s">
        <v>312</v>
      </c>
      <c r="AB94" s="49" t="s">
        <v>343</v>
      </c>
      <c r="AC94" s="3">
        <v>539.46124970000005</v>
      </c>
      <c r="AD94" s="3">
        <v>513.3828426</v>
      </c>
      <c r="AE94" s="3">
        <v>329.59667109999998</v>
      </c>
      <c r="AF94" s="3">
        <v>106.5451298</v>
      </c>
      <c r="AG94" s="3">
        <v>974.31581649999998</v>
      </c>
      <c r="AH94" s="3">
        <v>767.55991710000001</v>
      </c>
      <c r="AI94" s="3">
        <v>900.97690160000002</v>
      </c>
      <c r="AJ94" s="3">
        <v>693.92855069999996</v>
      </c>
      <c r="AK94" s="3">
        <v>295.06024509999997</v>
      </c>
      <c r="AL94" s="3">
        <v>457.42692820000002</v>
      </c>
      <c r="AM94" s="3">
        <v>775.96564030000002</v>
      </c>
      <c r="AN94" s="3">
        <v>100.9732978</v>
      </c>
      <c r="AO94" s="3">
        <v>311.71084949999999</v>
      </c>
      <c r="AP94" s="48" t="s">
        <v>312</v>
      </c>
      <c r="AQ94" s="49" t="s">
        <v>343</v>
      </c>
      <c r="AR94" s="3">
        <v>624.11229200000002</v>
      </c>
      <c r="AS94" s="3">
        <v>1249.7058019999999</v>
      </c>
      <c r="AT94" s="3">
        <v>1168.442213</v>
      </c>
      <c r="AU94" s="3">
        <v>924.4595008</v>
      </c>
      <c r="AV94" s="3">
        <v>419.36913019999997</v>
      </c>
      <c r="AW94" s="3">
        <v>1685.5943629999999</v>
      </c>
      <c r="AX94" s="3">
        <v>1005.8360750000001</v>
      </c>
      <c r="AY94" s="3">
        <v>752.94144949999998</v>
      </c>
      <c r="AZ94" s="3">
        <v>695.37942459999999</v>
      </c>
      <c r="BA94" s="3">
        <v>394.12969199999998</v>
      </c>
      <c r="BB94" s="3">
        <v>627.54674399999999</v>
      </c>
      <c r="BC94" s="3">
        <v>184.90138039999999</v>
      </c>
      <c r="BD94" s="3">
        <v>1021.929535</v>
      </c>
      <c r="BE94" s="48" t="s">
        <v>312</v>
      </c>
      <c r="BF94" s="49" t="s">
        <v>343</v>
      </c>
      <c r="BG94" s="3">
        <v>0</v>
      </c>
      <c r="BH94" s="3">
        <v>0.16300000000000001</v>
      </c>
      <c r="BI94" s="3">
        <v>0.71350000000000002</v>
      </c>
      <c r="BJ94" s="3">
        <v>0</v>
      </c>
      <c r="BK94" s="3">
        <v>0.161</v>
      </c>
      <c r="BL94" s="3">
        <v>0.59050000000000002</v>
      </c>
      <c r="BM94" s="3">
        <v>0</v>
      </c>
      <c r="BN94" s="3">
        <v>0.253</v>
      </c>
      <c r="BO94" s="3">
        <v>0.59150000000000003</v>
      </c>
      <c r="BP94" s="3">
        <v>0</v>
      </c>
      <c r="BQ94" s="3">
        <v>0.246</v>
      </c>
      <c r="BR94" s="3">
        <v>0.80033333299999998</v>
      </c>
      <c r="BS94" s="3">
        <v>0</v>
      </c>
      <c r="BT94" s="3">
        <v>0.64100000000000001</v>
      </c>
      <c r="BU94" s="3">
        <v>0.42291666700000002</v>
      </c>
      <c r="BV94" s="3">
        <v>0</v>
      </c>
      <c r="BW94" s="3">
        <v>0.438</v>
      </c>
      <c r="BX94" s="3">
        <v>0.76500000000000001</v>
      </c>
      <c r="BY94" s="3">
        <v>1E-3</v>
      </c>
      <c r="BZ94" s="3">
        <v>0.438</v>
      </c>
      <c r="CA94" s="3">
        <v>0.437</v>
      </c>
      <c r="CB94" s="3">
        <v>0</v>
      </c>
      <c r="CC94" s="3">
        <v>0.30099999999999999</v>
      </c>
      <c r="CD94" s="3">
        <v>0.132333333</v>
      </c>
      <c r="CE94" s="3">
        <v>0</v>
      </c>
      <c r="CF94" s="3">
        <v>0.311</v>
      </c>
      <c r="CG94" s="3">
        <v>0.63900000000000001</v>
      </c>
      <c r="CH94" s="3">
        <v>0</v>
      </c>
      <c r="CI94" s="3">
        <v>0.55100000000000005</v>
      </c>
      <c r="CJ94" s="3">
        <v>0.87133333300000004</v>
      </c>
      <c r="CK94" s="3">
        <v>0</v>
      </c>
      <c r="CL94" s="3">
        <v>0.44600000000000001</v>
      </c>
      <c r="CM94" s="3">
        <v>0.01</v>
      </c>
      <c r="CN94" s="3">
        <v>0</v>
      </c>
      <c r="CO94" s="3">
        <v>0.40600000000000003</v>
      </c>
      <c r="CP94" s="3">
        <v>0.71166666700000003</v>
      </c>
      <c r="CQ94" s="3">
        <v>0</v>
      </c>
      <c r="CR94" s="3">
        <v>0.39600000000000002</v>
      </c>
      <c r="CS94" s="3">
        <v>0.82499999999999996</v>
      </c>
      <c r="CT94" s="48" t="s">
        <v>312</v>
      </c>
      <c r="CU94" s="49" t="s">
        <v>343</v>
      </c>
      <c r="CV94" s="3">
        <v>6.3289999999999997</v>
      </c>
      <c r="CW94" s="3">
        <v>7.758</v>
      </c>
      <c r="CX94" s="3">
        <v>6.883</v>
      </c>
      <c r="CY94" s="3">
        <v>6.0880000000000001</v>
      </c>
      <c r="CZ94" s="3">
        <v>6.6639999999999997</v>
      </c>
      <c r="DA94" s="3">
        <v>8.2539999999999996</v>
      </c>
      <c r="DB94" s="3">
        <v>6.8730000000000002</v>
      </c>
      <c r="DC94" s="3">
        <v>7.8129999999999997</v>
      </c>
      <c r="DD94" s="3">
        <v>7.6280000000000001</v>
      </c>
      <c r="DE94" s="3">
        <v>7.5869999999999997</v>
      </c>
      <c r="DF94" s="3">
        <v>7.0579999999999998</v>
      </c>
      <c r="DG94" s="3">
        <v>6.9809999999999999</v>
      </c>
      <c r="DH94" s="3">
        <v>6.5839999999999996</v>
      </c>
    </row>
    <row r="95" spans="1:112" x14ac:dyDescent="0.3">
      <c r="A95" s="48" t="s">
        <v>312</v>
      </c>
      <c r="B95" s="49" t="s">
        <v>344</v>
      </c>
      <c r="C95" s="3">
        <v>79.506755999999996</v>
      </c>
      <c r="D95" s="3">
        <v>42.285978</v>
      </c>
      <c r="E95" s="3">
        <v>30.408083999999999</v>
      </c>
      <c r="F95" s="3">
        <v>29.437253999999999</v>
      </c>
      <c r="G95" s="3">
        <v>29.437253999999999</v>
      </c>
      <c r="H95" s="3">
        <v>43.746443999999997</v>
      </c>
      <c r="I95" s="48" t="s">
        <v>312</v>
      </c>
      <c r="J95" s="49" t="s">
        <v>344</v>
      </c>
      <c r="K95" s="3">
        <v>36768.5</v>
      </c>
      <c r="L95" s="48" t="s">
        <v>312</v>
      </c>
      <c r="M95" s="49" t="s">
        <v>344</v>
      </c>
      <c r="N95" s="3">
        <v>7049.3786650000002</v>
      </c>
      <c r="O95" s="3">
        <v>7862.6051209999996</v>
      </c>
      <c r="P95" s="3">
        <v>4431.1574309999996</v>
      </c>
      <c r="Q95" s="3">
        <v>3678.007967</v>
      </c>
      <c r="R95" s="3">
        <v>7916.7481660000003</v>
      </c>
      <c r="S95" s="3">
        <v>7943.6902710000004</v>
      </c>
      <c r="T95" s="3">
        <v>4970.7084569999997</v>
      </c>
      <c r="U95" s="3">
        <v>8517.3262770000001</v>
      </c>
      <c r="V95" s="3">
        <v>5689.1495649999997</v>
      </c>
      <c r="W95" s="3">
        <v>4131.5325039999998</v>
      </c>
      <c r="X95" s="3">
        <v>6609.163708</v>
      </c>
      <c r="Y95" s="3">
        <v>768.86390019999999</v>
      </c>
      <c r="Z95" s="3">
        <v>2729.8812469999998</v>
      </c>
      <c r="AA95" s="48" t="s">
        <v>312</v>
      </c>
      <c r="AB95" s="49" t="s">
        <v>344</v>
      </c>
      <c r="AC95" s="3">
        <v>514.44275689999995</v>
      </c>
      <c r="AD95" s="3">
        <v>500.54827160000002</v>
      </c>
      <c r="AE95" s="3">
        <v>321.35675429999998</v>
      </c>
      <c r="AF95" s="3">
        <v>103.8815015</v>
      </c>
      <c r="AG95" s="3">
        <v>929.13015540000004</v>
      </c>
      <c r="AH95" s="3">
        <v>748.37091910000004</v>
      </c>
      <c r="AI95" s="3">
        <v>878.45247910000001</v>
      </c>
      <c r="AJ95" s="3">
        <v>661.74635699999999</v>
      </c>
      <c r="AK95" s="3">
        <v>281.37629170000002</v>
      </c>
      <c r="AL95" s="3">
        <v>445.99125500000002</v>
      </c>
      <c r="AM95" s="3">
        <v>756.56649930000003</v>
      </c>
      <c r="AN95" s="3">
        <v>98.448965310000006</v>
      </c>
      <c r="AO95" s="3">
        <v>303.91807829999999</v>
      </c>
      <c r="AP95" s="48" t="s">
        <v>312</v>
      </c>
      <c r="AQ95" s="49" t="s">
        <v>344</v>
      </c>
      <c r="AR95" s="3">
        <v>618.18248400000004</v>
      </c>
      <c r="AS95" s="3">
        <v>1192.900993</v>
      </c>
      <c r="AT95" s="3">
        <v>1115.3312040000001</v>
      </c>
      <c r="AU95" s="3">
        <v>882.43861440000001</v>
      </c>
      <c r="AV95" s="3">
        <v>415.3846254</v>
      </c>
      <c r="AW95" s="3">
        <v>1608.9764379999999</v>
      </c>
      <c r="AX95" s="3">
        <v>960.11625360000005</v>
      </c>
      <c r="AY95" s="3">
        <v>745.78761150000003</v>
      </c>
      <c r="AZ95" s="3">
        <v>688.77249419999998</v>
      </c>
      <c r="BA95" s="3">
        <v>376.21470599999998</v>
      </c>
      <c r="BB95" s="3">
        <v>599.02189199999998</v>
      </c>
      <c r="BC95" s="3">
        <v>176.49677220000001</v>
      </c>
      <c r="BD95" s="3">
        <v>975.47819249999998</v>
      </c>
      <c r="BE95" s="48" t="s">
        <v>312</v>
      </c>
      <c r="BF95" s="49" t="s">
        <v>344</v>
      </c>
      <c r="BG95" s="3">
        <v>0</v>
      </c>
      <c r="BH95" s="3">
        <v>0.19700000000000001</v>
      </c>
      <c r="BI95" s="3">
        <v>0.79149999999999998</v>
      </c>
      <c r="BJ95" s="3">
        <v>0</v>
      </c>
      <c r="BK95" s="3">
        <v>0.182</v>
      </c>
      <c r="BL95" s="3">
        <v>0.65049999999999997</v>
      </c>
      <c r="BM95" s="3">
        <v>0</v>
      </c>
      <c r="BN95" s="3">
        <v>0.254</v>
      </c>
      <c r="BO95" s="3">
        <v>0.58499999999999996</v>
      </c>
      <c r="BP95" s="3">
        <v>0</v>
      </c>
      <c r="BQ95" s="3">
        <v>0.314</v>
      </c>
      <c r="BR95" s="3">
        <v>0.81666666700000001</v>
      </c>
      <c r="BS95" s="3">
        <v>0</v>
      </c>
      <c r="BT95" s="3">
        <v>0.627</v>
      </c>
      <c r="BU95" s="3">
        <v>0.49458333399999999</v>
      </c>
      <c r="BV95" s="3">
        <v>0</v>
      </c>
      <c r="BW95" s="3">
        <v>0.41899999999999998</v>
      </c>
      <c r="BX95" s="3">
        <v>0.81499999999999995</v>
      </c>
      <c r="BY95" s="3">
        <v>0</v>
      </c>
      <c r="BZ95" s="3">
        <v>0.41899999999999998</v>
      </c>
      <c r="CA95" s="3">
        <v>0.35399999999999998</v>
      </c>
      <c r="CB95" s="3">
        <v>0</v>
      </c>
      <c r="CC95" s="3">
        <v>0.30299999999999999</v>
      </c>
      <c r="CD95" s="3">
        <v>0.19766666699999999</v>
      </c>
      <c r="CE95" s="3">
        <v>0</v>
      </c>
      <c r="CF95" s="3">
        <v>0.33100000000000002</v>
      </c>
      <c r="CG95" s="3">
        <v>0.69950000000000001</v>
      </c>
      <c r="CH95" s="3">
        <v>0</v>
      </c>
      <c r="CI95" s="3">
        <v>0.53700000000000003</v>
      </c>
      <c r="CJ95" s="3">
        <v>0.89200000000000002</v>
      </c>
      <c r="CK95" s="3">
        <v>0</v>
      </c>
      <c r="CL95" s="3">
        <v>0.442</v>
      </c>
      <c r="CM95" s="3">
        <v>0.01</v>
      </c>
      <c r="CN95" s="3">
        <v>0</v>
      </c>
      <c r="CO95" s="3">
        <v>0.40600000000000003</v>
      </c>
      <c r="CP95" s="3">
        <v>0.77200000000000002</v>
      </c>
      <c r="CQ95" s="3">
        <v>0</v>
      </c>
      <c r="CR95" s="3">
        <v>0.40500000000000003</v>
      </c>
      <c r="CS95" s="3">
        <v>0.86399999999999999</v>
      </c>
      <c r="CT95" s="48" t="s">
        <v>312</v>
      </c>
      <c r="CU95" s="49" t="s">
        <v>344</v>
      </c>
      <c r="CV95" s="3">
        <v>6.0190000000000001</v>
      </c>
      <c r="CW95" s="3">
        <v>7.2939999999999996</v>
      </c>
      <c r="CX95" s="3">
        <v>5.5730000000000004</v>
      </c>
      <c r="CY95" s="3">
        <v>5.0860000000000003</v>
      </c>
      <c r="CZ95" s="3">
        <v>6.5019999999999998</v>
      </c>
      <c r="DA95" s="3">
        <v>8.2230000000000008</v>
      </c>
      <c r="DB95" s="3">
        <v>5.63</v>
      </c>
      <c r="DC95" s="3">
        <v>7.7729999999999997</v>
      </c>
      <c r="DD95" s="3">
        <v>7.617</v>
      </c>
      <c r="DE95" s="3">
        <v>6.8369999999999997</v>
      </c>
      <c r="DF95" s="3">
        <v>6.7480000000000002</v>
      </c>
      <c r="DG95" s="3">
        <v>6.4139999999999997</v>
      </c>
      <c r="DH95" s="3">
        <v>6.3120000000000003</v>
      </c>
    </row>
    <row r="96" spans="1:112" x14ac:dyDescent="0.3">
      <c r="A96" s="48" t="s">
        <v>312</v>
      </c>
      <c r="B96" s="49" t="s">
        <v>345</v>
      </c>
      <c r="C96" s="3">
        <v>52.906013999999999</v>
      </c>
      <c r="D96" s="3">
        <v>37.566899999999997</v>
      </c>
      <c r="E96" s="3">
        <v>27.014399999999998</v>
      </c>
      <c r="F96" s="3">
        <v>26.313714000000001</v>
      </c>
      <c r="G96" s="3">
        <v>27.014399999999998</v>
      </c>
      <c r="H96" s="3">
        <v>37.609110000000001</v>
      </c>
      <c r="I96" s="48" t="s">
        <v>312</v>
      </c>
      <c r="J96" s="49" t="s">
        <v>345</v>
      </c>
      <c r="K96" s="3">
        <v>32744.5</v>
      </c>
      <c r="L96" s="48" t="s">
        <v>312</v>
      </c>
      <c r="M96" s="49" t="s">
        <v>345</v>
      </c>
      <c r="N96" s="3">
        <v>6244.1360629999999</v>
      </c>
      <c r="O96" s="3">
        <v>7250.4553429999996</v>
      </c>
      <c r="P96" s="3">
        <v>3487.6308960000001</v>
      </c>
      <c r="Q96" s="3">
        <v>2897.6372310000002</v>
      </c>
      <c r="R96" s="3">
        <v>7350.8717889999998</v>
      </c>
      <c r="S96" s="3">
        <v>7807.4625539999997</v>
      </c>
      <c r="T96" s="3">
        <v>4854.2574750000003</v>
      </c>
      <c r="U96" s="3">
        <v>7621.539307</v>
      </c>
      <c r="V96" s="3">
        <v>4956.4196169999996</v>
      </c>
      <c r="W96" s="3">
        <v>3193.48785</v>
      </c>
      <c r="X96" s="3">
        <v>6156.6753490000001</v>
      </c>
      <c r="Y96" s="3">
        <v>595.70551399999999</v>
      </c>
      <c r="Z96" s="3">
        <v>2118.1691559999999</v>
      </c>
      <c r="AA96" s="48" t="s">
        <v>312</v>
      </c>
      <c r="AB96" s="49" t="s">
        <v>345</v>
      </c>
      <c r="AC96" s="3">
        <v>490.98791999999997</v>
      </c>
      <c r="AD96" s="3">
        <v>456.34030460000002</v>
      </c>
      <c r="AE96" s="3">
        <v>292.97481879999998</v>
      </c>
      <c r="AF96" s="3">
        <v>94.706782039999993</v>
      </c>
      <c r="AG96" s="3">
        <v>886.76859820000004</v>
      </c>
      <c r="AH96" s="3">
        <v>682.27548179999997</v>
      </c>
      <c r="AI96" s="3">
        <v>800.86835699999995</v>
      </c>
      <c r="AJ96" s="3">
        <v>631.57555049999996</v>
      </c>
      <c r="AK96" s="3">
        <v>268.5475854</v>
      </c>
      <c r="AL96" s="3">
        <v>406.60171389999999</v>
      </c>
      <c r="AM96" s="3">
        <v>689.7472358</v>
      </c>
      <c r="AN96" s="3">
        <v>89.75404245</v>
      </c>
      <c r="AO96" s="3">
        <v>277.07631070000002</v>
      </c>
      <c r="AP96" s="48" t="s">
        <v>312</v>
      </c>
      <c r="AQ96" s="49" t="s">
        <v>345</v>
      </c>
      <c r="AR96" s="3">
        <v>578.15628000000004</v>
      </c>
      <c r="AS96" s="3">
        <v>1136.096184</v>
      </c>
      <c r="AT96" s="3">
        <v>1062.220194</v>
      </c>
      <c r="AU96" s="3">
        <v>840.41772800000001</v>
      </c>
      <c r="AV96" s="3">
        <v>388.48921799999999</v>
      </c>
      <c r="AW96" s="3">
        <v>1532.358512</v>
      </c>
      <c r="AX96" s="3">
        <v>914.396432</v>
      </c>
      <c r="AY96" s="3">
        <v>697.49920499999996</v>
      </c>
      <c r="AZ96" s="3">
        <v>644.17571399999997</v>
      </c>
      <c r="BA96" s="3">
        <v>358.29971999999998</v>
      </c>
      <c r="BB96" s="3">
        <v>570.49703999999997</v>
      </c>
      <c r="BC96" s="3">
        <v>168.092164</v>
      </c>
      <c r="BD96" s="3">
        <v>929.02684999999997</v>
      </c>
      <c r="BE96" s="48" t="s">
        <v>312</v>
      </c>
      <c r="BF96" s="49" t="s">
        <v>345</v>
      </c>
      <c r="BG96" s="3">
        <v>0</v>
      </c>
      <c r="BH96" s="3">
        <v>0.23699999999999999</v>
      </c>
      <c r="BI96" s="3">
        <v>0.83099999999999996</v>
      </c>
      <c r="BJ96" s="3">
        <v>0</v>
      </c>
      <c r="BK96" s="3">
        <v>0.19800000000000001</v>
      </c>
      <c r="BL96" s="3">
        <v>0.64800000000000002</v>
      </c>
      <c r="BM96" s="3">
        <v>0</v>
      </c>
      <c r="BN96" s="3">
        <v>0.22900000000000001</v>
      </c>
      <c r="BO96" s="3">
        <v>0.59150000000000003</v>
      </c>
      <c r="BP96" s="3">
        <v>0</v>
      </c>
      <c r="BQ96" s="3">
        <v>0.38</v>
      </c>
      <c r="BR96" s="3">
        <v>0.83499999999999996</v>
      </c>
      <c r="BS96" s="3">
        <v>0</v>
      </c>
      <c r="BT96" s="3">
        <v>0.59699999999999998</v>
      </c>
      <c r="BU96" s="3">
        <v>0.55116666700000005</v>
      </c>
      <c r="BV96" s="3">
        <v>0</v>
      </c>
      <c r="BW96" s="3">
        <v>0.36499999999999999</v>
      </c>
      <c r="BX96" s="3">
        <v>0.86199999999999999</v>
      </c>
      <c r="BY96" s="3">
        <v>0</v>
      </c>
      <c r="BZ96" s="3">
        <v>0.36499999999999999</v>
      </c>
      <c r="CA96" s="3">
        <v>0.30149999999999999</v>
      </c>
      <c r="CB96" s="3">
        <v>0</v>
      </c>
      <c r="CC96" s="3">
        <v>0.30199999999999999</v>
      </c>
      <c r="CD96" s="3">
        <v>0.27133333300000001</v>
      </c>
      <c r="CE96" s="3">
        <v>0</v>
      </c>
      <c r="CF96" s="3">
        <v>0.375</v>
      </c>
      <c r="CG96" s="3">
        <v>0.71150000000000002</v>
      </c>
      <c r="CH96" s="3">
        <v>0</v>
      </c>
      <c r="CI96" s="3">
        <v>0.51200000000000001</v>
      </c>
      <c r="CJ96" s="3">
        <v>0.91233333299999997</v>
      </c>
      <c r="CK96" s="3">
        <v>0</v>
      </c>
      <c r="CL96" s="3">
        <v>0.439</v>
      </c>
      <c r="CM96" s="3">
        <v>0.01</v>
      </c>
      <c r="CN96" s="3">
        <v>0</v>
      </c>
      <c r="CO96" s="3">
        <v>0.38700000000000001</v>
      </c>
      <c r="CP96" s="3">
        <v>0.81100000000000005</v>
      </c>
      <c r="CQ96" s="3">
        <v>0</v>
      </c>
      <c r="CR96" s="3">
        <v>0.41299999999999998</v>
      </c>
      <c r="CS96" s="3">
        <v>0.89700000000000002</v>
      </c>
      <c r="CT96" s="48" t="s">
        <v>312</v>
      </c>
      <c r="CU96" s="49" t="s">
        <v>345</v>
      </c>
      <c r="CV96" s="3">
        <v>5.7240000000000002</v>
      </c>
      <c r="CW96" s="3">
        <v>6.7850000000000001</v>
      </c>
      <c r="CX96" s="3">
        <v>4.5069999999999997</v>
      </c>
      <c r="CY96" s="3">
        <v>4.5309999999999997</v>
      </c>
      <c r="CZ96" s="3">
        <v>6.3570000000000002</v>
      </c>
      <c r="DA96" s="3">
        <v>8.0690000000000008</v>
      </c>
      <c r="DB96" s="3">
        <v>4.8979999999999997</v>
      </c>
      <c r="DC96" s="3">
        <v>7.7640000000000002</v>
      </c>
      <c r="DD96" s="3">
        <v>7.4470000000000001</v>
      </c>
      <c r="DE96" s="3">
        <v>6.1260000000000003</v>
      </c>
      <c r="DF96" s="3">
        <v>6.65</v>
      </c>
      <c r="DG96" s="3">
        <v>6.1909999999999998</v>
      </c>
      <c r="DH96" s="3">
        <v>6.165</v>
      </c>
    </row>
    <row r="97" spans="1:112" x14ac:dyDescent="0.3">
      <c r="A97" s="48" t="s">
        <v>312</v>
      </c>
      <c r="B97" s="49" t="s">
        <v>346</v>
      </c>
      <c r="C97" s="3">
        <v>34.932996000000003</v>
      </c>
      <c r="D97" s="3">
        <v>33.607602</v>
      </c>
      <c r="E97" s="3">
        <v>26.490995999999999</v>
      </c>
      <c r="F97" s="3">
        <v>26.490995999999999</v>
      </c>
      <c r="G97" s="3">
        <v>26.490995999999999</v>
      </c>
      <c r="H97" s="3">
        <v>42.404165999999996</v>
      </c>
      <c r="I97" s="48" t="s">
        <v>312</v>
      </c>
      <c r="J97" s="49" t="s">
        <v>346</v>
      </c>
      <c r="K97" s="3">
        <v>28860</v>
      </c>
      <c r="L97" s="48" t="s">
        <v>312</v>
      </c>
      <c r="M97" s="49" t="s">
        <v>346</v>
      </c>
      <c r="N97" s="3">
        <v>4945.5114240000003</v>
      </c>
      <c r="O97" s="3">
        <v>5759.6038349999999</v>
      </c>
      <c r="P97" s="3">
        <v>2208.737478</v>
      </c>
      <c r="Q97" s="3">
        <v>1944.121261</v>
      </c>
      <c r="R97" s="3">
        <v>6212.2788419999997</v>
      </c>
      <c r="S97" s="3">
        <v>6582.9350400000003</v>
      </c>
      <c r="T97" s="3">
        <v>4236.1823690000001</v>
      </c>
      <c r="U97" s="3">
        <v>6189.3310419999998</v>
      </c>
      <c r="V97" s="3">
        <v>3923.9070369999999</v>
      </c>
      <c r="W97" s="3">
        <v>1954.1951770000001</v>
      </c>
      <c r="X97" s="3">
        <v>5082.3781710000003</v>
      </c>
      <c r="Y97" s="3">
        <v>380.81454259999998</v>
      </c>
      <c r="Z97" s="3">
        <v>1446.7163069999999</v>
      </c>
      <c r="AA97" s="48" t="s">
        <v>312</v>
      </c>
      <c r="AB97" s="49" t="s">
        <v>346</v>
      </c>
      <c r="AC97" s="3">
        <v>439.38727870000002</v>
      </c>
      <c r="AD97" s="3">
        <v>396.44563959999999</v>
      </c>
      <c r="AE97" s="3">
        <v>254.52187380000001</v>
      </c>
      <c r="AF97" s="3">
        <v>82.276516900000004</v>
      </c>
      <c r="AG97" s="3">
        <v>793.57317220000004</v>
      </c>
      <c r="AH97" s="3">
        <v>592.7268249</v>
      </c>
      <c r="AI97" s="3">
        <v>695.75438510000004</v>
      </c>
      <c r="AJ97" s="3">
        <v>565.19977600000004</v>
      </c>
      <c r="AK97" s="3">
        <v>240.3244315</v>
      </c>
      <c r="AL97" s="3">
        <v>353.23523899999998</v>
      </c>
      <c r="AM97" s="3">
        <v>599.21791110000004</v>
      </c>
      <c r="AN97" s="3">
        <v>77.973824379999996</v>
      </c>
      <c r="AO97" s="3">
        <v>240.71004490000001</v>
      </c>
      <c r="AP97" s="48" t="s">
        <v>312</v>
      </c>
      <c r="AQ97" s="49" t="s">
        <v>346</v>
      </c>
      <c r="AR97" s="3">
        <v>499.58632399999999</v>
      </c>
      <c r="AS97" s="3">
        <v>995.57902439999998</v>
      </c>
      <c r="AT97" s="3">
        <v>930.84032790000003</v>
      </c>
      <c r="AU97" s="3">
        <v>736.47132480000005</v>
      </c>
      <c r="AV97" s="3">
        <v>335.69452940000002</v>
      </c>
      <c r="AW97" s="3">
        <v>1342.8299589999999</v>
      </c>
      <c r="AX97" s="3">
        <v>801.30003120000003</v>
      </c>
      <c r="AY97" s="3">
        <v>602.71085149999999</v>
      </c>
      <c r="AZ97" s="3">
        <v>556.63388620000001</v>
      </c>
      <c r="BA97" s="3">
        <v>313.98370199999999</v>
      </c>
      <c r="BB97" s="3">
        <v>499.935564</v>
      </c>
      <c r="BC97" s="3">
        <v>147.3018174</v>
      </c>
      <c r="BD97" s="3">
        <v>814.12089749999996</v>
      </c>
      <c r="BE97" s="48" t="s">
        <v>312</v>
      </c>
      <c r="BF97" s="49" t="s">
        <v>346</v>
      </c>
      <c r="BG97" s="3">
        <v>0</v>
      </c>
      <c r="BH97" s="3">
        <v>0.28100000000000003</v>
      </c>
      <c r="BI97" s="3">
        <v>0.83899999999999997</v>
      </c>
      <c r="BJ97" s="3">
        <v>0</v>
      </c>
      <c r="BK97" s="3">
        <v>0.218</v>
      </c>
      <c r="BL97" s="3">
        <v>0.65800000000000003</v>
      </c>
      <c r="BM97" s="3">
        <v>0</v>
      </c>
      <c r="BN97" s="3">
        <v>0.23200000000000001</v>
      </c>
      <c r="BO97" s="3">
        <v>0.60199999999999998</v>
      </c>
      <c r="BP97" s="3">
        <v>0</v>
      </c>
      <c r="BQ97" s="3">
        <v>0.38500000000000001</v>
      </c>
      <c r="BR97" s="3">
        <v>0.85699999999999998</v>
      </c>
      <c r="BS97" s="3">
        <v>0</v>
      </c>
      <c r="BT97" s="3">
        <v>0.58599999999999997</v>
      </c>
      <c r="BU97" s="3">
        <v>0.59416666699999998</v>
      </c>
      <c r="BV97" s="3">
        <v>0</v>
      </c>
      <c r="BW97" s="3">
        <v>0.30199999999999999</v>
      </c>
      <c r="BX97" s="3">
        <v>0.89900000000000002</v>
      </c>
      <c r="BY97" s="3">
        <v>0</v>
      </c>
      <c r="BZ97" s="3">
        <v>0.30199999999999999</v>
      </c>
      <c r="CA97" s="3">
        <v>0.25650000000000001</v>
      </c>
      <c r="CB97" s="3">
        <v>0</v>
      </c>
      <c r="CC97" s="3">
        <v>0.314</v>
      </c>
      <c r="CD97" s="3">
        <v>0.34933333300000002</v>
      </c>
      <c r="CE97" s="3">
        <v>0</v>
      </c>
      <c r="CF97" s="3">
        <v>0.41</v>
      </c>
      <c r="CG97" s="3">
        <v>0.70099999999999996</v>
      </c>
      <c r="CH97" s="3">
        <v>0</v>
      </c>
      <c r="CI97" s="3">
        <v>0.49399999999999999</v>
      </c>
      <c r="CJ97" s="3">
        <v>0.91733333299999997</v>
      </c>
      <c r="CK97" s="3">
        <v>0</v>
      </c>
      <c r="CL97" s="3">
        <v>0.40400000000000003</v>
      </c>
      <c r="CM97" s="3">
        <v>0.01</v>
      </c>
      <c r="CN97" s="3">
        <v>0</v>
      </c>
      <c r="CO97" s="3">
        <v>0.39600000000000002</v>
      </c>
      <c r="CP97" s="3">
        <v>0.82666666700000002</v>
      </c>
      <c r="CQ97" s="3">
        <v>0</v>
      </c>
      <c r="CR97" s="3">
        <v>0.40600000000000003</v>
      </c>
      <c r="CS97" s="3">
        <v>0.90700000000000003</v>
      </c>
      <c r="CT97" s="48" t="s">
        <v>312</v>
      </c>
      <c r="CU97" s="49" t="s">
        <v>346</v>
      </c>
      <c r="CV97" s="3">
        <v>5.476</v>
      </c>
      <c r="CW97" s="3">
        <v>5.923</v>
      </c>
      <c r="CX97" s="3">
        <v>3.7679999999999998</v>
      </c>
      <c r="CY97" s="3">
        <v>4.335</v>
      </c>
      <c r="CZ97" s="3">
        <v>5.992</v>
      </c>
      <c r="DA97" s="3">
        <v>7.9349999999999996</v>
      </c>
      <c r="DB97" s="3">
        <v>4.1070000000000002</v>
      </c>
      <c r="DC97" s="3">
        <v>7.7069999999999999</v>
      </c>
      <c r="DD97" s="3">
        <v>7.1669999999999998</v>
      </c>
      <c r="DE97" s="3">
        <v>5.758</v>
      </c>
      <c r="DF97" s="3">
        <v>6.6470000000000002</v>
      </c>
      <c r="DG97" s="3">
        <v>6.0750000000000002</v>
      </c>
      <c r="DH97" s="3">
        <v>6.0620000000000003</v>
      </c>
    </row>
    <row r="98" spans="1:112" x14ac:dyDescent="0.3">
      <c r="A98" s="48" t="s">
        <v>312</v>
      </c>
      <c r="B98" s="49" t="s">
        <v>347</v>
      </c>
      <c r="C98" s="3">
        <v>33.312131999999998</v>
      </c>
      <c r="D98" s="3">
        <v>28.348236</v>
      </c>
      <c r="E98" s="3">
        <v>26.364366</v>
      </c>
      <c r="F98" s="3">
        <v>26.195526000000001</v>
      </c>
      <c r="G98" s="3">
        <v>26.195526000000001</v>
      </c>
      <c r="H98" s="3">
        <v>30.72888</v>
      </c>
      <c r="I98" s="48" t="s">
        <v>312</v>
      </c>
      <c r="J98" s="49" t="s">
        <v>347</v>
      </c>
      <c r="K98" s="3">
        <v>27046</v>
      </c>
      <c r="L98" s="48" t="s">
        <v>312</v>
      </c>
      <c r="M98" s="49" t="s">
        <v>347</v>
      </c>
      <c r="N98" s="3">
        <v>3186.7414100000001</v>
      </c>
      <c r="O98" s="3">
        <v>3580.3038759999999</v>
      </c>
      <c r="P98" s="3">
        <v>1295.1424529999999</v>
      </c>
      <c r="Q98" s="3">
        <v>1089.395992</v>
      </c>
      <c r="R98" s="3">
        <v>4251.9449800000002</v>
      </c>
      <c r="S98" s="3">
        <v>4202.3847130000004</v>
      </c>
      <c r="T98" s="3">
        <v>2966.153683</v>
      </c>
      <c r="U98" s="3">
        <v>3787.7125649999998</v>
      </c>
      <c r="V98" s="3">
        <v>2398.9758879999999</v>
      </c>
      <c r="W98" s="3">
        <v>1036.4347459999999</v>
      </c>
      <c r="X98" s="3">
        <v>3154.1808209999999</v>
      </c>
      <c r="Y98" s="3">
        <v>212.06312120000001</v>
      </c>
      <c r="Z98" s="3">
        <v>377.64297809999999</v>
      </c>
      <c r="AA98" s="48" t="s">
        <v>312</v>
      </c>
      <c r="AB98" s="49" t="s">
        <v>347</v>
      </c>
      <c r="AC98" s="3">
        <v>401.85953960000001</v>
      </c>
      <c r="AD98" s="3">
        <v>410.70627409999997</v>
      </c>
      <c r="AE98" s="3">
        <v>263.6773369</v>
      </c>
      <c r="AF98" s="3">
        <v>85.236103830000005</v>
      </c>
      <c r="AG98" s="3">
        <v>725.79468069999996</v>
      </c>
      <c r="AH98" s="3">
        <v>614.04793370000004</v>
      </c>
      <c r="AI98" s="3">
        <v>720.78152130000001</v>
      </c>
      <c r="AJ98" s="3">
        <v>516.92648559999998</v>
      </c>
      <c r="AK98" s="3">
        <v>219.79850139999999</v>
      </c>
      <c r="AL98" s="3">
        <v>365.94154259999999</v>
      </c>
      <c r="AM98" s="3">
        <v>620.77251230000002</v>
      </c>
      <c r="AN98" s="3">
        <v>80.778638200000003</v>
      </c>
      <c r="AO98" s="3">
        <v>249.36867960000001</v>
      </c>
      <c r="AP98" s="48" t="s">
        <v>312</v>
      </c>
      <c r="AQ98" s="49" t="s">
        <v>347</v>
      </c>
      <c r="AR98" s="3">
        <v>437.32333999999997</v>
      </c>
      <c r="AS98" s="3">
        <v>902.89749359999996</v>
      </c>
      <c r="AT98" s="3">
        <v>844.18552260000001</v>
      </c>
      <c r="AU98" s="3">
        <v>667.91093120000005</v>
      </c>
      <c r="AV98" s="3">
        <v>293.85722900000002</v>
      </c>
      <c r="AW98" s="3">
        <v>1217.8217649999999</v>
      </c>
      <c r="AX98" s="3">
        <v>726.70453280000004</v>
      </c>
      <c r="AY98" s="3">
        <v>527.59555250000005</v>
      </c>
      <c r="AZ98" s="3">
        <v>487.26111700000001</v>
      </c>
      <c r="BA98" s="3">
        <v>284.75398799999999</v>
      </c>
      <c r="BB98" s="3">
        <v>453.395016</v>
      </c>
      <c r="BC98" s="3">
        <v>133.58903559999999</v>
      </c>
      <c r="BD98" s="3">
        <v>738.33186499999999</v>
      </c>
      <c r="BE98" s="48" t="s">
        <v>312</v>
      </c>
      <c r="BF98" s="49" t="s">
        <v>347</v>
      </c>
      <c r="BG98" s="3">
        <v>0</v>
      </c>
      <c r="BH98" s="3">
        <v>0.318</v>
      </c>
      <c r="BI98" s="3">
        <v>0.83050000000000002</v>
      </c>
      <c r="BJ98" s="3">
        <v>0</v>
      </c>
      <c r="BK98" s="3">
        <v>0.224</v>
      </c>
      <c r="BL98" s="3">
        <v>0.6835</v>
      </c>
      <c r="BM98" s="3">
        <v>0</v>
      </c>
      <c r="BN98" s="3">
        <v>0.26600000000000001</v>
      </c>
      <c r="BO98" s="3">
        <v>0.63600000000000001</v>
      </c>
      <c r="BP98" s="3">
        <v>0</v>
      </c>
      <c r="BQ98" s="3">
        <v>0.36599999999999999</v>
      </c>
      <c r="BR98" s="3">
        <v>0.87466666699999995</v>
      </c>
      <c r="BS98" s="3">
        <v>0</v>
      </c>
      <c r="BT98" s="3">
        <v>0.59399999999999997</v>
      </c>
      <c r="BU98" s="3">
        <v>0.63824999999999998</v>
      </c>
      <c r="BV98" s="3">
        <v>0</v>
      </c>
      <c r="BW98" s="3">
        <v>0.24299999999999999</v>
      </c>
      <c r="BX98" s="3">
        <v>0.89300000000000002</v>
      </c>
      <c r="BY98" s="3">
        <v>0</v>
      </c>
      <c r="BZ98" s="3">
        <v>0.24299999999999999</v>
      </c>
      <c r="CA98" s="3">
        <v>0.18099999999999999</v>
      </c>
      <c r="CB98" s="3">
        <v>0</v>
      </c>
      <c r="CC98" s="3">
        <v>0.33300000000000002</v>
      </c>
      <c r="CD98" s="3">
        <v>0.44600000000000001</v>
      </c>
      <c r="CE98" s="3">
        <v>0</v>
      </c>
      <c r="CF98" s="3">
        <v>0.41599999999999998</v>
      </c>
      <c r="CG98" s="3">
        <v>0.70299999999999996</v>
      </c>
      <c r="CH98" s="3">
        <v>0</v>
      </c>
      <c r="CI98" s="3">
        <v>0.45400000000000001</v>
      </c>
      <c r="CJ98" s="3">
        <v>0.90600000000000003</v>
      </c>
      <c r="CK98" s="3">
        <v>0</v>
      </c>
      <c r="CL98" s="3">
        <v>0.35699999999999998</v>
      </c>
      <c r="CM98" s="3">
        <v>0.01</v>
      </c>
      <c r="CN98" s="3">
        <v>0</v>
      </c>
      <c r="CO98" s="3">
        <v>0.40300000000000002</v>
      </c>
      <c r="CP98" s="3">
        <v>0.82866666700000002</v>
      </c>
      <c r="CQ98" s="3">
        <v>0</v>
      </c>
      <c r="CR98" s="3">
        <v>0.38800000000000001</v>
      </c>
      <c r="CS98" s="3">
        <v>0.89900000000000002</v>
      </c>
      <c r="CT98" s="48" t="s">
        <v>312</v>
      </c>
      <c r="CU98" s="49" t="s">
        <v>347</v>
      </c>
      <c r="CV98" s="3">
        <v>5.1669999999999998</v>
      </c>
      <c r="CW98" s="3">
        <v>4.9000000000000004</v>
      </c>
      <c r="CX98" s="3">
        <v>3.4140000000000001</v>
      </c>
      <c r="CY98" s="3">
        <v>3.8650000000000002</v>
      </c>
      <c r="CZ98" s="3">
        <v>5.657</v>
      </c>
      <c r="DA98" s="3">
        <v>7.843</v>
      </c>
      <c r="DB98" s="3">
        <v>3.2709999999999999</v>
      </c>
      <c r="DC98" s="3">
        <v>7.62</v>
      </c>
      <c r="DD98" s="3">
        <v>6.7270000000000003</v>
      </c>
      <c r="DE98" s="3">
        <v>5.306</v>
      </c>
      <c r="DF98" s="3">
        <v>6.6379999999999999</v>
      </c>
      <c r="DG98" s="3">
        <v>6.0469999999999997</v>
      </c>
      <c r="DH98" s="3">
        <v>5.9809999999999999</v>
      </c>
    </row>
    <row r="99" spans="1:112" x14ac:dyDescent="0.3">
      <c r="A99" s="48" t="s">
        <v>313</v>
      </c>
      <c r="B99" s="49" t="s">
        <v>324</v>
      </c>
      <c r="C99" s="3">
        <v>27.560040000000001</v>
      </c>
      <c r="D99" s="3">
        <v>20.712299999999999</v>
      </c>
      <c r="E99" s="3">
        <v>23.551435000000001</v>
      </c>
      <c r="F99" s="3">
        <v>43.199564000000002</v>
      </c>
      <c r="G99" s="3">
        <v>39.763034269999999</v>
      </c>
      <c r="H99" s="3">
        <v>29.75808</v>
      </c>
      <c r="I99" s="48" t="s">
        <v>313</v>
      </c>
      <c r="J99" s="49" t="s">
        <v>324</v>
      </c>
      <c r="K99" s="3">
        <v>25272.5</v>
      </c>
      <c r="L99" s="48" t="s">
        <v>313</v>
      </c>
      <c r="M99" s="49" t="s">
        <v>324</v>
      </c>
      <c r="N99" s="3">
        <v>486.53459400000003</v>
      </c>
      <c r="O99" s="3">
        <v>723.2100246</v>
      </c>
      <c r="P99" s="3">
        <v>137.09636829999999</v>
      </c>
      <c r="Q99" s="3">
        <v>95.71110582</v>
      </c>
      <c r="R99" s="3">
        <v>913.59546350000005</v>
      </c>
      <c r="S99" s="3">
        <v>852.09061110000005</v>
      </c>
      <c r="T99" s="3">
        <v>361.6628801</v>
      </c>
      <c r="U99" s="3">
        <v>542.78999899999997</v>
      </c>
      <c r="V99" s="3">
        <v>357.90789009999997</v>
      </c>
      <c r="W99" s="3">
        <v>420.88456600000001</v>
      </c>
      <c r="X99" s="3">
        <v>653.86886849999996</v>
      </c>
      <c r="Y99" s="3">
        <v>118.2170174</v>
      </c>
      <c r="Z99" s="3">
        <v>70.825423950000001</v>
      </c>
      <c r="AA99" s="48" t="s">
        <v>313</v>
      </c>
      <c r="AB99" s="49" t="s">
        <v>324</v>
      </c>
      <c r="AC99" s="3">
        <v>222.74621429999999</v>
      </c>
      <c r="AD99" s="3">
        <v>211.522738</v>
      </c>
      <c r="AE99" s="3">
        <v>130.61118020000001</v>
      </c>
      <c r="AF99" s="3">
        <v>40.78329463</v>
      </c>
      <c r="AG99" s="3">
        <v>402.97147430000001</v>
      </c>
      <c r="AH99" s="3">
        <v>292.99963070000001</v>
      </c>
      <c r="AI99" s="3">
        <v>278.31590499999999</v>
      </c>
      <c r="AJ99" s="3">
        <v>245.22372899999999</v>
      </c>
      <c r="AK99" s="3">
        <v>118.7258848</v>
      </c>
      <c r="AL99" s="3">
        <v>180.99046809999999</v>
      </c>
      <c r="AM99" s="3">
        <v>262.32036820000002</v>
      </c>
      <c r="AN99" s="3">
        <v>38.904058650000003</v>
      </c>
      <c r="AO99" s="3">
        <v>130.9970687</v>
      </c>
      <c r="AP99" s="48" t="s">
        <v>313</v>
      </c>
      <c r="AQ99" s="49" t="s">
        <v>324</v>
      </c>
      <c r="AR99" s="3">
        <v>380.18636179999999</v>
      </c>
      <c r="AS99" s="3">
        <v>828.8699421</v>
      </c>
      <c r="AT99" s="3">
        <v>653.56691920000003</v>
      </c>
      <c r="AU99" s="3">
        <v>675.44518040000003</v>
      </c>
      <c r="AV99" s="3">
        <v>124.57823089999999</v>
      </c>
      <c r="AW99" s="3">
        <v>1028.4877409999999</v>
      </c>
      <c r="AX99" s="3">
        <v>607.66957439999999</v>
      </c>
      <c r="AY99" s="3">
        <v>716.10804729999995</v>
      </c>
      <c r="AZ99" s="3">
        <v>326.83368189999999</v>
      </c>
      <c r="BA99" s="3">
        <v>197.73821469999999</v>
      </c>
      <c r="BB99" s="3">
        <v>445.11013279999997</v>
      </c>
      <c r="BC99" s="3">
        <v>105.1642588</v>
      </c>
      <c r="BD99" s="3">
        <v>730.26317700000004</v>
      </c>
      <c r="BE99" s="48" t="s">
        <v>313</v>
      </c>
      <c r="BF99" s="49" t="s">
        <v>324</v>
      </c>
      <c r="BG99" s="3">
        <v>0</v>
      </c>
      <c r="BH99" s="3">
        <v>0.112</v>
      </c>
      <c r="BI99" s="3">
        <v>0.3705</v>
      </c>
      <c r="BJ99" s="3">
        <v>0</v>
      </c>
      <c r="BK99" s="3">
        <v>2.5000000000000001E-2</v>
      </c>
      <c r="BL99" s="3">
        <v>0.25600000000000001</v>
      </c>
      <c r="BM99" s="3">
        <v>0</v>
      </c>
      <c r="BN99" s="3">
        <v>0.193</v>
      </c>
      <c r="BO99" s="3">
        <v>0.16850000000000001</v>
      </c>
      <c r="BP99" s="3">
        <v>0</v>
      </c>
      <c r="BQ99" s="3">
        <v>0.20499999999999999</v>
      </c>
      <c r="BR99" s="3">
        <v>0.304666667</v>
      </c>
      <c r="BS99" s="3">
        <v>0</v>
      </c>
      <c r="BT99" s="3">
        <v>0.23100000000000001</v>
      </c>
      <c r="BU99" s="3">
        <v>0.42541666700000003</v>
      </c>
      <c r="BV99" s="3">
        <v>0</v>
      </c>
      <c r="BW99" s="3">
        <v>0.158</v>
      </c>
      <c r="BX99" s="3">
        <v>0.37</v>
      </c>
      <c r="BY99" s="3">
        <v>0</v>
      </c>
      <c r="BZ99" s="3">
        <v>0.16900000000000001</v>
      </c>
      <c r="CA99" s="3">
        <v>8.2500000000000004E-2</v>
      </c>
      <c r="CB99" s="3">
        <v>0</v>
      </c>
      <c r="CC99" s="3">
        <v>0.35299999999999998</v>
      </c>
      <c r="CD99" s="3">
        <v>0.48033333299999997</v>
      </c>
      <c r="CE99" s="3">
        <v>0</v>
      </c>
      <c r="CF99" s="3">
        <v>0.32</v>
      </c>
      <c r="CG99" s="3">
        <v>0.69399999999999995</v>
      </c>
      <c r="CH99" s="3">
        <v>0</v>
      </c>
      <c r="CI99" s="3">
        <v>0.32</v>
      </c>
      <c r="CJ99" s="3">
        <v>0.50533333300000005</v>
      </c>
      <c r="CK99" s="3">
        <v>0</v>
      </c>
      <c r="CL99" s="3">
        <v>0.28899999999999998</v>
      </c>
      <c r="CM99" s="3">
        <v>0.1</v>
      </c>
      <c r="CN99" s="3">
        <v>0</v>
      </c>
      <c r="CO99" s="3">
        <v>0.16800000000000001</v>
      </c>
      <c r="CP99" s="3">
        <v>0.39566666700000003</v>
      </c>
      <c r="CQ99" s="3">
        <v>0</v>
      </c>
      <c r="CR99" s="3">
        <v>8.5000000000000006E-2</v>
      </c>
      <c r="CS99" s="3">
        <v>0.14000000000000001</v>
      </c>
      <c r="CT99" s="48" t="s">
        <v>313</v>
      </c>
      <c r="CU99" s="49" t="s">
        <v>324</v>
      </c>
      <c r="CV99" s="3">
        <v>16.190999999999999</v>
      </c>
      <c r="CW99" s="3">
        <v>14.750999999999999</v>
      </c>
      <c r="CX99" s="3">
        <v>11.766</v>
      </c>
      <c r="CY99" s="3">
        <v>9.3040000000000003</v>
      </c>
      <c r="CZ99" s="3">
        <v>16.093</v>
      </c>
      <c r="DA99" s="3">
        <v>11.83</v>
      </c>
      <c r="DB99" s="3">
        <v>8.0830000000000002</v>
      </c>
      <c r="DC99" s="3">
        <v>16.010000000000002</v>
      </c>
      <c r="DD99" s="3">
        <v>15.895</v>
      </c>
      <c r="DE99" s="3">
        <v>15.893000000000001</v>
      </c>
      <c r="DF99" s="3">
        <v>15.72</v>
      </c>
      <c r="DG99" s="3">
        <v>11.814</v>
      </c>
      <c r="DH99" s="3">
        <v>14.375</v>
      </c>
    </row>
    <row r="100" spans="1:112" x14ac:dyDescent="0.3">
      <c r="A100" s="48" t="s">
        <v>313</v>
      </c>
      <c r="B100" s="49" t="s">
        <v>325</v>
      </c>
      <c r="C100" s="3">
        <v>27.545950000000001</v>
      </c>
      <c r="D100" s="3">
        <v>17.999974999999999</v>
      </c>
      <c r="E100" s="3">
        <v>25.61562</v>
      </c>
      <c r="F100" s="3">
        <v>43.208398270000004</v>
      </c>
      <c r="G100" s="3">
        <v>37.466124929999999</v>
      </c>
      <c r="H100" s="3">
        <v>42.262954999999998</v>
      </c>
      <c r="I100" s="48" t="s">
        <v>313</v>
      </c>
      <c r="J100" s="49" t="s">
        <v>325</v>
      </c>
      <c r="K100" s="3">
        <v>24572.5</v>
      </c>
      <c r="L100" s="48" t="s">
        <v>313</v>
      </c>
      <c r="M100" s="49" t="s">
        <v>325</v>
      </c>
      <c r="N100" s="3">
        <v>260.05590169999999</v>
      </c>
      <c r="O100" s="3">
        <v>436.86202839999999</v>
      </c>
      <c r="P100" s="3">
        <v>119.2237514</v>
      </c>
      <c r="Q100" s="3">
        <v>161.7055028</v>
      </c>
      <c r="R100" s="3">
        <v>495.69877700000001</v>
      </c>
      <c r="S100" s="3">
        <v>443.66080340000002</v>
      </c>
      <c r="T100" s="3">
        <v>236.43086450000001</v>
      </c>
      <c r="U100" s="3">
        <v>369.00140800000003</v>
      </c>
      <c r="V100" s="3">
        <v>164.41062020000001</v>
      </c>
      <c r="W100" s="3">
        <v>247.69105200000001</v>
      </c>
      <c r="X100" s="3">
        <v>291.34323269999999</v>
      </c>
      <c r="Y100" s="3">
        <v>119.95376229999999</v>
      </c>
      <c r="Z100" s="3">
        <v>105.51304829999999</v>
      </c>
      <c r="AA100" s="48" t="s">
        <v>313</v>
      </c>
      <c r="AB100" s="49" t="s">
        <v>325</v>
      </c>
      <c r="AC100" s="3">
        <v>263.67484730000001</v>
      </c>
      <c r="AD100" s="3">
        <v>250.3891069</v>
      </c>
      <c r="AE100" s="3">
        <v>154.6104076</v>
      </c>
      <c r="AF100" s="3">
        <v>47.174706469999997</v>
      </c>
      <c r="AG100" s="3">
        <v>477.01570270000002</v>
      </c>
      <c r="AH100" s="3">
        <v>346.83701869999999</v>
      </c>
      <c r="AI100" s="3">
        <v>321.93257670000003</v>
      </c>
      <c r="AJ100" s="3">
        <v>290.28250600000001</v>
      </c>
      <c r="AK100" s="3">
        <v>140.5412417</v>
      </c>
      <c r="AL100" s="3">
        <v>214.24666719999999</v>
      </c>
      <c r="AM100" s="3">
        <v>303.43027660000001</v>
      </c>
      <c r="AN100" s="3">
        <v>46.052507589999998</v>
      </c>
      <c r="AO100" s="3">
        <v>155.06720150000001</v>
      </c>
      <c r="AP100" s="48" t="s">
        <v>313</v>
      </c>
      <c r="AQ100" s="49" t="s">
        <v>325</v>
      </c>
      <c r="AR100" s="3">
        <v>425.41299220000002</v>
      </c>
      <c r="AS100" s="3">
        <v>927.47157089999996</v>
      </c>
      <c r="AT100" s="3">
        <v>731.31465679999997</v>
      </c>
      <c r="AU100" s="3">
        <v>734.9033829</v>
      </c>
      <c r="AV100" s="3">
        <v>139.39794610000001</v>
      </c>
      <c r="AW100" s="3">
        <v>1150.8357249999999</v>
      </c>
      <c r="AX100" s="3">
        <v>661.16161439999996</v>
      </c>
      <c r="AY100" s="3">
        <v>801.29562169999997</v>
      </c>
      <c r="AZ100" s="3">
        <v>365.71352510000003</v>
      </c>
      <c r="BA100" s="3">
        <v>221.26097630000001</v>
      </c>
      <c r="BB100" s="3">
        <v>484.29236279999998</v>
      </c>
      <c r="BC100" s="3">
        <v>117.6745052</v>
      </c>
      <c r="BD100" s="3">
        <v>817.13463300000001</v>
      </c>
      <c r="BE100" s="48" t="s">
        <v>313</v>
      </c>
      <c r="BF100" s="49" t="s">
        <v>325</v>
      </c>
      <c r="BG100" s="3">
        <v>0</v>
      </c>
      <c r="BH100" s="3">
        <v>0.127</v>
      </c>
      <c r="BI100" s="3">
        <v>0.40699999999999997</v>
      </c>
      <c r="BJ100" s="3">
        <v>0</v>
      </c>
      <c r="BK100" s="3">
        <v>4.1000000000000002E-2</v>
      </c>
      <c r="BL100" s="3">
        <v>0.20899999999999999</v>
      </c>
      <c r="BM100" s="3">
        <v>0</v>
      </c>
      <c r="BN100" s="3">
        <v>0.20499999999999999</v>
      </c>
      <c r="BO100" s="3">
        <v>0.14050000000000001</v>
      </c>
      <c r="BP100" s="3">
        <v>0</v>
      </c>
      <c r="BQ100" s="3">
        <v>0.23200000000000001</v>
      </c>
      <c r="BR100" s="3">
        <v>0.33966666699999998</v>
      </c>
      <c r="BS100" s="3">
        <v>0</v>
      </c>
      <c r="BT100" s="3">
        <v>0.249</v>
      </c>
      <c r="BU100" s="3">
        <v>0.44750000000000001</v>
      </c>
      <c r="BV100" s="3">
        <v>0</v>
      </c>
      <c r="BW100" s="3">
        <v>0.186</v>
      </c>
      <c r="BX100" s="3">
        <v>0.436</v>
      </c>
      <c r="BY100" s="3">
        <v>0</v>
      </c>
      <c r="BZ100" s="3">
        <v>0.18099999999999999</v>
      </c>
      <c r="CA100" s="3">
        <v>0.09</v>
      </c>
      <c r="CB100" s="3">
        <v>0</v>
      </c>
      <c r="CC100" s="3">
        <v>0.379</v>
      </c>
      <c r="CD100" s="3">
        <v>0.48799999999999999</v>
      </c>
      <c r="CE100" s="3">
        <v>0</v>
      </c>
      <c r="CF100" s="3">
        <v>0.314</v>
      </c>
      <c r="CG100" s="3">
        <v>0.72450000000000003</v>
      </c>
      <c r="CH100" s="3">
        <v>0</v>
      </c>
      <c r="CI100" s="3">
        <v>0.313</v>
      </c>
      <c r="CJ100" s="3">
        <v>0.44666666700000002</v>
      </c>
      <c r="CK100" s="3">
        <v>0</v>
      </c>
      <c r="CL100" s="3">
        <v>0.26800000000000002</v>
      </c>
      <c r="CM100" s="3">
        <v>0.1</v>
      </c>
      <c r="CN100" s="3">
        <v>0</v>
      </c>
      <c r="CO100" s="3">
        <v>0.20100000000000001</v>
      </c>
      <c r="CP100" s="3">
        <v>0.41599999999999998</v>
      </c>
      <c r="CQ100" s="3">
        <v>0</v>
      </c>
      <c r="CR100" s="3">
        <v>0.13</v>
      </c>
      <c r="CS100" s="3">
        <v>0.22600000000000001</v>
      </c>
      <c r="CT100" s="48" t="s">
        <v>313</v>
      </c>
      <c r="CU100" s="49" t="s">
        <v>325</v>
      </c>
      <c r="CV100" s="3">
        <v>16.024999999999999</v>
      </c>
      <c r="CW100" s="3">
        <v>14.276999999999999</v>
      </c>
      <c r="CX100" s="3">
        <v>11.646000000000001</v>
      </c>
      <c r="CY100" s="3">
        <v>8.68</v>
      </c>
      <c r="CZ100" s="3">
        <v>15.815</v>
      </c>
      <c r="DA100" s="3">
        <v>11.654999999999999</v>
      </c>
      <c r="DB100" s="3">
        <v>7.9029999999999996</v>
      </c>
      <c r="DC100" s="3">
        <v>15.929</v>
      </c>
      <c r="DD100" s="3">
        <v>15.74</v>
      </c>
      <c r="DE100" s="3">
        <v>15.737</v>
      </c>
      <c r="DF100" s="3">
        <v>15.444000000000001</v>
      </c>
      <c r="DG100" s="3">
        <v>11.46</v>
      </c>
      <c r="DH100" s="3">
        <v>14.07</v>
      </c>
    </row>
    <row r="101" spans="1:112" x14ac:dyDescent="0.3">
      <c r="A101" s="48" t="s">
        <v>313</v>
      </c>
      <c r="B101" s="49" t="s">
        <v>326</v>
      </c>
      <c r="C101" s="3">
        <v>26.4892</v>
      </c>
      <c r="D101" s="3">
        <v>19.831675000000001</v>
      </c>
      <c r="E101" s="3">
        <v>23.008970000000001</v>
      </c>
      <c r="F101" s="3">
        <v>43.128889870000002</v>
      </c>
      <c r="G101" s="3">
        <v>37.360113730000002</v>
      </c>
      <c r="H101" s="3">
        <v>29.948295000000002</v>
      </c>
      <c r="I101" s="48" t="s">
        <v>313</v>
      </c>
      <c r="J101" s="49" t="s">
        <v>326</v>
      </c>
      <c r="K101" s="3">
        <v>24193.5</v>
      </c>
      <c r="L101" s="48" t="s">
        <v>313</v>
      </c>
      <c r="M101" s="49" t="s">
        <v>326</v>
      </c>
      <c r="N101" s="3">
        <v>250.99521910000001</v>
      </c>
      <c r="O101" s="3">
        <v>394.7804577</v>
      </c>
      <c r="P101" s="3">
        <v>101.3511345</v>
      </c>
      <c r="Q101" s="3">
        <v>140.44889420000001</v>
      </c>
      <c r="R101" s="3">
        <v>434.62348880000002</v>
      </c>
      <c r="S101" s="3">
        <v>342.86013550000001</v>
      </c>
      <c r="T101" s="3">
        <v>208.15232370000001</v>
      </c>
      <c r="U101" s="3">
        <v>399.81861709999998</v>
      </c>
      <c r="V101" s="3">
        <v>432.87252389999998</v>
      </c>
      <c r="W101" s="3">
        <v>234.9793755</v>
      </c>
      <c r="X101" s="3">
        <v>275.16850870000002</v>
      </c>
      <c r="Y101" s="3">
        <v>66.976523389999997</v>
      </c>
      <c r="Z101" s="3">
        <v>104.23979249999999</v>
      </c>
      <c r="AA101" s="48" t="s">
        <v>313</v>
      </c>
      <c r="AB101" s="49" t="s">
        <v>326</v>
      </c>
      <c r="AC101" s="3">
        <v>245.5717981</v>
      </c>
      <c r="AD101" s="3">
        <v>233.19821300000001</v>
      </c>
      <c r="AE101" s="3">
        <v>143.99536470000001</v>
      </c>
      <c r="AF101" s="3">
        <v>48.392118250000003</v>
      </c>
      <c r="AG101" s="3">
        <v>444.26537089999999</v>
      </c>
      <c r="AH101" s="3">
        <v>323.02432779999998</v>
      </c>
      <c r="AI101" s="3">
        <v>330.24051420000001</v>
      </c>
      <c r="AJ101" s="3">
        <v>270.35266230000002</v>
      </c>
      <c r="AK101" s="3">
        <v>130.89214150000001</v>
      </c>
      <c r="AL101" s="3">
        <v>199.5371945</v>
      </c>
      <c r="AM101" s="3">
        <v>311.26073539999999</v>
      </c>
      <c r="AN101" s="3">
        <v>42.890693640000002</v>
      </c>
      <c r="AO101" s="3">
        <v>144.42079659999999</v>
      </c>
      <c r="AP101" s="48" t="s">
        <v>313</v>
      </c>
      <c r="AQ101" s="49" t="s">
        <v>326</v>
      </c>
      <c r="AR101" s="3">
        <v>455.09296840000002</v>
      </c>
      <c r="AS101" s="3">
        <v>992.17888979999998</v>
      </c>
      <c r="AT101" s="3">
        <v>782.33660959999997</v>
      </c>
      <c r="AU101" s="3">
        <v>761.06499199999996</v>
      </c>
      <c r="AV101" s="3">
        <v>149.1233842</v>
      </c>
      <c r="AW101" s="3">
        <v>1231.126589</v>
      </c>
      <c r="AX101" s="3">
        <v>684.69811200000004</v>
      </c>
      <c r="AY101" s="3">
        <v>857.19996739999999</v>
      </c>
      <c r="AZ101" s="3">
        <v>391.22842220000001</v>
      </c>
      <c r="BA101" s="3">
        <v>236.6977886</v>
      </c>
      <c r="BB101" s="3">
        <v>501.53254399999997</v>
      </c>
      <c r="BC101" s="3">
        <v>125.88435440000001</v>
      </c>
      <c r="BD101" s="3">
        <v>874.14402600000005</v>
      </c>
      <c r="BE101" s="48" t="s">
        <v>313</v>
      </c>
      <c r="BF101" s="49" t="s">
        <v>326</v>
      </c>
      <c r="BG101" s="3">
        <v>0</v>
      </c>
      <c r="BH101" s="3">
        <v>0.13600000000000001</v>
      </c>
      <c r="BI101" s="3">
        <v>0.4395</v>
      </c>
      <c r="BJ101" s="3">
        <v>0</v>
      </c>
      <c r="BK101" s="3">
        <v>7.1999999999999995E-2</v>
      </c>
      <c r="BL101" s="3">
        <v>0.1545</v>
      </c>
      <c r="BM101" s="3">
        <v>0</v>
      </c>
      <c r="BN101" s="3">
        <v>0.22700000000000001</v>
      </c>
      <c r="BO101" s="3">
        <v>0.13350000000000001</v>
      </c>
      <c r="BP101" s="3">
        <v>0</v>
      </c>
      <c r="BQ101" s="3">
        <v>0.26300000000000001</v>
      </c>
      <c r="BR101" s="3">
        <v>0.39666666699999997</v>
      </c>
      <c r="BS101" s="3">
        <v>0</v>
      </c>
      <c r="BT101" s="3">
        <v>0.25900000000000001</v>
      </c>
      <c r="BU101" s="3">
        <v>0.48041666700000002</v>
      </c>
      <c r="BV101" s="3">
        <v>0</v>
      </c>
      <c r="BW101" s="3">
        <v>0.22700000000000001</v>
      </c>
      <c r="BX101" s="3">
        <v>0.504</v>
      </c>
      <c r="BY101" s="3">
        <v>0</v>
      </c>
      <c r="BZ101" s="3">
        <v>0.20100000000000001</v>
      </c>
      <c r="CA101" s="3">
        <v>0.10050000000000001</v>
      </c>
      <c r="CB101" s="3">
        <v>0</v>
      </c>
      <c r="CC101" s="3">
        <v>0.39500000000000002</v>
      </c>
      <c r="CD101" s="3">
        <v>0.52133333299999995</v>
      </c>
      <c r="CE101" s="3">
        <v>0</v>
      </c>
      <c r="CF101" s="3">
        <v>0.30199999999999999</v>
      </c>
      <c r="CG101" s="3">
        <v>0.72799999999999998</v>
      </c>
      <c r="CH101" s="3">
        <v>0</v>
      </c>
      <c r="CI101" s="3">
        <v>0.3</v>
      </c>
      <c r="CJ101" s="3">
        <v>0.37633333299999999</v>
      </c>
      <c r="CK101" s="3">
        <v>0</v>
      </c>
      <c r="CL101" s="3">
        <v>0.248</v>
      </c>
      <c r="CM101" s="3">
        <v>0.1</v>
      </c>
      <c r="CN101" s="3">
        <v>0</v>
      </c>
      <c r="CO101" s="3">
        <v>0.24099999999999999</v>
      </c>
      <c r="CP101" s="3">
        <v>0.441</v>
      </c>
      <c r="CQ101" s="3">
        <v>0</v>
      </c>
      <c r="CR101" s="3">
        <v>0.182</v>
      </c>
      <c r="CS101" s="3">
        <v>0.35099999999999998</v>
      </c>
      <c r="CT101" s="48" t="s">
        <v>313</v>
      </c>
      <c r="CU101" s="49" t="s">
        <v>326</v>
      </c>
      <c r="CV101" s="3">
        <v>15.861000000000001</v>
      </c>
      <c r="CW101" s="3">
        <v>13.916</v>
      </c>
      <c r="CX101" s="3">
        <v>11.648</v>
      </c>
      <c r="CY101" s="3">
        <v>8.0180000000000007</v>
      </c>
      <c r="CZ101" s="3">
        <v>15.587999999999999</v>
      </c>
      <c r="DA101" s="3">
        <v>11.474</v>
      </c>
      <c r="DB101" s="3">
        <v>7.7039999999999997</v>
      </c>
      <c r="DC101" s="3">
        <v>15.859</v>
      </c>
      <c r="DD101" s="3">
        <v>15.581</v>
      </c>
      <c r="DE101" s="3">
        <v>15.573</v>
      </c>
      <c r="DF101" s="3">
        <v>15.239000000000001</v>
      </c>
      <c r="DG101" s="3">
        <v>11.105</v>
      </c>
      <c r="DH101" s="3">
        <v>13.901999999999999</v>
      </c>
    </row>
    <row r="102" spans="1:112" x14ac:dyDescent="0.3">
      <c r="A102" s="48" t="s">
        <v>313</v>
      </c>
      <c r="B102" s="49" t="s">
        <v>327</v>
      </c>
      <c r="C102" s="3">
        <v>26.4892</v>
      </c>
      <c r="D102" s="3">
        <v>25.79879</v>
      </c>
      <c r="E102" s="3">
        <v>25.79879</v>
      </c>
      <c r="F102" s="3">
        <v>43.102387069999999</v>
      </c>
      <c r="G102" s="3">
        <v>37.457290669999999</v>
      </c>
      <c r="H102" s="3">
        <v>25.79879</v>
      </c>
      <c r="I102" s="48" t="s">
        <v>313</v>
      </c>
      <c r="J102" s="49" t="s">
        <v>327</v>
      </c>
      <c r="K102" s="3">
        <v>24048.5</v>
      </c>
      <c r="L102" s="48" t="s">
        <v>313</v>
      </c>
      <c r="M102" s="49" t="s">
        <v>327</v>
      </c>
      <c r="N102" s="3">
        <v>255.04786490000001</v>
      </c>
      <c r="O102" s="3">
        <v>541.39505020000001</v>
      </c>
      <c r="P102" s="3">
        <v>79.831888520000007</v>
      </c>
      <c r="Q102" s="3">
        <v>110.0166402</v>
      </c>
      <c r="R102" s="3">
        <v>342.86418329999998</v>
      </c>
      <c r="S102" s="3">
        <v>403.76083</v>
      </c>
      <c r="T102" s="3">
        <v>172.93368910000001</v>
      </c>
      <c r="U102" s="3">
        <v>400.97037039999998</v>
      </c>
      <c r="V102" s="3">
        <v>409.46786559999998</v>
      </c>
      <c r="W102" s="3">
        <v>216.74954589999999</v>
      </c>
      <c r="X102" s="3">
        <v>226.28865160000001</v>
      </c>
      <c r="Y102" s="3">
        <v>45.90526594</v>
      </c>
      <c r="Z102" s="3">
        <v>102.9665366</v>
      </c>
      <c r="AA102" s="48" t="s">
        <v>313</v>
      </c>
      <c r="AB102" s="49" t="s">
        <v>327</v>
      </c>
      <c r="AC102" s="3">
        <v>243.99761989999999</v>
      </c>
      <c r="AD102" s="3">
        <v>231.70335259999999</v>
      </c>
      <c r="AE102" s="3">
        <v>143.0723175</v>
      </c>
      <c r="AF102" s="3">
        <v>54.327000679999998</v>
      </c>
      <c r="AG102" s="3">
        <v>441.41751599999998</v>
      </c>
      <c r="AH102" s="3">
        <v>320.95365909999998</v>
      </c>
      <c r="AI102" s="3">
        <v>370.74170930000002</v>
      </c>
      <c r="AJ102" s="3">
        <v>268.61963250000002</v>
      </c>
      <c r="AK102" s="3">
        <v>130.0530894</v>
      </c>
      <c r="AL102" s="3">
        <v>198.25810989999999</v>
      </c>
      <c r="AM102" s="3">
        <v>349.43422179999999</v>
      </c>
      <c r="AN102" s="3">
        <v>42.615753290000001</v>
      </c>
      <c r="AO102" s="3">
        <v>143.49502229999999</v>
      </c>
      <c r="AP102" s="48" t="s">
        <v>313</v>
      </c>
      <c r="AQ102" s="49" t="s">
        <v>327</v>
      </c>
      <c r="AR102" s="3">
        <v>503.14626320000002</v>
      </c>
      <c r="AS102" s="3">
        <v>1096.9431199999999</v>
      </c>
      <c r="AT102" s="3">
        <v>864.94358079999995</v>
      </c>
      <c r="AU102" s="3">
        <v>834.79316310000002</v>
      </c>
      <c r="AV102" s="3">
        <v>164.86933160000001</v>
      </c>
      <c r="AW102" s="3">
        <v>1361.121322</v>
      </c>
      <c r="AX102" s="3">
        <v>751.0282416</v>
      </c>
      <c r="AY102" s="3">
        <v>947.71176519999995</v>
      </c>
      <c r="AZ102" s="3">
        <v>432.53825560000001</v>
      </c>
      <c r="BA102" s="3">
        <v>261.6907228</v>
      </c>
      <c r="BB102" s="3">
        <v>550.11850919999995</v>
      </c>
      <c r="BC102" s="3">
        <v>139.17649119999999</v>
      </c>
      <c r="BD102" s="3">
        <v>966.44494799999995</v>
      </c>
      <c r="BE102" s="48" t="s">
        <v>313</v>
      </c>
      <c r="BF102" s="49" t="s">
        <v>327</v>
      </c>
      <c r="BG102" s="3">
        <v>0</v>
      </c>
      <c r="BH102" s="3">
        <v>0.13700000000000001</v>
      </c>
      <c r="BI102" s="3">
        <v>0.44400000000000001</v>
      </c>
      <c r="BJ102" s="3">
        <v>0</v>
      </c>
      <c r="BK102" s="3">
        <v>0.11799999999999999</v>
      </c>
      <c r="BL102" s="3">
        <v>0.1065</v>
      </c>
      <c r="BM102" s="3">
        <v>0</v>
      </c>
      <c r="BN102" s="3">
        <v>0.22500000000000001</v>
      </c>
      <c r="BO102" s="3">
        <v>0.14149999999999999</v>
      </c>
      <c r="BP102" s="3">
        <v>0</v>
      </c>
      <c r="BQ102" s="3">
        <v>0.25700000000000001</v>
      </c>
      <c r="BR102" s="3">
        <v>0.453333333</v>
      </c>
      <c r="BS102" s="3">
        <v>0</v>
      </c>
      <c r="BT102" s="3">
        <v>0.252</v>
      </c>
      <c r="BU102" s="3">
        <v>0.485666667</v>
      </c>
      <c r="BV102" s="3">
        <v>0</v>
      </c>
      <c r="BW102" s="3">
        <v>0.26100000000000001</v>
      </c>
      <c r="BX102" s="3">
        <v>0.53700000000000003</v>
      </c>
      <c r="BY102" s="3">
        <v>0</v>
      </c>
      <c r="BZ102" s="3">
        <v>0.217</v>
      </c>
      <c r="CA102" s="3">
        <v>0.1085</v>
      </c>
      <c r="CB102" s="3">
        <v>0</v>
      </c>
      <c r="CC102" s="3">
        <v>0.39</v>
      </c>
      <c r="CD102" s="3">
        <v>0.52733333299999996</v>
      </c>
      <c r="CE102" s="3">
        <v>0</v>
      </c>
      <c r="CF102" s="3">
        <v>0.26500000000000001</v>
      </c>
      <c r="CG102" s="3">
        <v>0.70050000000000001</v>
      </c>
      <c r="CH102" s="3">
        <v>0</v>
      </c>
      <c r="CI102" s="3">
        <v>0.26400000000000001</v>
      </c>
      <c r="CJ102" s="3">
        <v>0.31966666700000002</v>
      </c>
      <c r="CK102" s="3">
        <v>0</v>
      </c>
      <c r="CL102" s="3">
        <v>0.20799999999999999</v>
      </c>
      <c r="CM102" s="3">
        <v>0.1</v>
      </c>
      <c r="CN102" s="3">
        <v>0</v>
      </c>
      <c r="CO102" s="3">
        <v>0.26400000000000001</v>
      </c>
      <c r="CP102" s="3">
        <v>0.447333333</v>
      </c>
      <c r="CQ102" s="3">
        <v>0</v>
      </c>
      <c r="CR102" s="3">
        <v>0.22700000000000001</v>
      </c>
      <c r="CS102" s="3">
        <v>0.48299999999999998</v>
      </c>
      <c r="CT102" s="48" t="s">
        <v>313</v>
      </c>
      <c r="CU102" s="49" t="s">
        <v>327</v>
      </c>
      <c r="CV102" s="3">
        <v>15.693</v>
      </c>
      <c r="CW102" s="3">
        <v>13.545999999999999</v>
      </c>
      <c r="CX102" s="3">
        <v>11.305</v>
      </c>
      <c r="CY102" s="3">
        <v>7.6150000000000002</v>
      </c>
      <c r="CZ102" s="3">
        <v>15.385</v>
      </c>
      <c r="DA102" s="3">
        <v>11.284000000000001</v>
      </c>
      <c r="DB102" s="3">
        <v>7.4539999999999997</v>
      </c>
      <c r="DC102" s="3">
        <v>15.792999999999999</v>
      </c>
      <c r="DD102" s="3">
        <v>15.445</v>
      </c>
      <c r="DE102" s="3">
        <v>15.435</v>
      </c>
      <c r="DF102" s="3">
        <v>14.936</v>
      </c>
      <c r="DG102" s="3">
        <v>10.817</v>
      </c>
      <c r="DH102" s="3">
        <v>13.464</v>
      </c>
    </row>
    <row r="103" spans="1:112" x14ac:dyDescent="0.3">
      <c r="A103" s="48" t="s">
        <v>313</v>
      </c>
      <c r="B103" s="49" t="s">
        <v>328</v>
      </c>
      <c r="C103" s="3">
        <v>26.4892</v>
      </c>
      <c r="D103" s="3">
        <v>31.646139999999999</v>
      </c>
      <c r="E103" s="3">
        <v>31.646139999999999</v>
      </c>
      <c r="F103" s="3">
        <v>43.226066799999998</v>
      </c>
      <c r="G103" s="3">
        <v>36.653372400000002</v>
      </c>
      <c r="H103" s="3">
        <v>31.646139999999999</v>
      </c>
      <c r="I103" s="48" t="s">
        <v>313</v>
      </c>
      <c r="J103" s="49" t="s">
        <v>328</v>
      </c>
      <c r="K103" s="3">
        <v>24461</v>
      </c>
      <c r="L103" s="48" t="s">
        <v>313</v>
      </c>
      <c r="M103" s="49" t="s">
        <v>328</v>
      </c>
      <c r="N103" s="3">
        <v>102.6075591</v>
      </c>
      <c r="O103" s="3">
        <v>180.0511999</v>
      </c>
      <c r="P103" s="3">
        <v>212.40853509999999</v>
      </c>
      <c r="Q103" s="3">
        <v>86.724683729999995</v>
      </c>
      <c r="R103" s="3">
        <v>175.94123880000001</v>
      </c>
      <c r="S103" s="3">
        <v>180.36393279999999</v>
      </c>
      <c r="T103" s="3">
        <v>337.3676658</v>
      </c>
      <c r="U103" s="3">
        <v>392.26077950000001</v>
      </c>
      <c r="V103" s="3">
        <v>261.60243750000001</v>
      </c>
      <c r="W103" s="3">
        <v>118.82122769999999</v>
      </c>
      <c r="X103" s="3">
        <v>124.5329164</v>
      </c>
      <c r="Y103" s="3">
        <v>68.873427160000006</v>
      </c>
      <c r="Z103" s="3">
        <v>114.99931599999999</v>
      </c>
      <c r="AA103" s="48" t="s">
        <v>313</v>
      </c>
      <c r="AB103" s="49" t="s">
        <v>328</v>
      </c>
      <c r="AC103" s="3">
        <v>336.87413329999998</v>
      </c>
      <c r="AD103" s="3">
        <v>319.9001126</v>
      </c>
      <c r="AE103" s="3">
        <v>197.53210290000001</v>
      </c>
      <c r="AF103" s="3">
        <v>74.870824459999994</v>
      </c>
      <c r="AG103" s="3">
        <v>609.44095749999997</v>
      </c>
      <c r="AH103" s="3">
        <v>443.12311640000001</v>
      </c>
      <c r="AI103" s="3">
        <v>510.938154</v>
      </c>
      <c r="AJ103" s="3">
        <v>370.86839579999997</v>
      </c>
      <c r="AK103" s="3">
        <v>179.55716849999999</v>
      </c>
      <c r="AL103" s="3">
        <v>273.72410009999999</v>
      </c>
      <c r="AM103" s="3">
        <v>481.5732132</v>
      </c>
      <c r="AN103" s="3">
        <v>58.837233580000003</v>
      </c>
      <c r="AO103" s="3">
        <v>198.1157082</v>
      </c>
      <c r="AP103" s="48" t="s">
        <v>313</v>
      </c>
      <c r="AQ103" s="49" t="s">
        <v>328</v>
      </c>
      <c r="AR103" s="3">
        <v>589.35952740000005</v>
      </c>
      <c r="AS103" s="3">
        <v>1284.9024750000001</v>
      </c>
      <c r="AT103" s="3">
        <v>1013.150206</v>
      </c>
      <c r="AU103" s="3">
        <v>958.46622430000002</v>
      </c>
      <c r="AV103" s="3">
        <v>193.1194137</v>
      </c>
      <c r="AW103" s="3">
        <v>1594.3471669999999</v>
      </c>
      <c r="AX103" s="3">
        <v>862.29168479999998</v>
      </c>
      <c r="AY103" s="3">
        <v>1110.1005789999999</v>
      </c>
      <c r="AZ103" s="3">
        <v>506.6529567</v>
      </c>
      <c r="BA103" s="3">
        <v>306.5309871</v>
      </c>
      <c r="BB103" s="3">
        <v>631.61754759999997</v>
      </c>
      <c r="BC103" s="3">
        <v>163.0241484</v>
      </c>
      <c r="BD103" s="3">
        <v>1132.0436609999999</v>
      </c>
      <c r="BE103" s="48" t="s">
        <v>313</v>
      </c>
      <c r="BF103" s="49" t="s">
        <v>328</v>
      </c>
      <c r="BG103" s="3">
        <v>7.0000000000000001E-3</v>
      </c>
      <c r="BH103" s="3">
        <v>0.13400000000000001</v>
      </c>
      <c r="BI103" s="3">
        <v>0.42499999999999999</v>
      </c>
      <c r="BJ103" s="3">
        <v>2E-3</v>
      </c>
      <c r="BK103" s="3">
        <v>0.17100000000000001</v>
      </c>
      <c r="BL103" s="3">
        <v>8.4500000000000006E-2</v>
      </c>
      <c r="BM103" s="3">
        <v>5.0000000000000001E-3</v>
      </c>
      <c r="BN103" s="3">
        <v>0.20200000000000001</v>
      </c>
      <c r="BO103" s="3">
        <v>0.14899999999999999</v>
      </c>
      <c r="BP103" s="3">
        <v>1.4E-2</v>
      </c>
      <c r="BQ103" s="3">
        <v>0.22700000000000001</v>
      </c>
      <c r="BR103" s="3">
        <v>0.46233333300000001</v>
      </c>
      <c r="BS103" s="3">
        <v>8.0000000000000002E-3</v>
      </c>
      <c r="BT103" s="3">
        <v>0.223</v>
      </c>
      <c r="BU103" s="3">
        <v>0.47283333399999999</v>
      </c>
      <c r="BV103" s="3">
        <v>6.0000000000000001E-3</v>
      </c>
      <c r="BW103" s="3">
        <v>0.27700000000000002</v>
      </c>
      <c r="BX103" s="3">
        <v>0.52600000000000002</v>
      </c>
      <c r="BY103" s="3">
        <v>6.0000000000000001E-3</v>
      </c>
      <c r="BZ103" s="3">
        <v>0.223</v>
      </c>
      <c r="CA103" s="3">
        <v>0.11849999999999999</v>
      </c>
      <c r="CB103" s="3">
        <v>8.0000000000000002E-3</v>
      </c>
      <c r="CC103" s="3">
        <v>0.35299999999999998</v>
      </c>
      <c r="CD103" s="3">
        <v>0.52066666699999997</v>
      </c>
      <c r="CE103" s="3">
        <v>5.0000000000000001E-3</v>
      </c>
      <c r="CF103" s="3">
        <v>0.223</v>
      </c>
      <c r="CG103" s="3">
        <v>0.62949999999999995</v>
      </c>
      <c r="CH103" s="3">
        <v>5.0000000000000001E-3</v>
      </c>
      <c r="CI103" s="3">
        <v>0.221</v>
      </c>
      <c r="CJ103" s="3">
        <v>0.27233333300000001</v>
      </c>
      <c r="CK103" s="3">
        <v>2E-3</v>
      </c>
      <c r="CL103" s="3">
        <v>0.16600000000000001</v>
      </c>
      <c r="CM103" s="3">
        <v>0.1</v>
      </c>
      <c r="CN103" s="3">
        <v>1E-3</v>
      </c>
      <c r="CO103" s="3">
        <v>0.25700000000000001</v>
      </c>
      <c r="CP103" s="3">
        <v>0.436</v>
      </c>
      <c r="CQ103" s="3">
        <v>1E-3</v>
      </c>
      <c r="CR103" s="3">
        <v>0.26400000000000001</v>
      </c>
      <c r="CS103" s="3">
        <v>0.57899999999999996</v>
      </c>
      <c r="CT103" s="48" t="s">
        <v>313</v>
      </c>
      <c r="CU103" s="49" t="s">
        <v>328</v>
      </c>
      <c r="CV103" s="3">
        <v>15.757999999999999</v>
      </c>
      <c r="CW103" s="3">
        <v>13.087999999999999</v>
      </c>
      <c r="CX103" s="3">
        <v>11.015000000000001</v>
      </c>
      <c r="CY103" s="3">
        <v>7.7439999999999998</v>
      </c>
      <c r="CZ103" s="3">
        <v>15.455</v>
      </c>
      <c r="DA103" s="3">
        <v>11.207000000000001</v>
      </c>
      <c r="DB103" s="3">
        <v>7.3860000000000001</v>
      </c>
      <c r="DC103" s="3">
        <v>15.866</v>
      </c>
      <c r="DD103" s="3">
        <v>15.396000000000001</v>
      </c>
      <c r="DE103" s="3">
        <v>15.382</v>
      </c>
      <c r="DF103" s="3">
        <v>14.702999999999999</v>
      </c>
      <c r="DG103" s="3">
        <v>10.654</v>
      </c>
      <c r="DH103" s="3">
        <v>12.843</v>
      </c>
    </row>
    <row r="104" spans="1:112" x14ac:dyDescent="0.3">
      <c r="A104" s="48" t="s">
        <v>313</v>
      </c>
      <c r="B104" s="49" t="s">
        <v>329</v>
      </c>
      <c r="C104" s="3">
        <v>26.947125</v>
      </c>
      <c r="D104" s="3">
        <v>37.549849999999999</v>
      </c>
      <c r="E104" s="3">
        <v>39.325189999999999</v>
      </c>
      <c r="F104" s="3">
        <v>43.932808129999998</v>
      </c>
      <c r="G104" s="3">
        <v>43.932808129999998</v>
      </c>
      <c r="H104" s="3">
        <v>37.91619</v>
      </c>
      <c r="I104" s="48" t="s">
        <v>313</v>
      </c>
      <c r="J104" s="49" t="s">
        <v>329</v>
      </c>
      <c r="K104" s="3">
        <v>27503</v>
      </c>
      <c r="L104" s="48" t="s">
        <v>313</v>
      </c>
      <c r="M104" s="49" t="s">
        <v>329</v>
      </c>
      <c r="N104" s="3">
        <v>67.327530769999996</v>
      </c>
      <c r="O104" s="3">
        <v>264.50978900000001</v>
      </c>
      <c r="P104" s="3">
        <v>344.9851817</v>
      </c>
      <c r="Q104" s="3">
        <v>101.5652556</v>
      </c>
      <c r="R104" s="3">
        <v>81.386115779999997</v>
      </c>
      <c r="S104" s="3">
        <v>84.497417659999996</v>
      </c>
      <c r="T104" s="3">
        <v>501.80164250000001</v>
      </c>
      <c r="U104" s="3">
        <v>937.08539280000002</v>
      </c>
      <c r="V104" s="3">
        <v>615.94794769999999</v>
      </c>
      <c r="W104" s="3">
        <v>107.1635766</v>
      </c>
      <c r="X104" s="3">
        <v>70.369741210000001</v>
      </c>
      <c r="Y104" s="3">
        <v>62.778423029999999</v>
      </c>
      <c r="Z104" s="3">
        <v>79.0207391</v>
      </c>
      <c r="AA104" s="48" t="s">
        <v>313</v>
      </c>
      <c r="AB104" s="49" t="s">
        <v>329</v>
      </c>
      <c r="AC104" s="3">
        <v>411.6475974</v>
      </c>
      <c r="AD104" s="3">
        <v>390.90597880000001</v>
      </c>
      <c r="AE104" s="3">
        <v>241.37684530000001</v>
      </c>
      <c r="AF104" s="3">
        <v>87.805824630000004</v>
      </c>
      <c r="AG104" s="3">
        <v>744.71406730000001</v>
      </c>
      <c r="AH104" s="3">
        <v>541.47988290000001</v>
      </c>
      <c r="AI104" s="3">
        <v>599.20998950000001</v>
      </c>
      <c r="AJ104" s="3">
        <v>453.18731539999999</v>
      </c>
      <c r="AK104" s="3">
        <v>219.4121475</v>
      </c>
      <c r="AL104" s="3">
        <v>334.48061769999998</v>
      </c>
      <c r="AM104" s="3">
        <v>564.77183739999998</v>
      </c>
      <c r="AN104" s="3">
        <v>71.896899910000002</v>
      </c>
      <c r="AO104" s="3">
        <v>242.08998919999999</v>
      </c>
      <c r="AP104" s="48" t="s">
        <v>313</v>
      </c>
      <c r="AQ104" s="49" t="s">
        <v>329</v>
      </c>
      <c r="AR104" s="3">
        <v>725.03941859999998</v>
      </c>
      <c r="AS104" s="3">
        <v>1580.7073620000001</v>
      </c>
      <c r="AT104" s="3">
        <v>1246.3934180000001</v>
      </c>
      <c r="AU104" s="3">
        <v>1105.9225670000001</v>
      </c>
      <c r="AV104" s="3">
        <v>237.57855929999999</v>
      </c>
      <c r="AW104" s="3">
        <v>1961.3911189999999</v>
      </c>
      <c r="AX104" s="3">
        <v>994.95194400000003</v>
      </c>
      <c r="AY104" s="3">
        <v>1365.6633019999999</v>
      </c>
      <c r="AZ104" s="3">
        <v>623.29248629999995</v>
      </c>
      <c r="BA104" s="3">
        <v>377.09927190000002</v>
      </c>
      <c r="BB104" s="3">
        <v>728.78947800000003</v>
      </c>
      <c r="BC104" s="3">
        <v>200.5548876</v>
      </c>
      <c r="BD104" s="3">
        <v>1392.6580289999999</v>
      </c>
      <c r="BE104" s="48" t="s">
        <v>313</v>
      </c>
      <c r="BF104" s="49" t="s">
        <v>329</v>
      </c>
      <c r="BG104" s="3">
        <v>4.9000000000000002E-2</v>
      </c>
      <c r="BH104" s="3">
        <v>0.113</v>
      </c>
      <c r="BI104" s="3">
        <v>0.35949999999999999</v>
      </c>
      <c r="BJ104" s="3">
        <v>2.5000000000000001E-2</v>
      </c>
      <c r="BK104" s="3">
        <v>0.219</v>
      </c>
      <c r="BL104" s="3">
        <v>7.0000000000000007E-2</v>
      </c>
      <c r="BM104" s="3">
        <v>3.7999999999999999E-2</v>
      </c>
      <c r="BN104" s="3">
        <v>0.16800000000000001</v>
      </c>
      <c r="BO104" s="3">
        <v>0.14249999999999999</v>
      </c>
      <c r="BP104" s="3">
        <v>4.3999999999999997E-2</v>
      </c>
      <c r="BQ104" s="3">
        <v>0.19</v>
      </c>
      <c r="BR104" s="3">
        <v>0.41066666699999999</v>
      </c>
      <c r="BS104" s="3">
        <v>5.2999999999999999E-2</v>
      </c>
      <c r="BT104" s="3">
        <v>0.16200000000000001</v>
      </c>
      <c r="BU104" s="3">
        <v>0.43275000000000002</v>
      </c>
      <c r="BV104" s="3">
        <v>0.05</v>
      </c>
      <c r="BW104" s="3">
        <v>0.24</v>
      </c>
      <c r="BX104" s="3">
        <v>0.44400000000000001</v>
      </c>
      <c r="BY104" s="3">
        <v>4.2999999999999997E-2</v>
      </c>
      <c r="BZ104" s="3">
        <v>0.221</v>
      </c>
      <c r="CA104" s="3">
        <v>0.13400000000000001</v>
      </c>
      <c r="CB104" s="3">
        <v>5.2999999999999999E-2</v>
      </c>
      <c r="CC104" s="3">
        <v>0.27800000000000002</v>
      </c>
      <c r="CD104" s="3">
        <v>0.50600000000000001</v>
      </c>
      <c r="CE104" s="3">
        <v>4.9000000000000002E-2</v>
      </c>
      <c r="CF104" s="3">
        <v>0.14599999999999999</v>
      </c>
      <c r="CG104" s="3">
        <v>0.52449999999999997</v>
      </c>
      <c r="CH104" s="3">
        <v>4.9000000000000002E-2</v>
      </c>
      <c r="CI104" s="3">
        <v>0.14399999999999999</v>
      </c>
      <c r="CJ104" s="3">
        <v>0.232333333</v>
      </c>
      <c r="CK104" s="3">
        <v>4.4999999999999998E-2</v>
      </c>
      <c r="CL104" s="3">
        <v>0.105</v>
      </c>
      <c r="CM104" s="3">
        <v>0.1</v>
      </c>
      <c r="CN104" s="3">
        <v>0.03</v>
      </c>
      <c r="CO104" s="3">
        <v>0.214</v>
      </c>
      <c r="CP104" s="3">
        <v>0.39433333300000001</v>
      </c>
      <c r="CQ104" s="3">
        <v>3.1E-2</v>
      </c>
      <c r="CR104" s="3">
        <v>0.27400000000000002</v>
      </c>
      <c r="CS104" s="3">
        <v>0.59899999999999998</v>
      </c>
      <c r="CT104" s="48" t="s">
        <v>313</v>
      </c>
      <c r="CU104" s="49" t="s">
        <v>329</v>
      </c>
      <c r="CV104" s="3">
        <v>16.332999999999998</v>
      </c>
      <c r="CW104" s="3">
        <v>12.893000000000001</v>
      </c>
      <c r="CX104" s="3">
        <v>11.176</v>
      </c>
      <c r="CY104" s="3">
        <v>8.6809999999999992</v>
      </c>
      <c r="CZ104" s="3">
        <v>16.091999999999999</v>
      </c>
      <c r="DA104" s="3">
        <v>11.654999999999999</v>
      </c>
      <c r="DB104" s="3">
        <v>7.5439999999999996</v>
      </c>
      <c r="DC104" s="3">
        <v>16.317</v>
      </c>
      <c r="DD104" s="3">
        <v>16.027000000000001</v>
      </c>
      <c r="DE104" s="3">
        <v>16.013999999999999</v>
      </c>
      <c r="DF104" s="3">
        <v>15.6</v>
      </c>
      <c r="DG104" s="3">
        <v>11.019</v>
      </c>
      <c r="DH104" s="3">
        <v>12.532</v>
      </c>
    </row>
    <row r="105" spans="1:112" x14ac:dyDescent="0.3">
      <c r="A105" s="48" t="s">
        <v>313</v>
      </c>
      <c r="B105" s="49" t="s">
        <v>330</v>
      </c>
      <c r="C105" s="3">
        <v>28.025010000000002</v>
      </c>
      <c r="D105" s="3">
        <v>38.050044999999997</v>
      </c>
      <c r="E105" s="3">
        <v>38.050044999999997</v>
      </c>
      <c r="F105" s="3">
        <v>44.922246000000001</v>
      </c>
      <c r="G105" s="3">
        <v>44.922246000000001</v>
      </c>
      <c r="H105" s="3">
        <v>38.050044999999997</v>
      </c>
      <c r="I105" s="48" t="s">
        <v>313</v>
      </c>
      <c r="J105" s="49" t="s">
        <v>330</v>
      </c>
      <c r="K105" s="3">
        <v>32788.5</v>
      </c>
      <c r="L105" s="48" t="s">
        <v>313</v>
      </c>
      <c r="M105" s="49" t="s">
        <v>330</v>
      </c>
      <c r="N105" s="3">
        <v>57.669844509999997</v>
      </c>
      <c r="O105" s="3">
        <v>72.841096519999994</v>
      </c>
      <c r="P105" s="3">
        <v>287.17464719999998</v>
      </c>
      <c r="Q105" s="3">
        <v>261.91907379999998</v>
      </c>
      <c r="R105" s="3">
        <v>252.055217</v>
      </c>
      <c r="S105" s="3">
        <v>961.14492099999995</v>
      </c>
      <c r="T105" s="3">
        <v>1303.1182699999999</v>
      </c>
      <c r="U105" s="3">
        <v>1929.196635</v>
      </c>
      <c r="V105" s="3">
        <v>1422.701761</v>
      </c>
      <c r="W105" s="3">
        <v>65.761427670000003</v>
      </c>
      <c r="X105" s="3">
        <v>604.67208500000004</v>
      </c>
      <c r="Y105" s="3">
        <v>90.70883954</v>
      </c>
      <c r="Z105" s="3">
        <v>267.38066300000003</v>
      </c>
      <c r="AA105" s="48" t="s">
        <v>313</v>
      </c>
      <c r="AB105" s="49" t="s">
        <v>330</v>
      </c>
      <c r="AC105" s="3">
        <v>660.36775190000003</v>
      </c>
      <c r="AD105" s="3">
        <v>627.09391240000002</v>
      </c>
      <c r="AE105" s="3">
        <v>387.21830449999999</v>
      </c>
      <c r="AF105" s="3">
        <v>117.3280603</v>
      </c>
      <c r="AG105" s="3">
        <v>1194.675148</v>
      </c>
      <c r="AH105" s="3">
        <v>868.64554820000001</v>
      </c>
      <c r="AI105" s="3">
        <v>800.67747299999996</v>
      </c>
      <c r="AJ105" s="3">
        <v>727.00603750000005</v>
      </c>
      <c r="AK105" s="3">
        <v>351.98239339999998</v>
      </c>
      <c r="AL105" s="3">
        <v>536.57598140000005</v>
      </c>
      <c r="AM105" s="3">
        <v>754.66046219999998</v>
      </c>
      <c r="AN105" s="3">
        <v>115.3374742</v>
      </c>
      <c r="AO105" s="3">
        <v>388.36233449999997</v>
      </c>
      <c r="AP105" s="48" t="s">
        <v>313</v>
      </c>
      <c r="AQ105" s="49" t="s">
        <v>330</v>
      </c>
      <c r="AR105" s="3">
        <v>890.39928599999996</v>
      </c>
      <c r="AS105" s="3">
        <v>1941.2195670000001</v>
      </c>
      <c r="AT105" s="3">
        <v>1530.658584</v>
      </c>
      <c r="AU105" s="3">
        <v>1277.16219</v>
      </c>
      <c r="AV105" s="3">
        <v>291.76314300000001</v>
      </c>
      <c r="AW105" s="3">
        <v>2408.7259349999999</v>
      </c>
      <c r="AX105" s="3">
        <v>1149.0090190000001</v>
      </c>
      <c r="AY105" s="3">
        <v>1677.130371</v>
      </c>
      <c r="AZ105" s="3">
        <v>765.446913</v>
      </c>
      <c r="BA105" s="3">
        <v>463.10436900000002</v>
      </c>
      <c r="BB105" s="3">
        <v>841.63430040000003</v>
      </c>
      <c r="BC105" s="3">
        <v>246.29547600000001</v>
      </c>
      <c r="BD105" s="3">
        <v>1710.28179</v>
      </c>
      <c r="BE105" s="48" t="s">
        <v>313</v>
      </c>
      <c r="BF105" s="49" t="s">
        <v>330</v>
      </c>
      <c r="BG105" s="3">
        <v>0.123</v>
      </c>
      <c r="BH105" s="3">
        <v>0.112</v>
      </c>
      <c r="BI105" s="3">
        <v>0.3</v>
      </c>
      <c r="BJ105" s="3">
        <v>6.3E-2</v>
      </c>
      <c r="BK105" s="3">
        <v>0.24199999999999999</v>
      </c>
      <c r="BL105" s="3">
        <v>4.9000000000000002E-2</v>
      </c>
      <c r="BM105" s="3">
        <v>0.11</v>
      </c>
      <c r="BN105" s="3">
        <v>0.16500000000000001</v>
      </c>
      <c r="BO105" s="3">
        <v>0.16350000000000001</v>
      </c>
      <c r="BP105" s="3">
        <v>0.159</v>
      </c>
      <c r="BQ105" s="3">
        <v>0.221</v>
      </c>
      <c r="BR105" s="3">
        <v>0.41866666699999999</v>
      </c>
      <c r="BS105" s="3">
        <v>0.13900000000000001</v>
      </c>
      <c r="BT105" s="3">
        <v>0.154</v>
      </c>
      <c r="BU105" s="3">
        <v>0.39800000000000002</v>
      </c>
      <c r="BV105" s="3">
        <v>0.14699999999999999</v>
      </c>
      <c r="BW105" s="3">
        <v>0.253</v>
      </c>
      <c r="BX105" s="3">
        <v>0.42799999999999999</v>
      </c>
      <c r="BY105" s="3">
        <v>0.13400000000000001</v>
      </c>
      <c r="BZ105" s="3">
        <v>0.20100000000000001</v>
      </c>
      <c r="CA105" s="3">
        <v>0.14000000000000001</v>
      </c>
      <c r="CB105" s="3">
        <v>0.13800000000000001</v>
      </c>
      <c r="CC105" s="3">
        <v>0.248</v>
      </c>
      <c r="CD105" s="3">
        <v>0.496</v>
      </c>
      <c r="CE105" s="3">
        <v>0.13100000000000001</v>
      </c>
      <c r="CF105" s="3">
        <v>0.115</v>
      </c>
      <c r="CG105" s="3">
        <v>0.47199999999999998</v>
      </c>
      <c r="CH105" s="3">
        <v>0.13100000000000001</v>
      </c>
      <c r="CI105" s="3">
        <v>0.113</v>
      </c>
      <c r="CJ105" s="3">
        <v>0.213666667</v>
      </c>
      <c r="CK105" s="3">
        <v>0.122</v>
      </c>
      <c r="CL105" s="3">
        <v>6.7000000000000004E-2</v>
      </c>
      <c r="CM105" s="3">
        <v>0.1</v>
      </c>
      <c r="CN105" s="3">
        <v>9.1999999999999998E-2</v>
      </c>
      <c r="CO105" s="3">
        <v>0.22500000000000001</v>
      </c>
      <c r="CP105" s="3">
        <v>0.35266666699999999</v>
      </c>
      <c r="CQ105" s="3">
        <v>0.10100000000000001</v>
      </c>
      <c r="CR105" s="3">
        <v>0.27400000000000002</v>
      </c>
      <c r="CS105" s="3">
        <v>0.56599999999999995</v>
      </c>
      <c r="CT105" s="48" t="s">
        <v>313</v>
      </c>
      <c r="CU105" s="49" t="s">
        <v>330</v>
      </c>
      <c r="CV105" s="3">
        <v>17.07</v>
      </c>
      <c r="CW105" s="3">
        <v>12.977</v>
      </c>
      <c r="CX105" s="3">
        <v>12.113</v>
      </c>
      <c r="CY105" s="3">
        <v>10.185</v>
      </c>
      <c r="CZ105" s="3">
        <v>17.126999999999999</v>
      </c>
      <c r="DA105" s="3">
        <v>12.502000000000001</v>
      </c>
      <c r="DB105" s="3">
        <v>8.0009999999999994</v>
      </c>
      <c r="DC105" s="3">
        <v>17.074000000000002</v>
      </c>
      <c r="DD105" s="3">
        <v>16.971</v>
      </c>
      <c r="DE105" s="3">
        <v>16.952999999999999</v>
      </c>
      <c r="DF105" s="3">
        <v>16.331</v>
      </c>
      <c r="DG105" s="3">
        <v>11.736000000000001</v>
      </c>
      <c r="DH105" s="3">
        <v>12.647</v>
      </c>
    </row>
    <row r="106" spans="1:112" x14ac:dyDescent="0.3">
      <c r="A106" s="48" t="s">
        <v>313</v>
      </c>
      <c r="B106" s="49" t="s">
        <v>331</v>
      </c>
      <c r="C106" s="3">
        <v>38.740454999999997</v>
      </c>
      <c r="D106" s="3">
        <v>41.297789999999999</v>
      </c>
      <c r="E106" s="3">
        <v>41.297789999999999</v>
      </c>
      <c r="F106" s="3">
        <v>45.602484529999998</v>
      </c>
      <c r="G106" s="3">
        <v>45.602484529999998</v>
      </c>
      <c r="H106" s="3">
        <v>41.297789999999999</v>
      </c>
      <c r="I106" s="48" t="s">
        <v>313</v>
      </c>
      <c r="J106" s="49" t="s">
        <v>331</v>
      </c>
      <c r="K106" s="3">
        <v>35451</v>
      </c>
      <c r="L106" s="48" t="s">
        <v>313</v>
      </c>
      <c r="M106" s="49" t="s">
        <v>331</v>
      </c>
      <c r="N106" s="3">
        <v>1396.1577560000001</v>
      </c>
      <c r="O106" s="3">
        <v>1450.819393</v>
      </c>
      <c r="P106" s="3">
        <v>710.87908789999994</v>
      </c>
      <c r="Q106" s="3">
        <v>419.33731269999998</v>
      </c>
      <c r="R106" s="3">
        <v>1678.837102</v>
      </c>
      <c r="S106" s="3">
        <v>1275.0354809999999</v>
      </c>
      <c r="T106" s="3">
        <v>1818.630435</v>
      </c>
      <c r="U106" s="3">
        <v>2275.2679520000002</v>
      </c>
      <c r="V106" s="3">
        <v>1698.9445089999999</v>
      </c>
      <c r="W106" s="3">
        <v>984.24577060000001</v>
      </c>
      <c r="X106" s="3">
        <v>1138.9744290000001</v>
      </c>
      <c r="Y106" s="3">
        <v>137.1185945</v>
      </c>
      <c r="Z106" s="3">
        <v>455.74058689999998</v>
      </c>
      <c r="AA106" s="48" t="s">
        <v>313</v>
      </c>
      <c r="AB106" s="49" t="s">
        <v>331</v>
      </c>
      <c r="AC106" s="3">
        <v>539.15603099999998</v>
      </c>
      <c r="AD106" s="3">
        <v>511.98966630000001</v>
      </c>
      <c r="AE106" s="3">
        <v>316.1436693</v>
      </c>
      <c r="AF106" s="3">
        <v>103.63217779999999</v>
      </c>
      <c r="AG106" s="3">
        <v>975.3903176</v>
      </c>
      <c r="AH106" s="3">
        <v>709.20405310000001</v>
      </c>
      <c r="AI106" s="3">
        <v>707.2131766</v>
      </c>
      <c r="AJ106" s="3">
        <v>593.56273620000002</v>
      </c>
      <c r="AK106" s="3">
        <v>287.3753749</v>
      </c>
      <c r="AL106" s="3">
        <v>438.08646870000001</v>
      </c>
      <c r="AM106" s="3">
        <v>666.56780119999996</v>
      </c>
      <c r="AN106" s="3">
        <v>94.167067759999995</v>
      </c>
      <c r="AO106" s="3">
        <v>317.07771050000002</v>
      </c>
      <c r="AP106" s="48" t="s">
        <v>313</v>
      </c>
      <c r="AQ106" s="49" t="s">
        <v>331</v>
      </c>
      <c r="AR106" s="3">
        <v>917.25259779999999</v>
      </c>
      <c r="AS106" s="3">
        <v>1999.7642840000001</v>
      </c>
      <c r="AT106" s="3">
        <v>1576.8213029999999</v>
      </c>
      <c r="AU106" s="3">
        <v>1353.268689</v>
      </c>
      <c r="AV106" s="3">
        <v>300.56234890000002</v>
      </c>
      <c r="AW106" s="3">
        <v>2481.37005</v>
      </c>
      <c r="AX106" s="3">
        <v>1217.47883</v>
      </c>
      <c r="AY106" s="3">
        <v>1727.710493</v>
      </c>
      <c r="AZ106" s="3">
        <v>788.53181989999996</v>
      </c>
      <c r="BA106" s="3">
        <v>477.07100869999999</v>
      </c>
      <c r="BB106" s="3">
        <v>891.78755479999995</v>
      </c>
      <c r="BC106" s="3">
        <v>253.72343480000001</v>
      </c>
      <c r="BD106" s="3">
        <v>1761.861717</v>
      </c>
      <c r="BE106" s="48" t="s">
        <v>313</v>
      </c>
      <c r="BF106" s="49" t="s">
        <v>331</v>
      </c>
      <c r="BG106" s="3">
        <v>0.23</v>
      </c>
      <c r="BH106" s="3">
        <v>0.154</v>
      </c>
      <c r="BI106" s="3">
        <v>0.26500000000000001</v>
      </c>
      <c r="BJ106" s="3">
        <v>0.13800000000000001</v>
      </c>
      <c r="BK106" s="3">
        <v>0.28299999999999997</v>
      </c>
      <c r="BL106" s="3">
        <v>9.1499999999999998E-2</v>
      </c>
      <c r="BM106" s="3">
        <v>0.23899999999999999</v>
      </c>
      <c r="BN106" s="3">
        <v>0.19400000000000001</v>
      </c>
      <c r="BO106" s="3">
        <v>0.218</v>
      </c>
      <c r="BP106" s="3">
        <v>0.32900000000000001</v>
      </c>
      <c r="BQ106" s="3">
        <v>0.23100000000000001</v>
      </c>
      <c r="BR106" s="3">
        <v>0.43133333299999999</v>
      </c>
      <c r="BS106" s="3">
        <v>0.248</v>
      </c>
      <c r="BT106" s="3">
        <v>0.16200000000000001</v>
      </c>
      <c r="BU106" s="3">
        <v>0.38783333399999997</v>
      </c>
      <c r="BV106" s="3">
        <v>0.316</v>
      </c>
      <c r="BW106" s="3">
        <v>0.29099999999999998</v>
      </c>
      <c r="BX106" s="3">
        <v>0.42499999999999999</v>
      </c>
      <c r="BY106" s="3">
        <v>0.27</v>
      </c>
      <c r="BZ106" s="3">
        <v>0.16900000000000001</v>
      </c>
      <c r="CA106" s="3">
        <v>0.13550000000000001</v>
      </c>
      <c r="CB106" s="3">
        <v>0.251</v>
      </c>
      <c r="CC106" s="3">
        <v>0.248</v>
      </c>
      <c r="CD106" s="3">
        <v>0.51066666699999996</v>
      </c>
      <c r="CE106" s="3">
        <v>0.23100000000000001</v>
      </c>
      <c r="CF106" s="3">
        <v>0.114</v>
      </c>
      <c r="CG106" s="3">
        <v>0.44750000000000001</v>
      </c>
      <c r="CH106" s="3">
        <v>0.23</v>
      </c>
      <c r="CI106" s="3">
        <v>0.113</v>
      </c>
      <c r="CJ106" s="3">
        <v>0.216</v>
      </c>
      <c r="CK106" s="3">
        <v>0.224</v>
      </c>
      <c r="CL106" s="3">
        <v>7.3999999999999996E-2</v>
      </c>
      <c r="CM106" s="3">
        <v>0.1</v>
      </c>
      <c r="CN106" s="3">
        <v>0.189</v>
      </c>
      <c r="CO106" s="3">
        <v>0.23300000000000001</v>
      </c>
      <c r="CP106" s="3">
        <v>0.30533333299999998</v>
      </c>
      <c r="CQ106" s="3">
        <v>0.23100000000000001</v>
      </c>
      <c r="CR106" s="3">
        <v>0.27600000000000002</v>
      </c>
      <c r="CS106" s="3">
        <v>0.54900000000000004</v>
      </c>
      <c r="CT106" s="48" t="s">
        <v>313</v>
      </c>
      <c r="CU106" s="49" t="s">
        <v>331</v>
      </c>
      <c r="CV106" s="3">
        <v>18.085000000000001</v>
      </c>
      <c r="CW106" s="3">
        <v>13.525</v>
      </c>
      <c r="CX106" s="3">
        <v>13.837</v>
      </c>
      <c r="CY106" s="3">
        <v>11.69</v>
      </c>
      <c r="CZ106" s="3">
        <v>18.456</v>
      </c>
      <c r="DA106" s="3">
        <v>13.438000000000001</v>
      </c>
      <c r="DB106" s="3">
        <v>8.84</v>
      </c>
      <c r="DC106" s="3">
        <v>18.148</v>
      </c>
      <c r="DD106" s="3">
        <v>18.106999999999999</v>
      </c>
      <c r="DE106" s="3">
        <v>18.076000000000001</v>
      </c>
      <c r="DF106" s="3">
        <v>17.023</v>
      </c>
      <c r="DG106" s="3">
        <v>12.685</v>
      </c>
      <c r="DH106" s="3">
        <v>13.336</v>
      </c>
    </row>
    <row r="107" spans="1:112" x14ac:dyDescent="0.3">
      <c r="A107" s="48" t="s">
        <v>313</v>
      </c>
      <c r="B107" s="49" t="s">
        <v>332</v>
      </c>
      <c r="C107" s="3">
        <v>43.777630000000002</v>
      </c>
      <c r="D107" s="3">
        <v>40.734189999999998</v>
      </c>
      <c r="E107" s="3">
        <v>40.734189999999998</v>
      </c>
      <c r="F107" s="3">
        <v>46.238551729999998</v>
      </c>
      <c r="G107" s="3">
        <v>46.238551729999998</v>
      </c>
      <c r="H107" s="3">
        <v>40.734189999999998</v>
      </c>
      <c r="I107" s="48" t="s">
        <v>313</v>
      </c>
      <c r="J107" s="49" t="s">
        <v>332</v>
      </c>
      <c r="K107" s="3">
        <v>35979.5</v>
      </c>
      <c r="L107" s="48" t="s">
        <v>313</v>
      </c>
      <c r="M107" s="49" t="s">
        <v>332</v>
      </c>
      <c r="N107" s="3">
        <v>1712.4039339999999</v>
      </c>
      <c r="O107" s="3">
        <v>1956.261886</v>
      </c>
      <c r="P107" s="3">
        <v>637.950107</v>
      </c>
      <c r="Q107" s="3">
        <v>765.54481129999999</v>
      </c>
      <c r="R107" s="3">
        <v>2323.5799270000002</v>
      </c>
      <c r="S107" s="3">
        <v>2139.3154789999999</v>
      </c>
      <c r="T107" s="3">
        <v>1606.932421</v>
      </c>
      <c r="U107" s="3">
        <v>1717.382425</v>
      </c>
      <c r="V107" s="3">
        <v>1253.5385060000001</v>
      </c>
      <c r="W107" s="3">
        <v>1403.2663259999999</v>
      </c>
      <c r="X107" s="3">
        <v>1671.3609610000001</v>
      </c>
      <c r="Y107" s="3">
        <v>183.5283494</v>
      </c>
      <c r="Z107" s="3">
        <v>842.4893644</v>
      </c>
      <c r="AA107" s="48" t="s">
        <v>313</v>
      </c>
      <c r="AB107" s="49" t="s">
        <v>332</v>
      </c>
      <c r="AC107" s="3">
        <v>432.11191389999999</v>
      </c>
      <c r="AD107" s="3">
        <v>410.33916319999997</v>
      </c>
      <c r="AE107" s="3">
        <v>253.37645910000001</v>
      </c>
      <c r="AF107" s="3">
        <v>90.849354079999998</v>
      </c>
      <c r="AG107" s="3">
        <v>781.73618150000004</v>
      </c>
      <c r="AH107" s="3">
        <v>568.3985768</v>
      </c>
      <c r="AI107" s="3">
        <v>619.97983320000003</v>
      </c>
      <c r="AJ107" s="3">
        <v>475.71670390000003</v>
      </c>
      <c r="AK107" s="3">
        <v>230.31982600000001</v>
      </c>
      <c r="AL107" s="3">
        <v>351.1087172</v>
      </c>
      <c r="AM107" s="3">
        <v>584.34798430000001</v>
      </c>
      <c r="AN107" s="3">
        <v>75.471124380000006</v>
      </c>
      <c r="AO107" s="3">
        <v>254.1250556</v>
      </c>
      <c r="AP107" s="48" t="s">
        <v>313</v>
      </c>
      <c r="AQ107" s="49" t="s">
        <v>332</v>
      </c>
      <c r="AR107" s="3">
        <v>815.49267940000004</v>
      </c>
      <c r="AS107" s="3">
        <v>1777.910619</v>
      </c>
      <c r="AT107" s="3">
        <v>1401.8888939999999</v>
      </c>
      <c r="AU107" s="3">
        <v>1319.972096</v>
      </c>
      <c r="AV107" s="3">
        <v>267.21798969999998</v>
      </c>
      <c r="AW107" s="3">
        <v>2206.0870869999999</v>
      </c>
      <c r="AX107" s="3">
        <v>1187.5232880000001</v>
      </c>
      <c r="AY107" s="3">
        <v>1536.0384509999999</v>
      </c>
      <c r="AZ107" s="3">
        <v>701.05217270000003</v>
      </c>
      <c r="BA107" s="3">
        <v>424.14479510000001</v>
      </c>
      <c r="BB107" s="3">
        <v>869.845506</v>
      </c>
      <c r="BC107" s="3">
        <v>225.5753804</v>
      </c>
      <c r="BD107" s="3">
        <v>1566.4009410000001</v>
      </c>
      <c r="BE107" s="48" t="s">
        <v>313</v>
      </c>
      <c r="BF107" s="49" t="s">
        <v>332</v>
      </c>
      <c r="BG107" s="3">
        <v>0.29899999999999999</v>
      </c>
      <c r="BH107" s="3">
        <v>0.21</v>
      </c>
      <c r="BI107" s="3">
        <v>0.26950000000000002</v>
      </c>
      <c r="BJ107" s="3">
        <v>0.26300000000000001</v>
      </c>
      <c r="BK107" s="3">
        <v>0.30299999999999999</v>
      </c>
      <c r="BL107" s="3">
        <v>0.26600000000000001</v>
      </c>
      <c r="BM107" s="3">
        <v>0.44900000000000001</v>
      </c>
      <c r="BN107" s="3">
        <v>0.20599999999999999</v>
      </c>
      <c r="BO107" s="3">
        <v>0.26900000000000002</v>
      </c>
      <c r="BP107" s="3">
        <v>0.48699999999999999</v>
      </c>
      <c r="BQ107" s="3">
        <v>0.20399999999999999</v>
      </c>
      <c r="BR107" s="3">
        <v>0.41566666699999999</v>
      </c>
      <c r="BS107" s="3">
        <v>0.35599999999999998</v>
      </c>
      <c r="BT107" s="3">
        <v>0.16200000000000001</v>
      </c>
      <c r="BU107" s="3">
        <v>0.394916667</v>
      </c>
      <c r="BV107" s="3">
        <v>0.47899999999999998</v>
      </c>
      <c r="BW107" s="3">
        <v>0.30499999999999999</v>
      </c>
      <c r="BX107" s="3">
        <v>0.41899999999999998</v>
      </c>
      <c r="BY107" s="3">
        <v>0.40300000000000002</v>
      </c>
      <c r="BZ107" s="3">
        <v>0.13600000000000001</v>
      </c>
      <c r="CA107" s="3">
        <v>0.127</v>
      </c>
      <c r="CB107" s="3">
        <v>0.34499999999999997</v>
      </c>
      <c r="CC107" s="3">
        <v>0.23799999999999999</v>
      </c>
      <c r="CD107" s="3">
        <v>0.52033333299999995</v>
      </c>
      <c r="CE107" s="3">
        <v>0.32400000000000001</v>
      </c>
      <c r="CF107" s="3">
        <v>0.111</v>
      </c>
      <c r="CG107" s="3">
        <v>0.41349999999999998</v>
      </c>
      <c r="CH107" s="3">
        <v>0.32300000000000001</v>
      </c>
      <c r="CI107" s="3">
        <v>0.111</v>
      </c>
      <c r="CJ107" s="3">
        <v>0.219</v>
      </c>
      <c r="CK107" s="3">
        <v>0.308</v>
      </c>
      <c r="CL107" s="3">
        <v>9.1999999999999998E-2</v>
      </c>
      <c r="CM107" s="3">
        <v>0.1</v>
      </c>
      <c r="CN107" s="3">
        <v>0.32</v>
      </c>
      <c r="CO107" s="3">
        <v>0.22600000000000001</v>
      </c>
      <c r="CP107" s="3">
        <v>0.27666666699999998</v>
      </c>
      <c r="CQ107" s="3">
        <v>0.36099999999999999</v>
      </c>
      <c r="CR107" s="3">
        <v>0.24299999999999999</v>
      </c>
      <c r="CS107" s="3">
        <v>0.51600000000000001</v>
      </c>
      <c r="CT107" s="48" t="s">
        <v>313</v>
      </c>
      <c r="CU107" s="49" t="s">
        <v>332</v>
      </c>
      <c r="CV107" s="3">
        <v>18.856999999999999</v>
      </c>
      <c r="CW107" s="3">
        <v>14.613</v>
      </c>
      <c r="CX107" s="3">
        <v>15.513999999999999</v>
      </c>
      <c r="CY107" s="3">
        <v>12.872999999999999</v>
      </c>
      <c r="CZ107" s="3">
        <v>19.704000000000001</v>
      </c>
      <c r="DA107" s="3">
        <v>14.275</v>
      </c>
      <c r="DB107" s="3">
        <v>9.8800000000000008</v>
      </c>
      <c r="DC107" s="3">
        <v>19.251999999999999</v>
      </c>
      <c r="DD107" s="3">
        <v>19.187999999999999</v>
      </c>
      <c r="DE107" s="3">
        <v>19.141999999999999</v>
      </c>
      <c r="DF107" s="3">
        <v>17.536999999999999</v>
      </c>
      <c r="DG107" s="3">
        <v>13.737</v>
      </c>
      <c r="DH107" s="3">
        <v>14.366</v>
      </c>
    </row>
    <row r="108" spans="1:112" x14ac:dyDescent="0.3">
      <c r="A108" s="48" t="s">
        <v>313</v>
      </c>
      <c r="B108" s="49" t="s">
        <v>333</v>
      </c>
      <c r="C108" s="3">
        <v>37.909145000000002</v>
      </c>
      <c r="D108" s="3">
        <v>41.769804999999998</v>
      </c>
      <c r="E108" s="3">
        <v>41.769804999999998</v>
      </c>
      <c r="F108" s="3">
        <v>46.26505453</v>
      </c>
      <c r="G108" s="3">
        <v>46.26505453</v>
      </c>
      <c r="H108" s="3">
        <v>41.769804999999998</v>
      </c>
      <c r="I108" s="48" t="s">
        <v>313</v>
      </c>
      <c r="J108" s="49" t="s">
        <v>333</v>
      </c>
      <c r="K108" s="3">
        <v>35595</v>
      </c>
      <c r="L108" s="48" t="s">
        <v>313</v>
      </c>
      <c r="M108" s="49" t="s">
        <v>333</v>
      </c>
      <c r="N108" s="3">
        <v>1302.6907610000001</v>
      </c>
      <c r="O108" s="3">
        <v>1653.2813100000001</v>
      </c>
      <c r="P108" s="3">
        <v>467.95900699999999</v>
      </c>
      <c r="Q108" s="3">
        <v>629.79299570000001</v>
      </c>
      <c r="R108" s="3">
        <v>1886.9004829999999</v>
      </c>
      <c r="S108" s="3">
        <v>1842.2222360000001</v>
      </c>
      <c r="T108" s="3">
        <v>1353.641719</v>
      </c>
      <c r="U108" s="3">
        <v>1275.446586</v>
      </c>
      <c r="V108" s="3">
        <v>948.28276340000002</v>
      </c>
      <c r="W108" s="3">
        <v>1043.381707</v>
      </c>
      <c r="X108" s="3">
        <v>1490.2641599999999</v>
      </c>
      <c r="Y108" s="3">
        <v>174.65800279999999</v>
      </c>
      <c r="Z108" s="3">
        <v>1008.516464</v>
      </c>
      <c r="AA108" s="48" t="s">
        <v>313</v>
      </c>
      <c r="AB108" s="49" t="s">
        <v>333</v>
      </c>
      <c r="AC108" s="3">
        <v>373.86732080000002</v>
      </c>
      <c r="AD108" s="3">
        <v>355.02933059999998</v>
      </c>
      <c r="AE108" s="3">
        <v>219.22371229999999</v>
      </c>
      <c r="AF108" s="3">
        <v>79.740471580000005</v>
      </c>
      <c r="AG108" s="3">
        <v>676.36554869999998</v>
      </c>
      <c r="AH108" s="3">
        <v>491.78383239999999</v>
      </c>
      <c r="AI108" s="3">
        <v>544.16990380000004</v>
      </c>
      <c r="AJ108" s="3">
        <v>411.59459809999998</v>
      </c>
      <c r="AK108" s="3">
        <v>199.27489499999999</v>
      </c>
      <c r="AL108" s="3">
        <v>303.78258779999999</v>
      </c>
      <c r="AM108" s="3">
        <v>512.89504820000002</v>
      </c>
      <c r="AN108" s="3">
        <v>65.298331660000002</v>
      </c>
      <c r="AO108" s="3">
        <v>219.8714051</v>
      </c>
      <c r="AP108" s="48" t="s">
        <v>313</v>
      </c>
      <c r="AQ108" s="49" t="s">
        <v>333</v>
      </c>
      <c r="AR108" s="3">
        <v>760.37272359999997</v>
      </c>
      <c r="AS108" s="3">
        <v>1657.7398840000001</v>
      </c>
      <c r="AT108" s="3">
        <v>1307.133838</v>
      </c>
      <c r="AU108" s="3">
        <v>1234.3522840000001</v>
      </c>
      <c r="AV108" s="3">
        <v>249.15646179999999</v>
      </c>
      <c r="AW108" s="3">
        <v>2056.9754809999999</v>
      </c>
      <c r="AX108" s="3">
        <v>1110.4947500000001</v>
      </c>
      <c r="AY108" s="3">
        <v>1432.216095</v>
      </c>
      <c r="AZ108" s="3">
        <v>653.66736379999998</v>
      </c>
      <c r="BA108" s="3">
        <v>395.47642939999997</v>
      </c>
      <c r="BB108" s="3">
        <v>813.42309479999994</v>
      </c>
      <c r="BC108" s="3">
        <v>210.3285176</v>
      </c>
      <c r="BD108" s="3">
        <v>1460.5263540000001</v>
      </c>
      <c r="BE108" s="48" t="s">
        <v>313</v>
      </c>
      <c r="BF108" s="49" t="s">
        <v>333</v>
      </c>
      <c r="BG108" s="3">
        <v>0.371</v>
      </c>
      <c r="BH108" s="3">
        <v>0.27</v>
      </c>
      <c r="BI108" s="3">
        <v>0.35</v>
      </c>
      <c r="BJ108" s="3">
        <v>0.42599999999999999</v>
      </c>
      <c r="BK108" s="3">
        <v>0.28000000000000003</v>
      </c>
      <c r="BL108" s="3">
        <v>0.48149999999999998</v>
      </c>
      <c r="BM108" s="3">
        <v>0.59</v>
      </c>
      <c r="BN108" s="3">
        <v>0.20799999999999999</v>
      </c>
      <c r="BO108" s="3">
        <v>0.3125</v>
      </c>
      <c r="BP108" s="3">
        <v>0.626</v>
      </c>
      <c r="BQ108" s="3">
        <v>0.19500000000000001</v>
      </c>
      <c r="BR108" s="3">
        <v>0.40566666699999998</v>
      </c>
      <c r="BS108" s="3">
        <v>0.45900000000000002</v>
      </c>
      <c r="BT108" s="3">
        <v>0.16300000000000001</v>
      </c>
      <c r="BU108" s="3">
        <v>0.43666666700000001</v>
      </c>
      <c r="BV108" s="3">
        <v>0.61199999999999999</v>
      </c>
      <c r="BW108" s="3">
        <v>0.315</v>
      </c>
      <c r="BX108" s="3">
        <v>0.432</v>
      </c>
      <c r="BY108" s="3">
        <v>0.56899999999999995</v>
      </c>
      <c r="BZ108" s="3">
        <v>0.11799999999999999</v>
      </c>
      <c r="CA108" s="3">
        <v>0.11799999999999999</v>
      </c>
      <c r="CB108" s="3">
        <v>0.46700000000000003</v>
      </c>
      <c r="CC108" s="3">
        <v>0.23699999999999999</v>
      </c>
      <c r="CD108" s="3">
        <v>0.52333333299999996</v>
      </c>
      <c r="CE108" s="3">
        <v>0.441</v>
      </c>
      <c r="CF108" s="3">
        <v>0.11</v>
      </c>
      <c r="CG108" s="3">
        <v>0.39600000000000002</v>
      </c>
      <c r="CH108" s="3">
        <v>0.442</v>
      </c>
      <c r="CI108" s="3">
        <v>0.109</v>
      </c>
      <c r="CJ108" s="3">
        <v>0.22133333299999999</v>
      </c>
      <c r="CK108" s="3">
        <v>0.41499999999999998</v>
      </c>
      <c r="CL108" s="3">
        <v>0.1</v>
      </c>
      <c r="CM108" s="3">
        <v>0.1</v>
      </c>
      <c r="CN108" s="3">
        <v>0.435</v>
      </c>
      <c r="CO108" s="3">
        <v>0.218</v>
      </c>
      <c r="CP108" s="3">
        <v>0.30133333299999998</v>
      </c>
      <c r="CQ108" s="3">
        <v>0.52</v>
      </c>
      <c r="CR108" s="3">
        <v>0.19500000000000001</v>
      </c>
      <c r="CS108" s="3">
        <v>0.46700000000000003</v>
      </c>
      <c r="CT108" s="48" t="s">
        <v>313</v>
      </c>
      <c r="CU108" s="49" t="s">
        <v>333</v>
      </c>
      <c r="CV108" s="3">
        <v>19.141999999999999</v>
      </c>
      <c r="CW108" s="3">
        <v>16.216000000000001</v>
      </c>
      <c r="CX108" s="3">
        <v>16.747</v>
      </c>
      <c r="CY108" s="3">
        <v>13.853999999999999</v>
      </c>
      <c r="CZ108" s="3">
        <v>20.655999999999999</v>
      </c>
      <c r="DA108" s="3">
        <v>14.92</v>
      </c>
      <c r="DB108" s="3">
        <v>11.077</v>
      </c>
      <c r="DC108" s="3">
        <v>20.312999999999999</v>
      </c>
      <c r="DD108" s="3">
        <v>20.215</v>
      </c>
      <c r="DE108" s="3">
        <v>20.167999999999999</v>
      </c>
      <c r="DF108" s="3">
        <v>18.027000000000001</v>
      </c>
      <c r="DG108" s="3">
        <v>14.635</v>
      </c>
      <c r="DH108" s="3">
        <v>15.651999999999999</v>
      </c>
    </row>
    <row r="109" spans="1:112" x14ac:dyDescent="0.3">
      <c r="A109" s="48" t="s">
        <v>313</v>
      </c>
      <c r="B109" s="49" t="s">
        <v>334</v>
      </c>
      <c r="C109" s="3">
        <v>38.205035000000002</v>
      </c>
      <c r="D109" s="3">
        <v>36.859439999999999</v>
      </c>
      <c r="E109" s="3">
        <v>36.859439999999999</v>
      </c>
      <c r="F109" s="3">
        <v>46.26505453</v>
      </c>
      <c r="G109" s="3">
        <v>46.26505453</v>
      </c>
      <c r="H109" s="3">
        <v>36.859439999999999</v>
      </c>
      <c r="I109" s="48" t="s">
        <v>313</v>
      </c>
      <c r="J109" s="49" t="s">
        <v>334</v>
      </c>
      <c r="K109" s="3">
        <v>35107.5</v>
      </c>
      <c r="L109" s="48" t="s">
        <v>313</v>
      </c>
      <c r="M109" s="49" t="s">
        <v>334</v>
      </c>
      <c r="N109" s="3">
        <v>867.57341510000003</v>
      </c>
      <c r="O109" s="3">
        <v>1161.172466</v>
      </c>
      <c r="P109" s="3">
        <v>317.08920970000003</v>
      </c>
      <c r="Q109" s="3">
        <v>345.02207629999998</v>
      </c>
      <c r="R109" s="3">
        <v>1430.8906509999999</v>
      </c>
      <c r="S109" s="3">
        <v>1278.8724999999999</v>
      </c>
      <c r="T109" s="3">
        <v>1096.9124589999999</v>
      </c>
      <c r="U109" s="3">
        <v>1175.9608330000001</v>
      </c>
      <c r="V109" s="3">
        <v>841.81798709999998</v>
      </c>
      <c r="W109" s="3">
        <v>744.78341969999997</v>
      </c>
      <c r="X109" s="3">
        <v>1074.008032</v>
      </c>
      <c r="Y109" s="3">
        <v>90.325989340000007</v>
      </c>
      <c r="Z109" s="3">
        <v>846.2682168</v>
      </c>
      <c r="AA109" s="48" t="s">
        <v>313</v>
      </c>
      <c r="AB109" s="49" t="s">
        <v>334</v>
      </c>
      <c r="AC109" s="3">
        <v>425.97261900000001</v>
      </c>
      <c r="AD109" s="3">
        <v>404.50920789999998</v>
      </c>
      <c r="AE109" s="3">
        <v>249.77657500000001</v>
      </c>
      <c r="AF109" s="3">
        <v>82.19051279</v>
      </c>
      <c r="AG109" s="3">
        <v>770.62954720000005</v>
      </c>
      <c r="AH109" s="3">
        <v>560.32296859999997</v>
      </c>
      <c r="AI109" s="3">
        <v>560.88962800000002</v>
      </c>
      <c r="AJ109" s="3">
        <v>468.9578874</v>
      </c>
      <c r="AK109" s="3">
        <v>227.04752239999999</v>
      </c>
      <c r="AL109" s="3">
        <v>346.1202874</v>
      </c>
      <c r="AM109" s="3">
        <v>528.65384640000002</v>
      </c>
      <c r="AN109" s="3">
        <v>74.398857039999996</v>
      </c>
      <c r="AO109" s="3">
        <v>250.51453570000001</v>
      </c>
      <c r="AP109" s="48" t="s">
        <v>313</v>
      </c>
      <c r="AQ109" s="49" t="s">
        <v>334</v>
      </c>
      <c r="AR109" s="3">
        <v>689.70611359999998</v>
      </c>
      <c r="AS109" s="3">
        <v>1503.674839</v>
      </c>
      <c r="AT109" s="3">
        <v>1185.652998</v>
      </c>
      <c r="AU109" s="3">
        <v>1158.2457850000001</v>
      </c>
      <c r="AV109" s="3">
        <v>226.0006568</v>
      </c>
      <c r="AW109" s="3">
        <v>1865.806756</v>
      </c>
      <c r="AX109" s="3">
        <v>1042.0249389999999</v>
      </c>
      <c r="AY109" s="3">
        <v>1299.11051</v>
      </c>
      <c r="AZ109" s="3">
        <v>592.91760880000004</v>
      </c>
      <c r="BA109" s="3">
        <v>358.72211440000001</v>
      </c>
      <c r="BB109" s="3">
        <v>763.26984040000002</v>
      </c>
      <c r="BC109" s="3">
        <v>190.7812576</v>
      </c>
      <c r="BD109" s="3">
        <v>1324.789704</v>
      </c>
      <c r="BE109" s="48" t="s">
        <v>313</v>
      </c>
      <c r="BF109" s="49" t="s">
        <v>334</v>
      </c>
      <c r="BG109" s="3">
        <v>0.45800000000000002</v>
      </c>
      <c r="BH109" s="3">
        <v>0.29399999999999998</v>
      </c>
      <c r="BI109" s="3">
        <v>0.498</v>
      </c>
      <c r="BJ109" s="3">
        <v>0.63700000000000001</v>
      </c>
      <c r="BK109" s="3">
        <v>0.253</v>
      </c>
      <c r="BL109" s="3">
        <v>0.57099999999999995</v>
      </c>
      <c r="BM109" s="3">
        <v>0.69499999999999995</v>
      </c>
      <c r="BN109" s="3">
        <v>0.217</v>
      </c>
      <c r="BO109" s="3">
        <v>0.35349999999999998</v>
      </c>
      <c r="BP109" s="3">
        <v>0.71499999999999997</v>
      </c>
      <c r="BQ109" s="3">
        <v>0.20499999999999999</v>
      </c>
      <c r="BR109" s="3">
        <v>0.40566666699999998</v>
      </c>
      <c r="BS109" s="3">
        <v>0.54</v>
      </c>
      <c r="BT109" s="3">
        <v>0.158</v>
      </c>
      <c r="BU109" s="3">
        <v>0.505</v>
      </c>
      <c r="BV109" s="3">
        <v>0.70499999999999996</v>
      </c>
      <c r="BW109" s="3">
        <v>0.33</v>
      </c>
      <c r="BX109" s="3">
        <v>0.45100000000000001</v>
      </c>
      <c r="BY109" s="3">
        <v>0.67900000000000005</v>
      </c>
      <c r="BZ109" s="3">
        <v>0.106</v>
      </c>
      <c r="CA109" s="3">
        <v>0.1075</v>
      </c>
      <c r="CB109" s="3">
        <v>0.53400000000000003</v>
      </c>
      <c r="CC109" s="3">
        <v>0.23699999999999999</v>
      </c>
      <c r="CD109" s="3">
        <v>0.51200000000000001</v>
      </c>
      <c r="CE109" s="3">
        <v>0.54500000000000004</v>
      </c>
      <c r="CF109" s="3">
        <v>0.105</v>
      </c>
      <c r="CG109" s="3">
        <v>0.38800000000000001</v>
      </c>
      <c r="CH109" s="3">
        <v>0.54300000000000004</v>
      </c>
      <c r="CI109" s="3">
        <v>0.104</v>
      </c>
      <c r="CJ109" s="3">
        <v>0.23</v>
      </c>
      <c r="CK109" s="3">
        <v>0.438</v>
      </c>
      <c r="CL109" s="3">
        <v>9.6000000000000002E-2</v>
      </c>
      <c r="CM109" s="3">
        <v>0.1</v>
      </c>
      <c r="CN109" s="3">
        <v>0.59499999999999997</v>
      </c>
      <c r="CO109" s="3">
        <v>0.21099999999999999</v>
      </c>
      <c r="CP109" s="3">
        <v>0.35666666699999999</v>
      </c>
      <c r="CQ109" s="3">
        <v>0.63200000000000001</v>
      </c>
      <c r="CR109" s="3">
        <v>0.156</v>
      </c>
      <c r="CS109" s="3">
        <v>0.41499999999999998</v>
      </c>
      <c r="CT109" s="48" t="s">
        <v>313</v>
      </c>
      <c r="CU109" s="49" t="s">
        <v>334</v>
      </c>
      <c r="CV109" s="3">
        <v>19.341999999999999</v>
      </c>
      <c r="CW109" s="3">
        <v>17.933</v>
      </c>
      <c r="CX109" s="3">
        <v>17.640999999999998</v>
      </c>
      <c r="CY109" s="3">
        <v>14.75</v>
      </c>
      <c r="CZ109" s="3">
        <v>21.331</v>
      </c>
      <c r="DA109" s="3">
        <v>15.398</v>
      </c>
      <c r="DB109" s="3">
        <v>12.217000000000001</v>
      </c>
      <c r="DC109" s="3">
        <v>20.995000000000001</v>
      </c>
      <c r="DD109" s="3">
        <v>21.24</v>
      </c>
      <c r="DE109" s="3">
        <v>21.186</v>
      </c>
      <c r="DF109" s="3">
        <v>18.402000000000001</v>
      </c>
      <c r="DG109" s="3">
        <v>15.316000000000001</v>
      </c>
      <c r="DH109" s="3">
        <v>16.777000000000001</v>
      </c>
    </row>
    <row r="110" spans="1:112" x14ac:dyDescent="0.3">
      <c r="A110" s="48" t="s">
        <v>313</v>
      </c>
      <c r="B110" s="49" t="s">
        <v>335</v>
      </c>
      <c r="C110" s="3">
        <v>38.021864999999998</v>
      </c>
      <c r="D110" s="3">
        <v>33.104455000000002</v>
      </c>
      <c r="E110" s="3">
        <v>33.104455000000002</v>
      </c>
      <c r="F110" s="3">
        <v>45.885181070000002</v>
      </c>
      <c r="G110" s="3">
        <v>45.885181070000002</v>
      </c>
      <c r="H110" s="3">
        <v>33.104455000000002</v>
      </c>
      <c r="I110" s="48" t="s">
        <v>313</v>
      </c>
      <c r="J110" s="49" t="s">
        <v>335</v>
      </c>
      <c r="K110" s="3">
        <v>34595.5</v>
      </c>
      <c r="L110" s="48" t="s">
        <v>313</v>
      </c>
      <c r="M110" s="49" t="s">
        <v>335</v>
      </c>
      <c r="N110" s="3">
        <v>820.14986450000004</v>
      </c>
      <c r="O110" s="3">
        <v>948.98576319999995</v>
      </c>
      <c r="P110" s="3">
        <v>216.15015940000001</v>
      </c>
      <c r="Q110" s="3">
        <v>164.54806679999999</v>
      </c>
      <c r="R110" s="3">
        <v>1267.1266680000001</v>
      </c>
      <c r="S110" s="3">
        <v>1034.076873</v>
      </c>
      <c r="T110" s="3">
        <v>882.2976731</v>
      </c>
      <c r="U110" s="3">
        <v>1108.181075</v>
      </c>
      <c r="V110" s="3">
        <v>776.35734979999995</v>
      </c>
      <c r="W110" s="3">
        <v>572.89262599999995</v>
      </c>
      <c r="X110" s="3">
        <v>899.70370500000001</v>
      </c>
      <c r="Y110" s="3">
        <v>53.506398470000001</v>
      </c>
      <c r="Z110" s="3">
        <v>795.59452190000002</v>
      </c>
      <c r="AA110" s="48" t="s">
        <v>313</v>
      </c>
      <c r="AB110" s="49" t="s">
        <v>335</v>
      </c>
      <c r="AC110" s="3">
        <v>460.95085840000002</v>
      </c>
      <c r="AD110" s="3">
        <v>437.72500459999998</v>
      </c>
      <c r="AE110" s="3">
        <v>270.28668399999998</v>
      </c>
      <c r="AF110" s="3">
        <v>84.149023990000003</v>
      </c>
      <c r="AG110" s="3">
        <v>833.90888399999994</v>
      </c>
      <c r="AH110" s="3">
        <v>606.33322869999995</v>
      </c>
      <c r="AI110" s="3">
        <v>574.25502240000003</v>
      </c>
      <c r="AJ110" s="3">
        <v>507.46581149999997</v>
      </c>
      <c r="AK110" s="3">
        <v>245.69126209999999</v>
      </c>
      <c r="AL110" s="3">
        <v>374.54154679999999</v>
      </c>
      <c r="AM110" s="3">
        <v>541.25109699999996</v>
      </c>
      <c r="AN110" s="3">
        <v>80.50803148</v>
      </c>
      <c r="AO110" s="3">
        <v>271.08524139999997</v>
      </c>
      <c r="AP110" s="48" t="s">
        <v>313</v>
      </c>
      <c r="AQ110" s="49" t="s">
        <v>335</v>
      </c>
      <c r="AR110" s="3">
        <v>633.17282560000001</v>
      </c>
      <c r="AS110" s="3">
        <v>1380.4228029999999</v>
      </c>
      <c r="AT110" s="3">
        <v>1088.4683259999999</v>
      </c>
      <c r="AU110" s="3">
        <v>1063.1126609999999</v>
      </c>
      <c r="AV110" s="3">
        <v>207.47601280000001</v>
      </c>
      <c r="AW110" s="3">
        <v>1712.871776</v>
      </c>
      <c r="AX110" s="3">
        <v>956.43767519999994</v>
      </c>
      <c r="AY110" s="3">
        <v>1192.6260420000001</v>
      </c>
      <c r="AZ110" s="3">
        <v>544.31780479999998</v>
      </c>
      <c r="BA110" s="3">
        <v>329.31866239999999</v>
      </c>
      <c r="BB110" s="3">
        <v>700.57827239999995</v>
      </c>
      <c r="BC110" s="3">
        <v>175.1434496</v>
      </c>
      <c r="BD110" s="3">
        <v>1216.200384</v>
      </c>
      <c r="BE110" s="48" t="s">
        <v>313</v>
      </c>
      <c r="BF110" s="49" t="s">
        <v>335</v>
      </c>
      <c r="BG110" s="3">
        <v>0.52500000000000002</v>
      </c>
      <c r="BH110" s="3">
        <v>0.27300000000000002</v>
      </c>
      <c r="BI110" s="3">
        <v>0.5605</v>
      </c>
      <c r="BJ110" s="3">
        <v>0.71799999999999997</v>
      </c>
      <c r="BK110" s="3">
        <v>0.26100000000000001</v>
      </c>
      <c r="BL110" s="3">
        <v>0.57650000000000001</v>
      </c>
      <c r="BM110" s="3">
        <v>0.74</v>
      </c>
      <c r="BN110" s="3">
        <v>0.224</v>
      </c>
      <c r="BO110" s="3">
        <v>0.38800000000000001</v>
      </c>
      <c r="BP110" s="3">
        <v>0.75900000000000001</v>
      </c>
      <c r="BQ110" s="3">
        <v>0.221</v>
      </c>
      <c r="BR110" s="3">
        <v>0.41099999999999998</v>
      </c>
      <c r="BS110" s="3">
        <v>0.6</v>
      </c>
      <c r="BT110" s="3">
        <v>0.14699999999999999</v>
      </c>
      <c r="BU110" s="3">
        <v>0.52058333400000001</v>
      </c>
      <c r="BV110" s="3">
        <v>0.754</v>
      </c>
      <c r="BW110" s="3">
        <v>0.34100000000000003</v>
      </c>
      <c r="BX110" s="3">
        <v>0.46700000000000003</v>
      </c>
      <c r="BY110" s="3">
        <v>0.72199999999999998</v>
      </c>
      <c r="BZ110" s="3">
        <v>0.10199999999999999</v>
      </c>
      <c r="CA110" s="3">
        <v>9.5500000000000002E-2</v>
      </c>
      <c r="CB110" s="3">
        <v>0.55700000000000005</v>
      </c>
      <c r="CC110" s="3">
        <v>0.22900000000000001</v>
      </c>
      <c r="CD110" s="3">
        <v>0.48066666699999999</v>
      </c>
      <c r="CE110" s="3">
        <v>0.59599999999999997</v>
      </c>
      <c r="CF110" s="3">
        <v>9.9000000000000005E-2</v>
      </c>
      <c r="CG110" s="3">
        <v>0.38300000000000001</v>
      </c>
      <c r="CH110" s="3">
        <v>0.59499999999999997</v>
      </c>
      <c r="CI110" s="3">
        <v>9.8000000000000004E-2</v>
      </c>
      <c r="CJ110" s="3">
        <v>0.242666667</v>
      </c>
      <c r="CK110" s="3">
        <v>0.496</v>
      </c>
      <c r="CL110" s="3">
        <v>9.2999999999999999E-2</v>
      </c>
      <c r="CM110" s="3">
        <v>0.1</v>
      </c>
      <c r="CN110" s="3">
        <v>0.67200000000000004</v>
      </c>
      <c r="CO110" s="3">
        <v>0.21099999999999999</v>
      </c>
      <c r="CP110" s="3">
        <v>0.39900000000000002</v>
      </c>
      <c r="CQ110" s="3">
        <v>0.68700000000000006</v>
      </c>
      <c r="CR110" s="3">
        <v>0.14499999999999999</v>
      </c>
      <c r="CS110" s="3">
        <v>0.39</v>
      </c>
      <c r="CT110" s="48" t="s">
        <v>313</v>
      </c>
      <c r="CU110" s="49" t="s">
        <v>335</v>
      </c>
      <c r="CV110" s="3">
        <v>19.861999999999998</v>
      </c>
      <c r="CW110" s="3">
        <v>19.13</v>
      </c>
      <c r="CX110" s="3">
        <v>18.251000000000001</v>
      </c>
      <c r="CY110" s="3">
        <v>15.551</v>
      </c>
      <c r="CZ110" s="3">
        <v>21.974</v>
      </c>
      <c r="DA110" s="3">
        <v>15.759</v>
      </c>
      <c r="DB110" s="3">
        <v>13.073</v>
      </c>
      <c r="DC110" s="3">
        <v>21.443000000000001</v>
      </c>
      <c r="DD110" s="3">
        <v>22.143000000000001</v>
      </c>
      <c r="DE110" s="3">
        <v>22.088000000000001</v>
      </c>
      <c r="DF110" s="3">
        <v>18.927</v>
      </c>
      <c r="DG110" s="3">
        <v>15.808</v>
      </c>
      <c r="DH110" s="3">
        <v>17.475999999999999</v>
      </c>
    </row>
    <row r="111" spans="1:112" x14ac:dyDescent="0.3">
      <c r="A111" s="48" t="s">
        <v>313</v>
      </c>
      <c r="B111" s="49" t="s">
        <v>336</v>
      </c>
      <c r="C111" s="3">
        <v>37.704839999999997</v>
      </c>
      <c r="D111" s="3">
        <v>32.456314999999996</v>
      </c>
      <c r="E111" s="3">
        <v>32.456314999999996</v>
      </c>
      <c r="F111" s="3">
        <v>45.770335600000003</v>
      </c>
      <c r="G111" s="3">
        <v>45.770335600000003</v>
      </c>
      <c r="H111" s="3">
        <v>32.456314999999996</v>
      </c>
      <c r="I111" s="48" t="s">
        <v>313</v>
      </c>
      <c r="J111" s="49" t="s">
        <v>336</v>
      </c>
      <c r="K111" s="3">
        <v>33882</v>
      </c>
      <c r="L111" s="48" t="s">
        <v>313</v>
      </c>
      <c r="M111" s="49" t="s">
        <v>336</v>
      </c>
      <c r="N111" s="3">
        <v>764.02403159999994</v>
      </c>
      <c r="O111" s="3">
        <v>827.58822239999995</v>
      </c>
      <c r="P111" s="3">
        <v>177.80584579999999</v>
      </c>
      <c r="Q111" s="3">
        <v>172.998786</v>
      </c>
      <c r="R111" s="3">
        <v>1256.3699200000001</v>
      </c>
      <c r="S111" s="3">
        <v>960.31628179999996</v>
      </c>
      <c r="T111" s="3">
        <v>900.42927769999994</v>
      </c>
      <c r="U111" s="3">
        <v>1158.3808859999999</v>
      </c>
      <c r="V111" s="3">
        <v>754.56676519999996</v>
      </c>
      <c r="W111" s="3">
        <v>544.02361429999996</v>
      </c>
      <c r="X111" s="3">
        <v>948.91929219999997</v>
      </c>
      <c r="Y111" s="3">
        <v>37.568147099999997</v>
      </c>
      <c r="Z111" s="3">
        <v>700.8865472</v>
      </c>
      <c r="AA111" s="48" t="s">
        <v>313</v>
      </c>
      <c r="AB111" s="49" t="s">
        <v>336</v>
      </c>
      <c r="AC111" s="3">
        <v>479.99841459999999</v>
      </c>
      <c r="AD111" s="3">
        <v>455.81281469999999</v>
      </c>
      <c r="AE111" s="3">
        <v>281.45555519999999</v>
      </c>
      <c r="AF111" s="3">
        <v>77.704350379999994</v>
      </c>
      <c r="AG111" s="3">
        <v>868.36792879999996</v>
      </c>
      <c r="AH111" s="3">
        <v>631.38832079999997</v>
      </c>
      <c r="AI111" s="3">
        <v>530.27487840000003</v>
      </c>
      <c r="AJ111" s="3">
        <v>528.43547309999997</v>
      </c>
      <c r="AK111" s="3">
        <v>255.8437936</v>
      </c>
      <c r="AL111" s="3">
        <v>390.01847020000002</v>
      </c>
      <c r="AM111" s="3">
        <v>499.79860589999998</v>
      </c>
      <c r="AN111" s="3">
        <v>83.834809640000003</v>
      </c>
      <c r="AO111" s="3">
        <v>282.28711090000002</v>
      </c>
      <c r="AP111" s="48" t="s">
        <v>313</v>
      </c>
      <c r="AQ111" s="49" t="s">
        <v>336</v>
      </c>
      <c r="AR111" s="3">
        <v>585.11953080000001</v>
      </c>
      <c r="AS111" s="3">
        <v>1275.6585729999999</v>
      </c>
      <c r="AT111" s="3">
        <v>1005.861355</v>
      </c>
      <c r="AU111" s="3">
        <v>1029.816067</v>
      </c>
      <c r="AV111" s="3">
        <v>191.7300654</v>
      </c>
      <c r="AW111" s="3">
        <v>1582.877043</v>
      </c>
      <c r="AX111" s="3">
        <v>926.48213280000004</v>
      </c>
      <c r="AY111" s="3">
        <v>1102.1142440000001</v>
      </c>
      <c r="AZ111" s="3">
        <v>503.00797139999997</v>
      </c>
      <c r="BA111" s="3">
        <v>304.32572820000001</v>
      </c>
      <c r="BB111" s="3">
        <v>678.63622359999999</v>
      </c>
      <c r="BC111" s="3">
        <v>161.85131279999999</v>
      </c>
      <c r="BD111" s="3">
        <v>1123.8994620000001</v>
      </c>
      <c r="BE111" s="48" t="s">
        <v>313</v>
      </c>
      <c r="BF111" s="49" t="s">
        <v>336</v>
      </c>
      <c r="BG111" s="3">
        <v>0.56599999999999995</v>
      </c>
      <c r="BH111" s="3">
        <v>0.24399999999999999</v>
      </c>
      <c r="BI111" s="3">
        <v>0.55400000000000005</v>
      </c>
      <c r="BJ111" s="3">
        <v>0.71399999999999997</v>
      </c>
      <c r="BK111" s="3">
        <v>0.28199999999999997</v>
      </c>
      <c r="BL111" s="3">
        <v>0.53400000000000003</v>
      </c>
      <c r="BM111" s="3">
        <v>0.74399999999999999</v>
      </c>
      <c r="BN111" s="3">
        <v>0.22700000000000001</v>
      </c>
      <c r="BO111" s="3">
        <v>0.40150000000000002</v>
      </c>
      <c r="BP111" s="3">
        <v>0.76100000000000001</v>
      </c>
      <c r="BQ111" s="3">
        <v>0.23300000000000001</v>
      </c>
      <c r="BR111" s="3">
        <v>0.41766666699999999</v>
      </c>
      <c r="BS111" s="3">
        <v>0.51600000000000001</v>
      </c>
      <c r="BT111" s="3">
        <v>0.13600000000000001</v>
      </c>
      <c r="BU111" s="3">
        <v>0.48799999999999999</v>
      </c>
      <c r="BV111" s="3">
        <v>0.76300000000000001</v>
      </c>
      <c r="BW111" s="3">
        <v>0.34</v>
      </c>
      <c r="BX111" s="3">
        <v>0.46800000000000003</v>
      </c>
      <c r="BY111" s="3">
        <v>0.72199999999999998</v>
      </c>
      <c r="BZ111" s="3">
        <v>9.9000000000000005E-2</v>
      </c>
      <c r="CA111" s="3">
        <v>8.4500000000000006E-2</v>
      </c>
      <c r="CB111" s="3">
        <v>0.53600000000000003</v>
      </c>
      <c r="CC111" s="3">
        <v>0.214</v>
      </c>
      <c r="CD111" s="3">
        <v>0.42199999999999999</v>
      </c>
      <c r="CE111" s="3">
        <v>0.59499999999999997</v>
      </c>
      <c r="CF111" s="3">
        <v>9.6000000000000002E-2</v>
      </c>
      <c r="CG111" s="3">
        <v>0.3745</v>
      </c>
      <c r="CH111" s="3">
        <v>0.59499999999999997</v>
      </c>
      <c r="CI111" s="3">
        <v>9.5000000000000001E-2</v>
      </c>
      <c r="CJ111" s="3">
        <v>0.26100000000000001</v>
      </c>
      <c r="CK111" s="3">
        <v>0.51200000000000001</v>
      </c>
      <c r="CL111" s="3">
        <v>0.09</v>
      </c>
      <c r="CM111" s="3">
        <v>0.1</v>
      </c>
      <c r="CN111" s="3">
        <v>0.66700000000000004</v>
      </c>
      <c r="CO111" s="3">
        <v>0.20799999999999999</v>
      </c>
      <c r="CP111" s="3">
        <v>0.40666666699999998</v>
      </c>
      <c r="CQ111" s="3">
        <v>0.69899999999999995</v>
      </c>
      <c r="CR111" s="3">
        <v>0.14899999999999999</v>
      </c>
      <c r="CS111" s="3">
        <v>0.40500000000000003</v>
      </c>
      <c r="CT111" s="48" t="s">
        <v>313</v>
      </c>
      <c r="CU111" s="49" t="s">
        <v>336</v>
      </c>
      <c r="CV111" s="3">
        <v>20.542000000000002</v>
      </c>
      <c r="CW111" s="3">
        <v>19.739000000000001</v>
      </c>
      <c r="CX111" s="3">
        <v>18.721</v>
      </c>
      <c r="CY111" s="3">
        <v>16.219000000000001</v>
      </c>
      <c r="CZ111" s="3">
        <v>22.135000000000002</v>
      </c>
      <c r="DA111" s="3">
        <v>15.98</v>
      </c>
      <c r="DB111" s="3">
        <v>13.641</v>
      </c>
      <c r="DC111" s="3">
        <v>21.704999999999998</v>
      </c>
      <c r="DD111" s="3">
        <v>22.841999999999999</v>
      </c>
      <c r="DE111" s="3">
        <v>22.79</v>
      </c>
      <c r="DF111" s="3">
        <v>19.459</v>
      </c>
      <c r="DG111" s="3">
        <v>16.073</v>
      </c>
      <c r="DH111" s="3">
        <v>17.806000000000001</v>
      </c>
    </row>
    <row r="112" spans="1:112" x14ac:dyDescent="0.3">
      <c r="A112" s="48" t="s">
        <v>313</v>
      </c>
      <c r="B112" s="49" t="s">
        <v>337</v>
      </c>
      <c r="C112" s="3">
        <v>36.979205</v>
      </c>
      <c r="D112" s="3">
        <v>31.864535</v>
      </c>
      <c r="E112" s="3">
        <v>31.864535</v>
      </c>
      <c r="F112" s="3">
        <v>45.628987330000001</v>
      </c>
      <c r="G112" s="3">
        <v>45.628987330000001</v>
      </c>
      <c r="H112" s="3">
        <v>31.864535</v>
      </c>
      <c r="I112" s="48" t="s">
        <v>313</v>
      </c>
      <c r="J112" s="49" t="s">
        <v>337</v>
      </c>
      <c r="K112" s="3">
        <v>33380.5</v>
      </c>
      <c r="L112" s="48" t="s">
        <v>313</v>
      </c>
      <c r="M112" s="49" t="s">
        <v>337</v>
      </c>
      <c r="N112" s="3">
        <v>907.18720180000003</v>
      </c>
      <c r="O112" s="3">
        <v>983.8711902</v>
      </c>
      <c r="P112" s="3">
        <v>195.90099319999999</v>
      </c>
      <c r="Q112" s="3">
        <v>146.79297650000001</v>
      </c>
      <c r="R112" s="3">
        <v>1454.5724889999999</v>
      </c>
      <c r="S112" s="3">
        <v>1084.6463550000001</v>
      </c>
      <c r="T112" s="3">
        <v>823.95174210000005</v>
      </c>
      <c r="U112" s="3">
        <v>1126.1801129999999</v>
      </c>
      <c r="V112" s="3">
        <v>679.75754440000003</v>
      </c>
      <c r="W112" s="3">
        <v>603.78334519999999</v>
      </c>
      <c r="X112" s="3">
        <v>1000.324967</v>
      </c>
      <c r="Y112" s="3">
        <v>21.689307620000001</v>
      </c>
      <c r="Z112" s="3">
        <v>534.22166189999996</v>
      </c>
      <c r="AA112" s="48" t="s">
        <v>313</v>
      </c>
      <c r="AB112" s="49" t="s">
        <v>337</v>
      </c>
      <c r="AC112" s="3">
        <v>413.33196809999998</v>
      </c>
      <c r="AD112" s="3">
        <v>392.50547929999999</v>
      </c>
      <c r="AE112" s="3">
        <v>242.36450590000001</v>
      </c>
      <c r="AF112" s="3">
        <v>74.205813280000001</v>
      </c>
      <c r="AG112" s="3">
        <v>747.76127210000004</v>
      </c>
      <c r="AH112" s="3">
        <v>543.69549840000002</v>
      </c>
      <c r="AI112" s="3">
        <v>506.3999432</v>
      </c>
      <c r="AJ112" s="3">
        <v>455.04165740000002</v>
      </c>
      <c r="AK112" s="3">
        <v>220.30993340000001</v>
      </c>
      <c r="AL112" s="3">
        <v>335.8492382</v>
      </c>
      <c r="AM112" s="3">
        <v>477.2958251</v>
      </c>
      <c r="AN112" s="3">
        <v>72.191086080000005</v>
      </c>
      <c r="AO112" s="3">
        <v>243.08056769999999</v>
      </c>
      <c r="AP112" s="48" t="s">
        <v>313</v>
      </c>
      <c r="AQ112" s="49" t="s">
        <v>337</v>
      </c>
      <c r="AR112" s="3">
        <v>551.19955800000002</v>
      </c>
      <c r="AS112" s="3">
        <v>1201.707351</v>
      </c>
      <c r="AT112" s="3">
        <v>947.55055200000004</v>
      </c>
      <c r="AU112" s="3">
        <v>975.11452099999997</v>
      </c>
      <c r="AV112" s="3">
        <v>180.61527899999999</v>
      </c>
      <c r="AW112" s="3">
        <v>1491.116055</v>
      </c>
      <c r="AX112" s="3">
        <v>877.26945599999999</v>
      </c>
      <c r="AY112" s="3">
        <v>1038.223563</v>
      </c>
      <c r="AZ112" s="3">
        <v>473.84808900000002</v>
      </c>
      <c r="BA112" s="3">
        <v>286.68365699999998</v>
      </c>
      <c r="BB112" s="3">
        <v>642.588572</v>
      </c>
      <c r="BC112" s="3">
        <v>152.468628</v>
      </c>
      <c r="BD112" s="3">
        <v>1058.74587</v>
      </c>
      <c r="BE112" s="48" t="s">
        <v>313</v>
      </c>
      <c r="BF112" s="49" t="s">
        <v>337</v>
      </c>
      <c r="BG112" s="3">
        <v>0.57299999999999995</v>
      </c>
      <c r="BH112" s="3">
        <v>0.218</v>
      </c>
      <c r="BI112" s="3">
        <v>0.52100000000000002</v>
      </c>
      <c r="BJ112" s="3">
        <v>0.67800000000000005</v>
      </c>
      <c r="BK112" s="3">
        <v>0.29099999999999998</v>
      </c>
      <c r="BL112" s="3">
        <v>0.47499999999999998</v>
      </c>
      <c r="BM112" s="3">
        <v>0.70899999999999996</v>
      </c>
      <c r="BN112" s="3">
        <v>0.22</v>
      </c>
      <c r="BO112" s="3">
        <v>0.39250000000000002</v>
      </c>
      <c r="BP112" s="3">
        <v>0.72299999999999998</v>
      </c>
      <c r="BQ112" s="3">
        <v>0.23799999999999999</v>
      </c>
      <c r="BR112" s="3">
        <v>0.42099999999999999</v>
      </c>
      <c r="BS112" s="3">
        <v>0.49099999999999999</v>
      </c>
      <c r="BT112" s="3">
        <v>0.125</v>
      </c>
      <c r="BU112" s="3">
        <v>0.43516666700000001</v>
      </c>
      <c r="BV112" s="3">
        <v>0.73099999999999998</v>
      </c>
      <c r="BW112" s="3">
        <v>0.32500000000000001</v>
      </c>
      <c r="BX112" s="3">
        <v>0.46100000000000002</v>
      </c>
      <c r="BY112" s="3">
        <v>0.66400000000000003</v>
      </c>
      <c r="BZ112" s="3">
        <v>9.6000000000000002E-2</v>
      </c>
      <c r="CA112" s="3">
        <v>7.4499999999999997E-2</v>
      </c>
      <c r="CB112" s="3">
        <v>0.47899999999999998</v>
      </c>
      <c r="CC112" s="3">
        <v>0.193</v>
      </c>
      <c r="CD112" s="3">
        <v>0.34933333300000002</v>
      </c>
      <c r="CE112" s="3">
        <v>0.58499999999999996</v>
      </c>
      <c r="CF112" s="3">
        <v>9.0999999999999998E-2</v>
      </c>
      <c r="CG112" s="3">
        <v>0.35299999999999998</v>
      </c>
      <c r="CH112" s="3">
        <v>0.58499999999999996</v>
      </c>
      <c r="CI112" s="3">
        <v>0.09</v>
      </c>
      <c r="CJ112" s="3">
        <v>0.28966666699999999</v>
      </c>
      <c r="CK112" s="3">
        <v>0.48</v>
      </c>
      <c r="CL112" s="3">
        <v>8.8999999999999996E-2</v>
      </c>
      <c r="CM112" s="3">
        <v>0.1</v>
      </c>
      <c r="CN112" s="3">
        <v>0.65100000000000002</v>
      </c>
      <c r="CO112" s="3">
        <v>0.20100000000000001</v>
      </c>
      <c r="CP112" s="3">
        <v>0.390333333</v>
      </c>
      <c r="CQ112" s="3">
        <v>0.69199999999999995</v>
      </c>
      <c r="CR112" s="3">
        <v>0.157</v>
      </c>
      <c r="CS112" s="3">
        <v>0.441</v>
      </c>
      <c r="CT112" s="48" t="s">
        <v>313</v>
      </c>
      <c r="CU112" s="49" t="s">
        <v>337</v>
      </c>
      <c r="CV112" s="3">
        <v>21.126999999999999</v>
      </c>
      <c r="CW112" s="3">
        <v>19.95</v>
      </c>
      <c r="CX112" s="3">
        <v>19.064</v>
      </c>
      <c r="CY112" s="3">
        <v>16.689</v>
      </c>
      <c r="CZ112" s="3">
        <v>22.364999999999998</v>
      </c>
      <c r="DA112" s="3">
        <v>16.105</v>
      </c>
      <c r="DB112" s="3">
        <v>13.778</v>
      </c>
      <c r="DC112" s="3">
        <v>21.798999999999999</v>
      </c>
      <c r="DD112" s="3">
        <v>23.37</v>
      </c>
      <c r="DE112" s="3">
        <v>23.323</v>
      </c>
      <c r="DF112" s="3">
        <v>19.765000000000001</v>
      </c>
      <c r="DG112" s="3">
        <v>16.155000000000001</v>
      </c>
      <c r="DH112" s="3">
        <v>17.949000000000002</v>
      </c>
    </row>
    <row r="113" spans="1:112" x14ac:dyDescent="0.3">
      <c r="A113" s="48" t="s">
        <v>313</v>
      </c>
      <c r="B113" s="49" t="s">
        <v>338</v>
      </c>
      <c r="C113" s="3">
        <v>38.282530000000001</v>
      </c>
      <c r="D113" s="3">
        <v>32.082929999999998</v>
      </c>
      <c r="E113" s="3">
        <v>32.082929999999998</v>
      </c>
      <c r="F113" s="3">
        <v>45.964689470000003</v>
      </c>
      <c r="G113" s="3">
        <v>45.964689470000003</v>
      </c>
      <c r="H113" s="3">
        <v>32.082929999999998</v>
      </c>
      <c r="I113" s="48" t="s">
        <v>313</v>
      </c>
      <c r="J113" s="49" t="s">
        <v>338</v>
      </c>
      <c r="K113" s="3">
        <v>33459</v>
      </c>
      <c r="L113" s="48" t="s">
        <v>313</v>
      </c>
      <c r="M113" s="49" t="s">
        <v>338</v>
      </c>
      <c r="N113" s="3">
        <v>733.51183230000004</v>
      </c>
      <c r="O113" s="3">
        <v>1003.908219</v>
      </c>
      <c r="P113" s="3">
        <v>177.85701330000001</v>
      </c>
      <c r="Q113" s="3">
        <v>158.27523479999999</v>
      </c>
      <c r="R113" s="3">
        <v>1438.3511000000001</v>
      </c>
      <c r="S113" s="3">
        <v>1062.3460889999999</v>
      </c>
      <c r="T113" s="3">
        <v>816.6141417</v>
      </c>
      <c r="U113" s="3">
        <v>1002.978983</v>
      </c>
      <c r="V113" s="3">
        <v>639.87303450000002</v>
      </c>
      <c r="W113" s="3">
        <v>556.92134069999997</v>
      </c>
      <c r="X113" s="3">
        <v>793.60053530000005</v>
      </c>
      <c r="Y113" s="3">
        <v>34.959739120000002</v>
      </c>
      <c r="Z113" s="3">
        <v>386.64154489999999</v>
      </c>
      <c r="AA113" s="48" t="s">
        <v>313</v>
      </c>
      <c r="AB113" s="49" t="s">
        <v>338</v>
      </c>
      <c r="AC113" s="3">
        <v>370.95115570000002</v>
      </c>
      <c r="AD113" s="3">
        <v>352.26010179999997</v>
      </c>
      <c r="AE113" s="3">
        <v>217.51376740000001</v>
      </c>
      <c r="AF113" s="3">
        <v>64.722936399999995</v>
      </c>
      <c r="AG113" s="3">
        <v>671.08989740000004</v>
      </c>
      <c r="AH113" s="3">
        <v>487.94791850000001</v>
      </c>
      <c r="AI113" s="3">
        <v>441.68630280000002</v>
      </c>
      <c r="AJ113" s="3">
        <v>408.38416030000002</v>
      </c>
      <c r="AK113" s="3">
        <v>197.72055080000001</v>
      </c>
      <c r="AL113" s="3">
        <v>301.41308359999999</v>
      </c>
      <c r="AM113" s="3">
        <v>416.3014455</v>
      </c>
      <c r="AN113" s="3">
        <v>64.789004669999997</v>
      </c>
      <c r="AO113" s="3">
        <v>218.15640809999999</v>
      </c>
      <c r="AP113" s="48" t="s">
        <v>313</v>
      </c>
      <c r="AQ113" s="49" t="s">
        <v>338</v>
      </c>
      <c r="AR113" s="3">
        <v>524.3462462</v>
      </c>
      <c r="AS113" s="3">
        <v>1143.162634</v>
      </c>
      <c r="AT113" s="3">
        <v>901.38783279999996</v>
      </c>
      <c r="AU113" s="3">
        <v>958.46622430000002</v>
      </c>
      <c r="AV113" s="3">
        <v>171.81607310000001</v>
      </c>
      <c r="AW113" s="3">
        <v>1418.4719399999999</v>
      </c>
      <c r="AX113" s="3">
        <v>862.29168479999998</v>
      </c>
      <c r="AY113" s="3">
        <v>987.64344070000004</v>
      </c>
      <c r="AZ113" s="3">
        <v>450.76318209999999</v>
      </c>
      <c r="BA113" s="3">
        <v>272.71701730000001</v>
      </c>
      <c r="BB113" s="3">
        <v>631.61754759999997</v>
      </c>
      <c r="BC113" s="3">
        <v>145.0406692</v>
      </c>
      <c r="BD113" s="3">
        <v>1007.165943</v>
      </c>
      <c r="BE113" s="48" t="s">
        <v>313</v>
      </c>
      <c r="BF113" s="49" t="s">
        <v>338</v>
      </c>
      <c r="BG113" s="3">
        <v>0.48499999999999999</v>
      </c>
      <c r="BH113" s="3">
        <v>0.187</v>
      </c>
      <c r="BI113" s="3">
        <v>0.46650000000000003</v>
      </c>
      <c r="BJ113" s="3">
        <v>0.61599999999999999</v>
      </c>
      <c r="BK113" s="3">
        <v>0.28399999999999997</v>
      </c>
      <c r="BL113" s="3">
        <v>0.41</v>
      </c>
      <c r="BM113" s="3">
        <v>0.63400000000000001</v>
      </c>
      <c r="BN113" s="3">
        <v>0.20499999999999999</v>
      </c>
      <c r="BO113" s="3">
        <v>0.3715</v>
      </c>
      <c r="BP113" s="3">
        <v>0.61799999999999999</v>
      </c>
      <c r="BQ113" s="3">
        <v>0.23799999999999999</v>
      </c>
      <c r="BR113" s="3">
        <v>0.41966666699999999</v>
      </c>
      <c r="BS113" s="3">
        <v>0.38800000000000001</v>
      </c>
      <c r="BT113" s="3">
        <v>0.11</v>
      </c>
      <c r="BU113" s="3">
        <v>0.36958333399999999</v>
      </c>
      <c r="BV113" s="3">
        <v>0.65700000000000003</v>
      </c>
      <c r="BW113" s="3">
        <v>0.309</v>
      </c>
      <c r="BX113" s="3">
        <v>0.44900000000000001</v>
      </c>
      <c r="BY113" s="3">
        <v>0.60499999999999998</v>
      </c>
      <c r="BZ113" s="3">
        <v>9.0999999999999998E-2</v>
      </c>
      <c r="CA113" s="3">
        <v>6.0999999999999999E-2</v>
      </c>
      <c r="CB113" s="3">
        <v>0.40100000000000002</v>
      </c>
      <c r="CC113" s="3">
        <v>0.159</v>
      </c>
      <c r="CD113" s="3">
        <v>0.27266666699999997</v>
      </c>
      <c r="CE113" s="3">
        <v>0.51</v>
      </c>
      <c r="CF113" s="3">
        <v>8.1000000000000003E-2</v>
      </c>
      <c r="CG113" s="3">
        <v>0.3095</v>
      </c>
      <c r="CH113" s="3">
        <v>0.51100000000000001</v>
      </c>
      <c r="CI113" s="3">
        <v>8.1000000000000003E-2</v>
      </c>
      <c r="CJ113" s="3">
        <v>0.31866666700000001</v>
      </c>
      <c r="CK113" s="3">
        <v>0.42199999999999999</v>
      </c>
      <c r="CL113" s="3">
        <v>0.09</v>
      </c>
      <c r="CM113" s="3">
        <v>0.1</v>
      </c>
      <c r="CN113" s="3">
        <v>0.60099999999999998</v>
      </c>
      <c r="CO113" s="3">
        <v>0.192</v>
      </c>
      <c r="CP113" s="3">
        <v>0.359666667</v>
      </c>
      <c r="CQ113" s="3">
        <v>0.624</v>
      </c>
      <c r="CR113" s="3">
        <v>0.16300000000000001</v>
      </c>
      <c r="CS113" s="3">
        <v>0.47699999999999998</v>
      </c>
      <c r="CT113" s="48" t="s">
        <v>313</v>
      </c>
      <c r="CU113" s="49" t="s">
        <v>338</v>
      </c>
      <c r="CV113" s="3">
        <v>21.302</v>
      </c>
      <c r="CW113" s="3">
        <v>19.826000000000001</v>
      </c>
      <c r="CX113" s="3">
        <v>19.222999999999999</v>
      </c>
      <c r="CY113" s="3">
        <v>16.844000000000001</v>
      </c>
      <c r="CZ113" s="3">
        <v>22.178000000000001</v>
      </c>
      <c r="DA113" s="3">
        <v>16.094999999999999</v>
      </c>
      <c r="DB113" s="3">
        <v>13.72</v>
      </c>
      <c r="DC113" s="3">
        <v>21.76</v>
      </c>
      <c r="DD113" s="3">
        <v>23.486999999999998</v>
      </c>
      <c r="DE113" s="3">
        <v>23.442</v>
      </c>
      <c r="DF113" s="3">
        <v>19.943000000000001</v>
      </c>
      <c r="DG113" s="3">
        <v>16.053000000000001</v>
      </c>
      <c r="DH113" s="3">
        <v>17.850999999999999</v>
      </c>
    </row>
    <row r="114" spans="1:112" x14ac:dyDescent="0.3">
      <c r="A114" s="48" t="s">
        <v>313</v>
      </c>
      <c r="B114" s="49" t="s">
        <v>339</v>
      </c>
      <c r="C114" s="3">
        <v>40.410119999999999</v>
      </c>
      <c r="D114" s="3">
        <v>35.182729999999999</v>
      </c>
      <c r="E114" s="3">
        <v>35.182729999999999</v>
      </c>
      <c r="F114" s="3">
        <v>46.353397200000003</v>
      </c>
      <c r="G114" s="3">
        <v>46.353397200000003</v>
      </c>
      <c r="H114" s="3">
        <v>35.182729999999999</v>
      </c>
      <c r="I114" s="48" t="s">
        <v>313</v>
      </c>
      <c r="J114" s="49" t="s">
        <v>339</v>
      </c>
      <c r="K114" s="3">
        <v>34883.5</v>
      </c>
      <c r="L114" s="48" t="s">
        <v>313</v>
      </c>
      <c r="M114" s="49" t="s">
        <v>339</v>
      </c>
      <c r="N114" s="3">
        <v>848.10635990000003</v>
      </c>
      <c r="O114" s="3">
        <v>1004.038283</v>
      </c>
      <c r="P114" s="3">
        <v>324.48259890000003</v>
      </c>
      <c r="Q114" s="3">
        <v>134.9130136</v>
      </c>
      <c r="R114" s="3">
        <v>1332.144464</v>
      </c>
      <c r="S114" s="3">
        <v>1100.4830830000001</v>
      </c>
      <c r="T114" s="3">
        <v>839.86418060000005</v>
      </c>
      <c r="U114" s="3">
        <v>1035.9806100000001</v>
      </c>
      <c r="V114" s="3">
        <v>759.62547140000004</v>
      </c>
      <c r="W114" s="3">
        <v>584.65297629999998</v>
      </c>
      <c r="X114" s="3">
        <v>683.67507379999995</v>
      </c>
      <c r="Y114" s="3">
        <v>50.932566250000001</v>
      </c>
      <c r="Z114" s="3">
        <v>408.7186317</v>
      </c>
      <c r="AA114" s="48" t="s">
        <v>313</v>
      </c>
      <c r="AB114" s="49" t="s">
        <v>339</v>
      </c>
      <c r="AC114" s="3">
        <v>320.95132080000002</v>
      </c>
      <c r="AD114" s="3">
        <v>304.77960030000003</v>
      </c>
      <c r="AE114" s="3">
        <v>188.19548040000001</v>
      </c>
      <c r="AF114" s="3">
        <v>68.497673800000001</v>
      </c>
      <c r="AG114" s="3">
        <v>580.63490479999996</v>
      </c>
      <c r="AH114" s="3">
        <v>422.17830179999999</v>
      </c>
      <c r="AI114" s="3">
        <v>467.44610139999998</v>
      </c>
      <c r="AJ114" s="3">
        <v>353.3387985</v>
      </c>
      <c r="AK114" s="3">
        <v>171.07015559999999</v>
      </c>
      <c r="AL114" s="3">
        <v>260.78615960000002</v>
      </c>
      <c r="AM114" s="3">
        <v>440.58076160000002</v>
      </c>
      <c r="AN114" s="3">
        <v>56.056212000000002</v>
      </c>
      <c r="AO114" s="3">
        <v>188.7515008</v>
      </c>
      <c r="AP114" s="48" t="s">
        <v>313</v>
      </c>
      <c r="AQ114" s="49" t="s">
        <v>339</v>
      </c>
      <c r="AR114" s="3">
        <v>528.58624280000004</v>
      </c>
      <c r="AS114" s="3">
        <v>1152.4065370000001</v>
      </c>
      <c r="AT114" s="3">
        <v>908.67668319999996</v>
      </c>
      <c r="AU114" s="3">
        <v>948.9529119</v>
      </c>
      <c r="AV114" s="3">
        <v>173.20542140000001</v>
      </c>
      <c r="AW114" s="3">
        <v>1429.942063</v>
      </c>
      <c r="AX114" s="3">
        <v>853.73295840000003</v>
      </c>
      <c r="AY114" s="3">
        <v>995.62977579999995</v>
      </c>
      <c r="AZ114" s="3">
        <v>454.40816740000002</v>
      </c>
      <c r="BA114" s="3">
        <v>274.9222762</v>
      </c>
      <c r="BB114" s="3">
        <v>625.34839079999995</v>
      </c>
      <c r="BC114" s="3">
        <v>146.21350480000001</v>
      </c>
      <c r="BD114" s="3">
        <v>1015.310142</v>
      </c>
      <c r="BE114" s="48" t="s">
        <v>313</v>
      </c>
      <c r="BF114" s="49" t="s">
        <v>339</v>
      </c>
      <c r="BG114" s="3">
        <v>0.376</v>
      </c>
      <c r="BH114" s="3">
        <v>0.16300000000000001</v>
      </c>
      <c r="BI114" s="3">
        <v>0.39550000000000002</v>
      </c>
      <c r="BJ114" s="3">
        <v>0.50700000000000001</v>
      </c>
      <c r="BK114" s="3">
        <v>0.26700000000000002</v>
      </c>
      <c r="BL114" s="3">
        <v>0.34749999999999998</v>
      </c>
      <c r="BM114" s="3">
        <v>0.52</v>
      </c>
      <c r="BN114" s="3">
        <v>0.183</v>
      </c>
      <c r="BO114" s="3">
        <v>0.34200000000000003</v>
      </c>
      <c r="BP114" s="3">
        <v>0.52100000000000002</v>
      </c>
      <c r="BQ114" s="3">
        <v>0.223</v>
      </c>
      <c r="BR114" s="3">
        <v>0.39600000000000002</v>
      </c>
      <c r="BS114" s="3">
        <v>0.311</v>
      </c>
      <c r="BT114" s="3">
        <v>9.6000000000000002E-2</v>
      </c>
      <c r="BU114" s="3">
        <v>0.30208333399999998</v>
      </c>
      <c r="BV114" s="3">
        <v>0.54400000000000004</v>
      </c>
      <c r="BW114" s="3">
        <v>0.27900000000000003</v>
      </c>
      <c r="BX114" s="3">
        <v>0.40300000000000002</v>
      </c>
      <c r="BY114" s="3">
        <v>0.496</v>
      </c>
      <c r="BZ114" s="3">
        <v>0.08</v>
      </c>
      <c r="CA114" s="3">
        <v>4.5499999999999999E-2</v>
      </c>
      <c r="CB114" s="3">
        <v>0.34399999999999997</v>
      </c>
      <c r="CC114" s="3">
        <v>0.123</v>
      </c>
      <c r="CD114" s="3">
        <v>0.208666667</v>
      </c>
      <c r="CE114" s="3">
        <v>0.39900000000000002</v>
      </c>
      <c r="CF114" s="3">
        <v>7.4999999999999997E-2</v>
      </c>
      <c r="CG114" s="3">
        <v>0.26650000000000001</v>
      </c>
      <c r="CH114" s="3">
        <v>0.4</v>
      </c>
      <c r="CI114" s="3">
        <v>7.5999999999999998E-2</v>
      </c>
      <c r="CJ114" s="3">
        <v>0.34100000000000003</v>
      </c>
      <c r="CK114" s="3">
        <v>0.33800000000000002</v>
      </c>
      <c r="CL114" s="3">
        <v>9.2999999999999999E-2</v>
      </c>
      <c r="CM114" s="3">
        <v>0.1</v>
      </c>
      <c r="CN114" s="3">
        <v>0.5</v>
      </c>
      <c r="CO114" s="3">
        <v>0.17399999999999999</v>
      </c>
      <c r="CP114" s="3">
        <v>0.306666667</v>
      </c>
      <c r="CQ114" s="3">
        <v>0.53</v>
      </c>
      <c r="CR114" s="3">
        <v>0.159</v>
      </c>
      <c r="CS114" s="3">
        <v>0.48199999999999998</v>
      </c>
      <c r="CT114" s="48" t="s">
        <v>313</v>
      </c>
      <c r="CU114" s="49" t="s">
        <v>339</v>
      </c>
      <c r="CV114" s="3">
        <v>21.259</v>
      </c>
      <c r="CW114" s="3">
        <v>19.38</v>
      </c>
      <c r="CX114" s="3">
        <v>19.186</v>
      </c>
      <c r="CY114" s="3">
        <v>16.802</v>
      </c>
      <c r="CZ114" s="3">
        <v>21.986000000000001</v>
      </c>
      <c r="DA114" s="3">
        <v>15.952</v>
      </c>
      <c r="DB114" s="3">
        <v>13.477</v>
      </c>
      <c r="DC114" s="3">
        <v>21.7</v>
      </c>
      <c r="DD114" s="3">
        <v>23.317</v>
      </c>
      <c r="DE114" s="3">
        <v>23.27</v>
      </c>
      <c r="DF114" s="3">
        <v>19.948</v>
      </c>
      <c r="DG114" s="3">
        <v>15.795</v>
      </c>
      <c r="DH114" s="3">
        <v>17.670999999999999</v>
      </c>
    </row>
    <row r="115" spans="1:112" x14ac:dyDescent="0.3">
      <c r="A115" s="48" t="s">
        <v>313</v>
      </c>
      <c r="B115" s="49" t="s">
        <v>340</v>
      </c>
      <c r="C115" s="3">
        <v>44.355319999999999</v>
      </c>
      <c r="D115" s="3">
        <v>39.705620000000003</v>
      </c>
      <c r="E115" s="3">
        <v>39.705620000000003</v>
      </c>
      <c r="F115" s="3">
        <v>46.909956000000001</v>
      </c>
      <c r="G115" s="3">
        <v>45.690827200000001</v>
      </c>
      <c r="H115" s="3">
        <v>39.705620000000003</v>
      </c>
      <c r="I115" s="48" t="s">
        <v>313</v>
      </c>
      <c r="J115" s="49" t="s">
        <v>340</v>
      </c>
      <c r="K115" s="3">
        <v>35595.5</v>
      </c>
      <c r="L115" s="48" t="s">
        <v>313</v>
      </c>
      <c r="M115" s="49" t="s">
        <v>340</v>
      </c>
      <c r="N115" s="3">
        <v>964.95834600000001</v>
      </c>
      <c r="O115" s="3">
        <v>1107.0065850000001</v>
      </c>
      <c r="P115" s="3">
        <v>692.23513690000004</v>
      </c>
      <c r="Q115" s="3">
        <v>265.2938072</v>
      </c>
      <c r="R115" s="3">
        <v>1437.233248</v>
      </c>
      <c r="S115" s="3">
        <v>1275.9612950000001</v>
      </c>
      <c r="T115" s="3">
        <v>1261.579927</v>
      </c>
      <c r="U115" s="3">
        <v>1940.437328</v>
      </c>
      <c r="V115" s="3">
        <v>1443.8508899999999</v>
      </c>
      <c r="W115" s="3">
        <v>616.45122389999995</v>
      </c>
      <c r="X115" s="3">
        <v>901.43311730000005</v>
      </c>
      <c r="Y115" s="3">
        <v>75.173324879999996</v>
      </c>
      <c r="Z115" s="3">
        <v>848.54241950000005</v>
      </c>
      <c r="AA115" s="48" t="s">
        <v>313</v>
      </c>
      <c r="AB115" s="49" t="s">
        <v>340</v>
      </c>
      <c r="AC115" s="3">
        <v>259.7394018</v>
      </c>
      <c r="AD115" s="3">
        <v>246.65195600000001</v>
      </c>
      <c r="AE115" s="3">
        <v>152.30278960000001</v>
      </c>
      <c r="AF115" s="3">
        <v>52.500883010000003</v>
      </c>
      <c r="AG115" s="3">
        <v>469.8960654</v>
      </c>
      <c r="AH115" s="3">
        <v>341.66034669999999</v>
      </c>
      <c r="AI115" s="3">
        <v>358.27980309999998</v>
      </c>
      <c r="AJ115" s="3">
        <v>285.9499313</v>
      </c>
      <c r="AK115" s="3">
        <v>138.44361119999999</v>
      </c>
      <c r="AL115" s="3">
        <v>211.04895569999999</v>
      </c>
      <c r="AM115" s="3">
        <v>337.68853360000003</v>
      </c>
      <c r="AN115" s="3">
        <v>45.365156730000002</v>
      </c>
      <c r="AO115" s="3">
        <v>152.7527657</v>
      </c>
      <c r="AP115" s="48" t="s">
        <v>313</v>
      </c>
      <c r="AQ115" s="49" t="s">
        <v>340</v>
      </c>
      <c r="AR115" s="3">
        <v>501.73293100000001</v>
      </c>
      <c r="AS115" s="3">
        <v>1093.8618200000001</v>
      </c>
      <c r="AT115" s="3">
        <v>862.51396399999999</v>
      </c>
      <c r="AU115" s="3">
        <v>977.49284909999994</v>
      </c>
      <c r="AV115" s="3">
        <v>164.4062155</v>
      </c>
      <c r="AW115" s="3">
        <v>1357.297947</v>
      </c>
      <c r="AX115" s="3">
        <v>879.40913760000001</v>
      </c>
      <c r="AY115" s="3">
        <v>945.04965349999998</v>
      </c>
      <c r="AZ115" s="3">
        <v>431.3232605</v>
      </c>
      <c r="BA115" s="3">
        <v>260.95563650000003</v>
      </c>
      <c r="BB115" s="3">
        <v>644.1558612</v>
      </c>
      <c r="BC115" s="3">
        <v>138.78554600000001</v>
      </c>
      <c r="BD115" s="3">
        <v>963.73021500000004</v>
      </c>
      <c r="BE115" s="48" t="s">
        <v>313</v>
      </c>
      <c r="BF115" s="49" t="s">
        <v>340</v>
      </c>
      <c r="BG115" s="3">
        <v>0.23599999999999999</v>
      </c>
      <c r="BH115" s="3">
        <v>0.14799999999999999</v>
      </c>
      <c r="BI115" s="3">
        <v>0.33350000000000002</v>
      </c>
      <c r="BJ115" s="3">
        <v>0.36699999999999999</v>
      </c>
      <c r="BK115" s="3">
        <v>0.22900000000000001</v>
      </c>
      <c r="BL115" s="3">
        <v>0.29649999999999999</v>
      </c>
      <c r="BM115" s="3">
        <v>0.373</v>
      </c>
      <c r="BN115" s="3">
        <v>0.14599999999999999</v>
      </c>
      <c r="BO115" s="3">
        <v>0.30599999999999999</v>
      </c>
      <c r="BP115" s="3">
        <v>0.309</v>
      </c>
      <c r="BQ115" s="3">
        <v>0.19800000000000001</v>
      </c>
      <c r="BR115" s="3">
        <v>0.36033333299999998</v>
      </c>
      <c r="BS115" s="3">
        <v>0.215</v>
      </c>
      <c r="BT115" s="3">
        <v>9.0999999999999998E-2</v>
      </c>
      <c r="BU115" s="3">
        <v>0.24791666700000001</v>
      </c>
      <c r="BV115" s="3">
        <v>0.39500000000000002</v>
      </c>
      <c r="BW115" s="3">
        <v>0.23300000000000001</v>
      </c>
      <c r="BX115" s="3">
        <v>0.34100000000000003</v>
      </c>
      <c r="BY115" s="3">
        <v>0.35499999999999998</v>
      </c>
      <c r="BZ115" s="3">
        <v>6.8000000000000005E-2</v>
      </c>
      <c r="CA115" s="3">
        <v>3.0499999999999999E-2</v>
      </c>
      <c r="CB115" s="3">
        <v>0.23699999999999999</v>
      </c>
      <c r="CC115" s="3">
        <v>8.8999999999999996E-2</v>
      </c>
      <c r="CD115" s="3">
        <v>0.162333333</v>
      </c>
      <c r="CE115" s="3">
        <v>0.27600000000000002</v>
      </c>
      <c r="CF115" s="3">
        <v>7.5999999999999998E-2</v>
      </c>
      <c r="CG115" s="3">
        <v>0.23350000000000001</v>
      </c>
      <c r="CH115" s="3">
        <v>0.27600000000000002</v>
      </c>
      <c r="CI115" s="3">
        <v>7.5999999999999998E-2</v>
      </c>
      <c r="CJ115" s="3">
        <v>0.37633333299999999</v>
      </c>
      <c r="CK115" s="3">
        <v>0.252</v>
      </c>
      <c r="CL115" s="3">
        <v>9.0999999999999998E-2</v>
      </c>
      <c r="CM115" s="3">
        <v>0.1</v>
      </c>
      <c r="CN115" s="3">
        <v>0.372</v>
      </c>
      <c r="CO115" s="3">
        <v>0.14799999999999999</v>
      </c>
      <c r="CP115" s="3">
        <v>0.25466666700000001</v>
      </c>
      <c r="CQ115" s="3">
        <v>0.39300000000000002</v>
      </c>
      <c r="CR115" s="3">
        <v>0.14099999999999999</v>
      </c>
      <c r="CS115" s="3">
        <v>0.439</v>
      </c>
      <c r="CT115" s="48" t="s">
        <v>313</v>
      </c>
      <c r="CU115" s="49" t="s">
        <v>340</v>
      </c>
      <c r="CV115" s="3">
        <v>20.908000000000001</v>
      </c>
      <c r="CW115" s="3">
        <v>18.702000000000002</v>
      </c>
      <c r="CX115" s="3">
        <v>18.866</v>
      </c>
      <c r="CY115" s="3">
        <v>16.22</v>
      </c>
      <c r="CZ115" s="3">
        <v>21.584</v>
      </c>
      <c r="DA115" s="3">
        <v>15.661</v>
      </c>
      <c r="DB115" s="3">
        <v>13.055999999999999</v>
      </c>
      <c r="DC115" s="3">
        <v>21.393000000000001</v>
      </c>
      <c r="DD115" s="3">
        <v>22.856000000000002</v>
      </c>
      <c r="DE115" s="3">
        <v>22.806999999999999</v>
      </c>
      <c r="DF115" s="3">
        <v>19.736000000000001</v>
      </c>
      <c r="DG115" s="3">
        <v>15.372999999999999</v>
      </c>
      <c r="DH115" s="3">
        <v>17.349</v>
      </c>
    </row>
    <row r="116" spans="1:112" x14ac:dyDescent="0.3">
      <c r="A116" s="48" t="s">
        <v>313</v>
      </c>
      <c r="B116" s="49" t="s">
        <v>341</v>
      </c>
      <c r="C116" s="3">
        <v>44.355319999999999</v>
      </c>
      <c r="D116" s="3">
        <v>41.671174999999998</v>
      </c>
      <c r="E116" s="3">
        <v>41.671174999999998</v>
      </c>
      <c r="F116" s="3">
        <v>47.92589667</v>
      </c>
      <c r="G116" s="3">
        <v>47.92589667</v>
      </c>
      <c r="H116" s="3">
        <v>41.671174999999998</v>
      </c>
      <c r="I116" s="48" t="s">
        <v>313</v>
      </c>
      <c r="J116" s="49" t="s">
        <v>341</v>
      </c>
      <c r="K116" s="3">
        <v>35389.5</v>
      </c>
      <c r="L116" s="48" t="s">
        <v>313</v>
      </c>
      <c r="M116" s="49" t="s">
        <v>341</v>
      </c>
      <c r="N116" s="3">
        <v>1454.1013439999999</v>
      </c>
      <c r="O116" s="3">
        <v>1577.196117</v>
      </c>
      <c r="P116" s="3">
        <v>769.52728279999997</v>
      </c>
      <c r="Q116" s="3">
        <v>550.00263610000002</v>
      </c>
      <c r="R116" s="3">
        <v>1846.334177</v>
      </c>
      <c r="S116" s="3">
        <v>1758.2882529999999</v>
      </c>
      <c r="T116" s="3">
        <v>1704.3062179999999</v>
      </c>
      <c r="U116" s="3">
        <v>2271.9026389999999</v>
      </c>
      <c r="V116" s="3">
        <v>1651.9311090000001</v>
      </c>
      <c r="W116" s="3">
        <v>1022.724651</v>
      </c>
      <c r="X116" s="3">
        <v>1273.325517</v>
      </c>
      <c r="Y116" s="3">
        <v>86.122293920000004</v>
      </c>
      <c r="Z116" s="3">
        <v>1020.80992</v>
      </c>
      <c r="AA116" s="48" t="s">
        <v>313</v>
      </c>
      <c r="AB116" s="49" t="s">
        <v>341</v>
      </c>
      <c r="AC116" s="3">
        <v>295.15841119999999</v>
      </c>
      <c r="AD116" s="3">
        <v>280.28631360000003</v>
      </c>
      <c r="AE116" s="3">
        <v>173.0713518</v>
      </c>
      <c r="AF116" s="3">
        <v>55.544412459999997</v>
      </c>
      <c r="AG116" s="3">
        <v>533.97280160000003</v>
      </c>
      <c r="AH116" s="3">
        <v>388.25039400000003</v>
      </c>
      <c r="AI116" s="3">
        <v>379.0496468</v>
      </c>
      <c r="AJ116" s="3">
        <v>324.94310380000002</v>
      </c>
      <c r="AK116" s="3">
        <v>157.32228549999999</v>
      </c>
      <c r="AL116" s="3">
        <v>239.82835879999999</v>
      </c>
      <c r="AM116" s="3">
        <v>357.2646805</v>
      </c>
      <c r="AN116" s="3">
        <v>51.551314470000001</v>
      </c>
      <c r="AO116" s="3">
        <v>173.58268820000001</v>
      </c>
      <c r="AP116" s="48" t="s">
        <v>313</v>
      </c>
      <c r="AQ116" s="49" t="s">
        <v>341</v>
      </c>
      <c r="AR116" s="3">
        <v>517.27958520000004</v>
      </c>
      <c r="AS116" s="3">
        <v>1127.7561290000001</v>
      </c>
      <c r="AT116" s="3">
        <v>889.23974880000003</v>
      </c>
      <c r="AU116" s="3">
        <v>982.24950530000001</v>
      </c>
      <c r="AV116" s="3">
        <v>169.5004926</v>
      </c>
      <c r="AW116" s="3">
        <v>1399.355067</v>
      </c>
      <c r="AX116" s="3">
        <v>883.68850080000004</v>
      </c>
      <c r="AY116" s="3">
        <v>974.33288219999997</v>
      </c>
      <c r="AZ116" s="3">
        <v>444.6882066</v>
      </c>
      <c r="BA116" s="3">
        <v>269.04158580000001</v>
      </c>
      <c r="BB116" s="3">
        <v>647.29043960000001</v>
      </c>
      <c r="BC116" s="3">
        <v>143.0859432</v>
      </c>
      <c r="BD116" s="3">
        <v>993.59227799999996</v>
      </c>
      <c r="BE116" s="48" t="s">
        <v>313</v>
      </c>
      <c r="BF116" s="49" t="s">
        <v>341</v>
      </c>
      <c r="BG116" s="3">
        <v>0.129</v>
      </c>
      <c r="BH116" s="3">
        <v>0.128</v>
      </c>
      <c r="BI116" s="3">
        <v>0.27500000000000002</v>
      </c>
      <c r="BJ116" s="3">
        <v>0.20399999999999999</v>
      </c>
      <c r="BK116" s="3">
        <v>0.184</v>
      </c>
      <c r="BL116" s="3">
        <v>0.24399999999999999</v>
      </c>
      <c r="BM116" s="3">
        <v>0.20799999999999999</v>
      </c>
      <c r="BN116" s="3">
        <v>0.114</v>
      </c>
      <c r="BO116" s="3">
        <v>0.27350000000000002</v>
      </c>
      <c r="BP116" s="3">
        <v>0.182</v>
      </c>
      <c r="BQ116" s="3">
        <v>0.17299999999999999</v>
      </c>
      <c r="BR116" s="3">
        <v>0.33300000000000002</v>
      </c>
      <c r="BS116" s="3">
        <v>0.122</v>
      </c>
      <c r="BT116" s="3">
        <v>0.09</v>
      </c>
      <c r="BU116" s="3">
        <v>0.213166667</v>
      </c>
      <c r="BV116" s="3">
        <v>0.21299999999999999</v>
      </c>
      <c r="BW116" s="3">
        <v>0.19400000000000001</v>
      </c>
      <c r="BX116" s="3">
        <v>0.28799999999999998</v>
      </c>
      <c r="BY116" s="3">
        <v>0.216</v>
      </c>
      <c r="BZ116" s="3">
        <v>5.3999999999999999E-2</v>
      </c>
      <c r="CA116" s="3">
        <v>1.9E-2</v>
      </c>
      <c r="CB116" s="3">
        <v>0.112</v>
      </c>
      <c r="CC116" s="3">
        <v>6.0999999999999999E-2</v>
      </c>
      <c r="CD116" s="3">
        <v>0.15133333299999999</v>
      </c>
      <c r="CE116" s="3">
        <v>0.158</v>
      </c>
      <c r="CF116" s="3">
        <v>7.6999999999999999E-2</v>
      </c>
      <c r="CG116" s="3">
        <v>0.2</v>
      </c>
      <c r="CH116" s="3">
        <v>0.159</v>
      </c>
      <c r="CI116" s="3">
        <v>7.8E-2</v>
      </c>
      <c r="CJ116" s="3">
        <v>0.430666667</v>
      </c>
      <c r="CK116" s="3">
        <v>0.17100000000000001</v>
      </c>
      <c r="CL116" s="3">
        <v>8.5999999999999993E-2</v>
      </c>
      <c r="CM116" s="3">
        <v>0.1</v>
      </c>
      <c r="CN116" s="3">
        <v>0.214</v>
      </c>
      <c r="CO116" s="3">
        <v>0.128</v>
      </c>
      <c r="CP116" s="3">
        <v>0.21033333300000001</v>
      </c>
      <c r="CQ116" s="3">
        <v>0.23</v>
      </c>
      <c r="CR116" s="3">
        <v>0.122</v>
      </c>
      <c r="CS116" s="3">
        <v>0.41499999999999998</v>
      </c>
      <c r="CT116" s="48" t="s">
        <v>313</v>
      </c>
      <c r="CU116" s="49" t="s">
        <v>341</v>
      </c>
      <c r="CV116" s="3">
        <v>20.29</v>
      </c>
      <c r="CW116" s="3">
        <v>17.832999999999998</v>
      </c>
      <c r="CX116" s="3">
        <v>18.297000000000001</v>
      </c>
      <c r="CY116" s="3">
        <v>15.566000000000001</v>
      </c>
      <c r="CZ116" s="3">
        <v>20.948</v>
      </c>
      <c r="DA116" s="3">
        <v>15.113</v>
      </c>
      <c r="DB116" s="3">
        <v>12.534000000000001</v>
      </c>
      <c r="DC116" s="3">
        <v>20.727</v>
      </c>
      <c r="DD116" s="3">
        <v>22.096</v>
      </c>
      <c r="DE116" s="3">
        <v>22.047999999999998</v>
      </c>
      <c r="DF116" s="3">
        <v>19.332000000000001</v>
      </c>
      <c r="DG116" s="3">
        <v>14.688000000000001</v>
      </c>
      <c r="DH116" s="3">
        <v>16.823</v>
      </c>
    </row>
    <row r="117" spans="1:112" x14ac:dyDescent="0.3">
      <c r="A117" s="48" t="s">
        <v>313</v>
      </c>
      <c r="B117" s="49" t="s">
        <v>342</v>
      </c>
      <c r="C117" s="3">
        <v>43.960799999999999</v>
      </c>
      <c r="D117" s="3">
        <v>38.726365000000001</v>
      </c>
      <c r="E117" s="3">
        <v>38.726365000000001</v>
      </c>
      <c r="F117" s="3">
        <v>48.24393027</v>
      </c>
      <c r="G117" s="3">
        <v>49.277539470000001</v>
      </c>
      <c r="H117" s="3">
        <v>38.726365000000001</v>
      </c>
      <c r="I117" s="48" t="s">
        <v>313</v>
      </c>
      <c r="J117" s="49" t="s">
        <v>342</v>
      </c>
      <c r="K117" s="3">
        <v>34762.5</v>
      </c>
      <c r="L117" s="48" t="s">
        <v>313</v>
      </c>
      <c r="M117" s="49" t="s">
        <v>342</v>
      </c>
      <c r="N117" s="3">
        <v>1789.7221380000001</v>
      </c>
      <c r="O117" s="3">
        <v>2000.45199</v>
      </c>
      <c r="P117" s="3">
        <v>856.91856399999995</v>
      </c>
      <c r="Q117" s="3">
        <v>708.75632129999997</v>
      </c>
      <c r="R117" s="3">
        <v>2227.5937869999998</v>
      </c>
      <c r="S117" s="3">
        <v>2182.5326140000002</v>
      </c>
      <c r="T117" s="3">
        <v>1665.4023589999999</v>
      </c>
      <c r="U117" s="3">
        <v>2383.8808669999999</v>
      </c>
      <c r="V117" s="3">
        <v>1734.1270910000001</v>
      </c>
      <c r="W117" s="3">
        <v>1350.788301</v>
      </c>
      <c r="X117" s="3">
        <v>1628.040577</v>
      </c>
      <c r="Y117" s="3">
        <v>162.7166301</v>
      </c>
      <c r="Z117" s="3">
        <v>1119.3020779999999</v>
      </c>
      <c r="AA117" s="48" t="s">
        <v>313</v>
      </c>
      <c r="AB117" s="49" t="s">
        <v>342</v>
      </c>
      <c r="AC117" s="3">
        <v>256.59104539999998</v>
      </c>
      <c r="AD117" s="3">
        <v>243.66223529999999</v>
      </c>
      <c r="AE117" s="3">
        <v>150.45669520000001</v>
      </c>
      <c r="AF117" s="3">
        <v>54.022647730000003</v>
      </c>
      <c r="AG117" s="3">
        <v>464.2003555</v>
      </c>
      <c r="AH117" s="3">
        <v>337.51900920000003</v>
      </c>
      <c r="AI117" s="3">
        <v>368.66472490000001</v>
      </c>
      <c r="AJ117" s="3">
        <v>282.48387159999999</v>
      </c>
      <c r="AK117" s="3">
        <v>136.76550689999999</v>
      </c>
      <c r="AL117" s="3">
        <v>208.49078660000001</v>
      </c>
      <c r="AM117" s="3">
        <v>347.47660710000002</v>
      </c>
      <c r="AN117" s="3">
        <v>44.815276040000001</v>
      </c>
      <c r="AO117" s="3">
        <v>150.901217</v>
      </c>
      <c r="AP117" s="48" t="s">
        <v>313</v>
      </c>
      <c r="AQ117" s="49" t="s">
        <v>342</v>
      </c>
      <c r="AR117" s="3">
        <v>531.41290719999995</v>
      </c>
      <c r="AS117" s="3">
        <v>1158.5691380000001</v>
      </c>
      <c r="AT117" s="3">
        <v>913.5359168</v>
      </c>
      <c r="AU117" s="3">
        <v>1006.032786</v>
      </c>
      <c r="AV117" s="3">
        <v>174.13165359999999</v>
      </c>
      <c r="AW117" s="3">
        <v>1437.588812</v>
      </c>
      <c r="AX117" s="3">
        <v>905.08531679999999</v>
      </c>
      <c r="AY117" s="3">
        <v>1000.953999</v>
      </c>
      <c r="AZ117" s="3">
        <v>456.83815759999999</v>
      </c>
      <c r="BA117" s="3">
        <v>276.39244880000001</v>
      </c>
      <c r="BB117" s="3">
        <v>662.96333159999995</v>
      </c>
      <c r="BC117" s="3">
        <v>146.99539519999999</v>
      </c>
      <c r="BD117" s="3">
        <v>1020.739608</v>
      </c>
      <c r="BE117" s="48" t="s">
        <v>313</v>
      </c>
      <c r="BF117" s="49" t="s">
        <v>342</v>
      </c>
      <c r="BG117" s="3">
        <v>5.7000000000000002E-2</v>
      </c>
      <c r="BH117" s="3">
        <v>0.11</v>
      </c>
      <c r="BI117" s="3">
        <v>0.22650000000000001</v>
      </c>
      <c r="BJ117" s="3">
        <v>6.0999999999999999E-2</v>
      </c>
      <c r="BK117" s="3">
        <v>0.152</v>
      </c>
      <c r="BL117" s="3">
        <v>0.20799999999999999</v>
      </c>
      <c r="BM117" s="3">
        <v>6.7000000000000004E-2</v>
      </c>
      <c r="BN117" s="3">
        <v>8.8999999999999996E-2</v>
      </c>
      <c r="BO117" s="3">
        <v>0.251</v>
      </c>
      <c r="BP117" s="3">
        <v>7.1999999999999995E-2</v>
      </c>
      <c r="BQ117" s="3">
        <v>0.13400000000000001</v>
      </c>
      <c r="BR117" s="3">
        <v>0.29633333299999998</v>
      </c>
      <c r="BS117" s="3">
        <v>5.5E-2</v>
      </c>
      <c r="BT117" s="3">
        <v>0.10100000000000001</v>
      </c>
      <c r="BU117" s="3">
        <v>0.19208333399999999</v>
      </c>
      <c r="BV117" s="3">
        <v>7.3999999999999996E-2</v>
      </c>
      <c r="BW117" s="3">
        <v>0.16700000000000001</v>
      </c>
      <c r="BX117" s="3">
        <v>0.246</v>
      </c>
      <c r="BY117" s="3">
        <v>9.0999999999999998E-2</v>
      </c>
      <c r="BZ117" s="3">
        <v>3.7999999999999999E-2</v>
      </c>
      <c r="CA117" s="3">
        <v>1.4500000000000001E-2</v>
      </c>
      <c r="CB117" s="3">
        <v>4.3999999999999997E-2</v>
      </c>
      <c r="CC117" s="3">
        <v>3.9E-2</v>
      </c>
      <c r="CD117" s="3">
        <v>0.15766666700000001</v>
      </c>
      <c r="CE117" s="3">
        <v>6.3E-2</v>
      </c>
      <c r="CF117" s="3">
        <v>8.7999999999999995E-2</v>
      </c>
      <c r="CG117" s="3">
        <v>0.16400000000000001</v>
      </c>
      <c r="CH117" s="3">
        <v>6.3E-2</v>
      </c>
      <c r="CI117" s="3">
        <v>0.09</v>
      </c>
      <c r="CJ117" s="3">
        <v>0.46766666699999998</v>
      </c>
      <c r="CK117" s="3">
        <v>7.3999999999999996E-2</v>
      </c>
      <c r="CL117" s="3">
        <v>9.2999999999999999E-2</v>
      </c>
      <c r="CM117" s="3">
        <v>0.1</v>
      </c>
      <c r="CN117" s="3">
        <v>6.8000000000000005E-2</v>
      </c>
      <c r="CO117" s="3">
        <v>0.115</v>
      </c>
      <c r="CP117" s="3">
        <v>0.183</v>
      </c>
      <c r="CQ117" s="3">
        <v>7.8E-2</v>
      </c>
      <c r="CR117" s="3">
        <v>0.14000000000000001</v>
      </c>
      <c r="CS117" s="3">
        <v>0.439</v>
      </c>
      <c r="CT117" s="48" t="s">
        <v>313</v>
      </c>
      <c r="CU117" s="49" t="s">
        <v>342</v>
      </c>
      <c r="CV117" s="3">
        <v>19.265000000000001</v>
      </c>
      <c r="CW117" s="3">
        <v>16.599</v>
      </c>
      <c r="CX117" s="3">
        <v>17.201000000000001</v>
      </c>
      <c r="CY117" s="3">
        <v>14.624000000000001</v>
      </c>
      <c r="CZ117" s="3">
        <v>19.984999999999999</v>
      </c>
      <c r="DA117" s="3">
        <v>14.295</v>
      </c>
      <c r="DB117" s="3">
        <v>11.817</v>
      </c>
      <c r="DC117" s="3">
        <v>19.853000000000002</v>
      </c>
      <c r="DD117" s="3">
        <v>20.997</v>
      </c>
      <c r="DE117" s="3">
        <v>20.952000000000002</v>
      </c>
      <c r="DF117" s="3">
        <v>18.637</v>
      </c>
      <c r="DG117" s="3">
        <v>13.689</v>
      </c>
      <c r="DH117" s="3">
        <v>15.901</v>
      </c>
    </row>
    <row r="118" spans="1:112" x14ac:dyDescent="0.3">
      <c r="A118" s="48" t="s">
        <v>313</v>
      </c>
      <c r="B118" s="49" t="s">
        <v>343</v>
      </c>
      <c r="C118" s="3">
        <v>32.604259999999996</v>
      </c>
      <c r="D118" s="3">
        <v>36.873530000000002</v>
      </c>
      <c r="E118" s="3">
        <v>36.873530000000002</v>
      </c>
      <c r="F118" s="3">
        <v>48.473621199999997</v>
      </c>
      <c r="G118" s="3">
        <v>49.383550669999998</v>
      </c>
      <c r="H118" s="3">
        <v>36.873530000000002</v>
      </c>
      <c r="I118" s="48" t="s">
        <v>313</v>
      </c>
      <c r="J118" s="49" t="s">
        <v>343</v>
      </c>
      <c r="K118" s="3">
        <v>34037.5</v>
      </c>
      <c r="L118" s="48" t="s">
        <v>313</v>
      </c>
      <c r="M118" s="49" t="s">
        <v>343</v>
      </c>
      <c r="N118" s="3">
        <v>1857.504919</v>
      </c>
      <c r="O118" s="3">
        <v>2111.9386279999999</v>
      </c>
      <c r="P118" s="3">
        <v>914.7475938</v>
      </c>
      <c r="Q118" s="3">
        <v>910.73776220000002</v>
      </c>
      <c r="R118" s="3">
        <v>2593.5509050000001</v>
      </c>
      <c r="S118" s="3">
        <v>2393.3216299999999</v>
      </c>
      <c r="T118" s="3">
        <v>1759.7843069999999</v>
      </c>
      <c r="U118" s="3">
        <v>2201.028687</v>
      </c>
      <c r="V118" s="3">
        <v>1567.6548929999999</v>
      </c>
      <c r="W118" s="3">
        <v>1464.9437829999999</v>
      </c>
      <c r="X118" s="3">
        <v>1831.144738</v>
      </c>
      <c r="Y118" s="3">
        <v>227.40101609999999</v>
      </c>
      <c r="Z118" s="3">
        <v>1310.1212700000001</v>
      </c>
      <c r="AA118" s="48" t="s">
        <v>313</v>
      </c>
      <c r="AB118" s="49" t="s">
        <v>343</v>
      </c>
      <c r="AC118" s="3">
        <v>177.40988229999999</v>
      </c>
      <c r="AD118" s="3">
        <v>168.47076029999999</v>
      </c>
      <c r="AE118" s="3">
        <v>104.02742050000001</v>
      </c>
      <c r="AF118" s="3">
        <v>36.750618109999998</v>
      </c>
      <c r="AG118" s="3">
        <v>320.9532519</v>
      </c>
      <c r="AH118" s="3">
        <v>233.3643702</v>
      </c>
      <c r="AI118" s="3">
        <v>250.79586219999999</v>
      </c>
      <c r="AJ118" s="3">
        <v>195.31246820000001</v>
      </c>
      <c r="AK118" s="3">
        <v>94.561181739999995</v>
      </c>
      <c r="AL118" s="3">
        <v>144.15283220000001</v>
      </c>
      <c r="AM118" s="3">
        <v>236.38197360000001</v>
      </c>
      <c r="AN118" s="3">
        <v>30.985776749999999</v>
      </c>
      <c r="AO118" s="3">
        <v>104.33476779999999</v>
      </c>
      <c r="AP118" s="48" t="s">
        <v>313</v>
      </c>
      <c r="AQ118" s="49" t="s">
        <v>343</v>
      </c>
      <c r="AR118" s="3">
        <v>575.22620540000003</v>
      </c>
      <c r="AS118" s="3">
        <v>1254.0894659999999</v>
      </c>
      <c r="AT118" s="3">
        <v>988.85403759999997</v>
      </c>
      <c r="AU118" s="3">
        <v>1001.27613</v>
      </c>
      <c r="AV118" s="3">
        <v>188.4882527</v>
      </c>
      <c r="AW118" s="3">
        <v>1556.1134219999999</v>
      </c>
      <c r="AX118" s="3">
        <v>900.80595359999995</v>
      </c>
      <c r="AY118" s="3">
        <v>1083.479462</v>
      </c>
      <c r="AZ118" s="3">
        <v>494.50300570000002</v>
      </c>
      <c r="BA118" s="3">
        <v>299.1801241</v>
      </c>
      <c r="BB118" s="3">
        <v>659.82875320000005</v>
      </c>
      <c r="BC118" s="3">
        <v>159.11469640000001</v>
      </c>
      <c r="BD118" s="3">
        <v>1104.8963309999999</v>
      </c>
      <c r="BE118" s="48" t="s">
        <v>313</v>
      </c>
      <c r="BF118" s="49" t="s">
        <v>343</v>
      </c>
      <c r="BG118" s="3">
        <v>1.0999999999999999E-2</v>
      </c>
      <c r="BH118" s="3">
        <v>0.123</v>
      </c>
      <c r="BI118" s="3">
        <v>0.20899999999999999</v>
      </c>
      <c r="BJ118" s="3">
        <v>1.9E-2</v>
      </c>
      <c r="BK118" s="3">
        <v>0.155</v>
      </c>
      <c r="BL118" s="3">
        <v>0.1895</v>
      </c>
      <c r="BM118" s="3">
        <v>1.6E-2</v>
      </c>
      <c r="BN118" s="3">
        <v>7.4999999999999997E-2</v>
      </c>
      <c r="BO118" s="3">
        <v>0.22900000000000001</v>
      </c>
      <c r="BP118" s="3">
        <v>2.1000000000000001E-2</v>
      </c>
      <c r="BQ118" s="3">
        <v>0.111</v>
      </c>
      <c r="BR118" s="3">
        <v>0.28166666699999998</v>
      </c>
      <c r="BS118" s="3">
        <v>1.0999999999999999E-2</v>
      </c>
      <c r="BT118" s="3">
        <v>0.154</v>
      </c>
      <c r="BU118" s="3">
        <v>0.18149999999999999</v>
      </c>
      <c r="BV118" s="3">
        <v>2.3E-2</v>
      </c>
      <c r="BW118" s="3">
        <v>0.16900000000000001</v>
      </c>
      <c r="BX118" s="3">
        <v>0.24099999999999999</v>
      </c>
      <c r="BY118" s="3">
        <v>0.03</v>
      </c>
      <c r="BZ118" s="3">
        <v>2.8000000000000001E-2</v>
      </c>
      <c r="CA118" s="3">
        <v>1.95E-2</v>
      </c>
      <c r="CB118" s="3">
        <v>7.0000000000000001E-3</v>
      </c>
      <c r="CC118" s="3">
        <v>2.3E-2</v>
      </c>
      <c r="CD118" s="3">
        <v>0.154</v>
      </c>
      <c r="CE118" s="3">
        <v>1.4E-2</v>
      </c>
      <c r="CF118" s="3">
        <v>0.14499999999999999</v>
      </c>
      <c r="CG118" s="3">
        <v>0.11600000000000001</v>
      </c>
      <c r="CH118" s="3">
        <v>1.4E-2</v>
      </c>
      <c r="CI118" s="3">
        <v>0.14699999999999999</v>
      </c>
      <c r="CJ118" s="3">
        <v>0.47433333300000002</v>
      </c>
      <c r="CK118" s="3">
        <v>1.7999999999999999E-2</v>
      </c>
      <c r="CL118" s="3">
        <v>0.13400000000000001</v>
      </c>
      <c r="CM118" s="3">
        <v>0.1</v>
      </c>
      <c r="CN118" s="3">
        <v>0.02</v>
      </c>
      <c r="CO118" s="3">
        <v>0.123</v>
      </c>
      <c r="CP118" s="3">
        <v>0.192</v>
      </c>
      <c r="CQ118" s="3">
        <v>2.3E-2</v>
      </c>
      <c r="CR118" s="3">
        <v>0.19900000000000001</v>
      </c>
      <c r="CS118" s="3">
        <v>0.497</v>
      </c>
      <c r="CT118" s="48" t="s">
        <v>313</v>
      </c>
      <c r="CU118" s="49" t="s">
        <v>343</v>
      </c>
      <c r="CV118" s="3">
        <v>17.234000000000002</v>
      </c>
      <c r="CW118" s="3">
        <v>14.161</v>
      </c>
      <c r="CX118" s="3">
        <v>15.504</v>
      </c>
      <c r="CY118" s="3">
        <v>13.24</v>
      </c>
      <c r="CZ118" s="3">
        <v>17.975999999999999</v>
      </c>
      <c r="DA118" s="3">
        <v>12.667999999999999</v>
      </c>
      <c r="DB118" s="3">
        <v>11.01</v>
      </c>
      <c r="DC118" s="3">
        <v>18.367000000000001</v>
      </c>
      <c r="DD118" s="3">
        <v>18.870999999999999</v>
      </c>
      <c r="DE118" s="3">
        <v>18.827000000000002</v>
      </c>
      <c r="DF118" s="3">
        <v>17.113</v>
      </c>
      <c r="DG118" s="3">
        <v>11.848000000000001</v>
      </c>
      <c r="DH118" s="3">
        <v>13.932</v>
      </c>
    </row>
    <row r="119" spans="1:112" x14ac:dyDescent="0.3">
      <c r="A119" s="48" t="s">
        <v>313</v>
      </c>
      <c r="B119" s="49" t="s">
        <v>344</v>
      </c>
      <c r="C119" s="3">
        <v>36.457875000000001</v>
      </c>
      <c r="D119" s="3">
        <v>38.028910000000003</v>
      </c>
      <c r="E119" s="3">
        <v>38.028910000000003</v>
      </c>
      <c r="F119" s="3">
        <v>48.614969469999998</v>
      </c>
      <c r="G119" s="3">
        <v>49.816429730000003</v>
      </c>
      <c r="H119" s="3">
        <v>38.028910000000003</v>
      </c>
      <c r="I119" s="48" t="s">
        <v>313</v>
      </c>
      <c r="J119" s="49" t="s">
        <v>344</v>
      </c>
      <c r="K119" s="3">
        <v>33566.5</v>
      </c>
      <c r="L119" s="48" t="s">
        <v>313</v>
      </c>
      <c r="M119" s="49" t="s">
        <v>344</v>
      </c>
      <c r="N119" s="3">
        <v>1645.6791290000001</v>
      </c>
      <c r="O119" s="3">
        <v>1898.3637779999999</v>
      </c>
      <c r="P119" s="3">
        <v>791.15573970000003</v>
      </c>
      <c r="Q119" s="3">
        <v>857.344202</v>
      </c>
      <c r="R119" s="3">
        <v>2503.0499719999998</v>
      </c>
      <c r="S119" s="3">
        <v>2273.9494530000002</v>
      </c>
      <c r="T119" s="3">
        <v>1750.359199</v>
      </c>
      <c r="U119" s="3">
        <v>1943.5637839999999</v>
      </c>
      <c r="V119" s="3">
        <v>1256.590119</v>
      </c>
      <c r="W119" s="3">
        <v>1305.2382500000001</v>
      </c>
      <c r="X119" s="3">
        <v>1730.4572519999999</v>
      </c>
      <c r="Y119" s="3">
        <v>291.52750140000001</v>
      </c>
      <c r="Z119" s="3">
        <v>1076.942773</v>
      </c>
      <c r="AA119" s="48" t="s">
        <v>313</v>
      </c>
      <c r="AB119" s="49" t="s">
        <v>344</v>
      </c>
      <c r="AC119" s="3">
        <v>189.53105439999999</v>
      </c>
      <c r="AD119" s="3">
        <v>179.98118489999999</v>
      </c>
      <c r="AE119" s="3">
        <v>111.13488409999999</v>
      </c>
      <c r="AF119" s="3">
        <v>35.046241610000003</v>
      </c>
      <c r="AG119" s="3">
        <v>342.88173499999999</v>
      </c>
      <c r="AH119" s="3">
        <v>249.30851970000001</v>
      </c>
      <c r="AI119" s="3">
        <v>239.16474969999999</v>
      </c>
      <c r="AJ119" s="3">
        <v>208.65679840000001</v>
      </c>
      <c r="AK119" s="3">
        <v>101.0218836</v>
      </c>
      <c r="AL119" s="3">
        <v>154.00178339999999</v>
      </c>
      <c r="AM119" s="3">
        <v>225.41933130000001</v>
      </c>
      <c r="AN119" s="3">
        <v>33.102817399999999</v>
      </c>
      <c r="AO119" s="3">
        <v>111.4632302</v>
      </c>
      <c r="AP119" s="48" t="s">
        <v>313</v>
      </c>
      <c r="AQ119" s="49" t="s">
        <v>344</v>
      </c>
      <c r="AR119" s="3">
        <v>578.05286980000005</v>
      </c>
      <c r="AS119" s="3">
        <v>1260.252068</v>
      </c>
      <c r="AT119" s="3">
        <v>993.71327120000001</v>
      </c>
      <c r="AU119" s="3">
        <v>991.76281770000003</v>
      </c>
      <c r="AV119" s="3">
        <v>189.41448489999999</v>
      </c>
      <c r="AW119" s="3">
        <v>1563.7601709999999</v>
      </c>
      <c r="AX119" s="3">
        <v>892.2472272</v>
      </c>
      <c r="AY119" s="3">
        <v>1088.8036850000001</v>
      </c>
      <c r="AZ119" s="3">
        <v>496.93299589999998</v>
      </c>
      <c r="BA119" s="3">
        <v>300.65029670000001</v>
      </c>
      <c r="BB119" s="3">
        <v>653.55959640000003</v>
      </c>
      <c r="BC119" s="3">
        <v>159.89658679999999</v>
      </c>
      <c r="BD119" s="3">
        <v>1110.325797</v>
      </c>
      <c r="BE119" s="48" t="s">
        <v>313</v>
      </c>
      <c r="BF119" s="49" t="s">
        <v>344</v>
      </c>
      <c r="BG119" s="3">
        <v>0</v>
      </c>
      <c r="BH119" s="3">
        <v>0.14499999999999999</v>
      </c>
      <c r="BI119" s="3">
        <v>0.20749999999999999</v>
      </c>
      <c r="BJ119" s="3">
        <v>0</v>
      </c>
      <c r="BK119" s="3">
        <v>0.16700000000000001</v>
      </c>
      <c r="BL119" s="3">
        <v>0.17899999999999999</v>
      </c>
      <c r="BM119" s="3">
        <v>0</v>
      </c>
      <c r="BN119" s="3">
        <v>7.5999999999999998E-2</v>
      </c>
      <c r="BO119" s="3">
        <v>0.2215</v>
      </c>
      <c r="BP119" s="3">
        <v>0</v>
      </c>
      <c r="BQ119" s="3">
        <v>0.10100000000000001</v>
      </c>
      <c r="BR119" s="3">
        <v>0.27600000000000002</v>
      </c>
      <c r="BS119" s="3">
        <v>0</v>
      </c>
      <c r="BT119" s="3">
        <v>0.23699999999999999</v>
      </c>
      <c r="BU119" s="3">
        <v>0.18208333400000001</v>
      </c>
      <c r="BV119" s="3">
        <v>0</v>
      </c>
      <c r="BW119" s="3">
        <v>0.192</v>
      </c>
      <c r="BX119" s="3">
        <v>0.247</v>
      </c>
      <c r="BY119" s="3">
        <v>1E-3</v>
      </c>
      <c r="BZ119" s="3">
        <v>2.3E-2</v>
      </c>
      <c r="CA119" s="3">
        <v>3.3500000000000002E-2</v>
      </c>
      <c r="CB119" s="3">
        <v>0</v>
      </c>
      <c r="CC119" s="3">
        <v>1.9E-2</v>
      </c>
      <c r="CD119" s="3">
        <v>0.15666666700000001</v>
      </c>
      <c r="CE119" s="3">
        <v>0</v>
      </c>
      <c r="CF119" s="3">
        <v>0.26100000000000001</v>
      </c>
      <c r="CG119" s="3">
        <v>8.2500000000000004E-2</v>
      </c>
      <c r="CH119" s="3">
        <v>0</v>
      </c>
      <c r="CI119" s="3">
        <v>0.26400000000000001</v>
      </c>
      <c r="CJ119" s="3">
        <v>0.47066666699999998</v>
      </c>
      <c r="CK119" s="3">
        <v>0</v>
      </c>
      <c r="CL119" s="3">
        <v>0.182</v>
      </c>
      <c r="CM119" s="3">
        <v>0.1</v>
      </c>
      <c r="CN119" s="3">
        <v>0</v>
      </c>
      <c r="CO119" s="3">
        <v>0.151</v>
      </c>
      <c r="CP119" s="3">
        <v>0.222</v>
      </c>
      <c r="CQ119" s="3">
        <v>0</v>
      </c>
      <c r="CR119" s="3">
        <v>0.28999999999999998</v>
      </c>
      <c r="CS119" s="3">
        <v>0.53400000000000003</v>
      </c>
      <c r="CT119" s="48" t="s">
        <v>313</v>
      </c>
      <c r="CU119" s="49" t="s">
        <v>344</v>
      </c>
      <c r="CV119" s="3">
        <v>15.178000000000001</v>
      </c>
      <c r="CW119" s="3">
        <v>12.013999999999999</v>
      </c>
      <c r="CX119" s="3">
        <v>13.653</v>
      </c>
      <c r="CY119" s="3">
        <v>11.436999999999999</v>
      </c>
      <c r="CZ119" s="3">
        <v>15.901</v>
      </c>
      <c r="DA119" s="3">
        <v>10.624000000000001</v>
      </c>
      <c r="DB119" s="3">
        <v>9.9179999999999993</v>
      </c>
      <c r="DC119" s="3">
        <v>17.018000000000001</v>
      </c>
      <c r="DD119" s="3">
        <v>16.814</v>
      </c>
      <c r="DE119" s="3">
        <v>16.756</v>
      </c>
      <c r="DF119" s="3">
        <v>15.567</v>
      </c>
      <c r="DG119" s="3">
        <v>9.5739999999999998</v>
      </c>
      <c r="DH119" s="3">
        <v>11.936999999999999</v>
      </c>
    </row>
    <row r="120" spans="1:112" x14ac:dyDescent="0.3">
      <c r="A120" s="48" t="s">
        <v>313</v>
      </c>
      <c r="B120" s="49" t="s">
        <v>345</v>
      </c>
      <c r="C120" s="3">
        <v>33.865315000000002</v>
      </c>
      <c r="D120" s="3">
        <v>31.512284999999999</v>
      </c>
      <c r="E120" s="3">
        <v>31.512284999999999</v>
      </c>
      <c r="F120" s="3">
        <v>47.051304270000003</v>
      </c>
      <c r="G120" s="3">
        <v>47.051304270000003</v>
      </c>
      <c r="H120" s="3">
        <v>31.512284999999999</v>
      </c>
      <c r="I120" s="48" t="s">
        <v>313</v>
      </c>
      <c r="J120" s="49" t="s">
        <v>345</v>
      </c>
      <c r="K120" s="3">
        <v>31879.5</v>
      </c>
      <c r="L120" s="48" t="s">
        <v>313</v>
      </c>
      <c r="M120" s="49" t="s">
        <v>345</v>
      </c>
      <c r="N120" s="3">
        <v>1457.2971050000001</v>
      </c>
      <c r="O120" s="3">
        <v>1846.742976</v>
      </c>
      <c r="P120" s="3">
        <v>684.35111140000004</v>
      </c>
      <c r="Q120" s="3">
        <v>836.59300180000002</v>
      </c>
      <c r="R120" s="3">
        <v>2346.0920099999998</v>
      </c>
      <c r="S120" s="3">
        <v>2176.0573530000001</v>
      </c>
      <c r="T120" s="3">
        <v>1553.6944820000001</v>
      </c>
      <c r="U120" s="3">
        <v>1601.157745</v>
      </c>
      <c r="V120" s="3">
        <v>978.97592450000002</v>
      </c>
      <c r="W120" s="3">
        <v>1125.2190869999999</v>
      </c>
      <c r="X120" s="3">
        <v>1615.285163</v>
      </c>
      <c r="Y120" s="3">
        <v>247.3145682</v>
      </c>
      <c r="Z120" s="3">
        <v>767.34845140000004</v>
      </c>
      <c r="AA120" s="48" t="s">
        <v>313</v>
      </c>
      <c r="AB120" s="49" t="s">
        <v>345</v>
      </c>
      <c r="AC120" s="3">
        <v>172.451221</v>
      </c>
      <c r="AD120" s="3">
        <v>163.7619502</v>
      </c>
      <c r="AE120" s="3">
        <v>101.1198218</v>
      </c>
      <c r="AF120" s="3">
        <v>33.448388649999998</v>
      </c>
      <c r="AG120" s="3">
        <v>311.98250890000003</v>
      </c>
      <c r="AH120" s="3">
        <v>226.84176350000001</v>
      </c>
      <c r="AI120" s="3">
        <v>228.26058180000001</v>
      </c>
      <c r="AJ120" s="3">
        <v>189.85342410000001</v>
      </c>
      <c r="AK120" s="3">
        <v>91.918167339999997</v>
      </c>
      <c r="AL120" s="3">
        <v>140.12371580000001</v>
      </c>
      <c r="AM120" s="3">
        <v>215.14185420000001</v>
      </c>
      <c r="AN120" s="3">
        <v>30.11971467</v>
      </c>
      <c r="AO120" s="3">
        <v>101.4185786</v>
      </c>
      <c r="AP120" s="48" t="s">
        <v>313</v>
      </c>
      <c r="AQ120" s="49" t="s">
        <v>345</v>
      </c>
      <c r="AR120" s="3">
        <v>565.33288000000005</v>
      </c>
      <c r="AS120" s="3">
        <v>1232.52036</v>
      </c>
      <c r="AT120" s="3">
        <v>971.84672</v>
      </c>
      <c r="AU120" s="3">
        <v>927.54795899999999</v>
      </c>
      <c r="AV120" s="3">
        <v>185.24644000000001</v>
      </c>
      <c r="AW120" s="3">
        <v>1529.3498</v>
      </c>
      <c r="AX120" s="3">
        <v>834.47582399999999</v>
      </c>
      <c r="AY120" s="3">
        <v>1064.8446799999999</v>
      </c>
      <c r="AZ120" s="3">
        <v>485.99804</v>
      </c>
      <c r="BA120" s="3">
        <v>294.03451999999999</v>
      </c>
      <c r="BB120" s="3">
        <v>611.24278800000002</v>
      </c>
      <c r="BC120" s="3">
        <v>156.37808000000001</v>
      </c>
      <c r="BD120" s="3">
        <v>1085.8932</v>
      </c>
      <c r="BE120" s="48" t="s">
        <v>313</v>
      </c>
      <c r="BF120" s="49" t="s">
        <v>345</v>
      </c>
      <c r="BG120" s="3">
        <v>0</v>
      </c>
      <c r="BH120" s="3">
        <v>0.155</v>
      </c>
      <c r="BI120" s="3">
        <v>0.17949999999999999</v>
      </c>
      <c r="BJ120" s="3">
        <v>0</v>
      </c>
      <c r="BK120" s="3">
        <v>0.153</v>
      </c>
      <c r="BL120" s="3">
        <v>0.1605</v>
      </c>
      <c r="BM120" s="3">
        <v>0</v>
      </c>
      <c r="BN120" s="3">
        <v>8.5999999999999993E-2</v>
      </c>
      <c r="BO120" s="3">
        <v>0.21149999999999999</v>
      </c>
      <c r="BP120" s="3">
        <v>0</v>
      </c>
      <c r="BQ120" s="3">
        <v>9.4E-2</v>
      </c>
      <c r="BR120" s="3">
        <v>0.24299999999999999</v>
      </c>
      <c r="BS120" s="3">
        <v>0</v>
      </c>
      <c r="BT120" s="3">
        <v>0.27900000000000003</v>
      </c>
      <c r="BU120" s="3">
        <v>0.176416667</v>
      </c>
      <c r="BV120" s="3">
        <v>0</v>
      </c>
      <c r="BW120" s="3">
        <v>0.16900000000000001</v>
      </c>
      <c r="BX120" s="3">
        <v>0.21299999999999999</v>
      </c>
      <c r="BY120" s="3">
        <v>0</v>
      </c>
      <c r="BZ120" s="3">
        <v>1.7000000000000001E-2</v>
      </c>
      <c r="CA120" s="3">
        <v>5.8999999999999997E-2</v>
      </c>
      <c r="CB120" s="3">
        <v>0</v>
      </c>
      <c r="CC120" s="3">
        <v>3.7999999999999999E-2</v>
      </c>
      <c r="CD120" s="3">
        <v>0.17333333300000001</v>
      </c>
      <c r="CE120" s="3">
        <v>0</v>
      </c>
      <c r="CF120" s="3">
        <v>0.33300000000000002</v>
      </c>
      <c r="CG120" s="3">
        <v>7.6499999999999999E-2</v>
      </c>
      <c r="CH120" s="3">
        <v>0</v>
      </c>
      <c r="CI120" s="3">
        <v>0.33500000000000002</v>
      </c>
      <c r="CJ120" s="3">
        <v>0.43099999999999999</v>
      </c>
      <c r="CK120" s="3">
        <v>0</v>
      </c>
      <c r="CL120" s="3">
        <v>0.19600000000000001</v>
      </c>
      <c r="CM120" s="3">
        <v>0.1</v>
      </c>
      <c r="CN120" s="3">
        <v>0</v>
      </c>
      <c r="CO120" s="3">
        <v>0.13800000000000001</v>
      </c>
      <c r="CP120" s="3">
        <v>0.22033333299999999</v>
      </c>
      <c r="CQ120" s="3">
        <v>0</v>
      </c>
      <c r="CR120" s="3">
        <v>0.34300000000000003</v>
      </c>
      <c r="CS120" s="3">
        <v>0.49199999999999999</v>
      </c>
      <c r="CT120" s="48" t="s">
        <v>313</v>
      </c>
      <c r="CU120" s="49" t="s">
        <v>345</v>
      </c>
      <c r="CV120" s="3">
        <v>14.141</v>
      </c>
      <c r="CW120" s="3">
        <v>11.238</v>
      </c>
      <c r="CX120" s="3">
        <v>12.558</v>
      </c>
      <c r="CY120" s="3">
        <v>10.159000000000001</v>
      </c>
      <c r="CZ120" s="3">
        <v>15.035</v>
      </c>
      <c r="DA120" s="3">
        <v>9.9719999999999995</v>
      </c>
      <c r="DB120" s="3">
        <v>9.3209999999999997</v>
      </c>
      <c r="DC120" s="3">
        <v>16.513000000000002</v>
      </c>
      <c r="DD120" s="3">
        <v>15.839</v>
      </c>
      <c r="DE120" s="3">
        <v>15.778</v>
      </c>
      <c r="DF120" s="3">
        <v>15.276999999999999</v>
      </c>
      <c r="DG120" s="3">
        <v>8.8070000000000004</v>
      </c>
      <c r="DH120" s="3">
        <v>11.374000000000001</v>
      </c>
    </row>
    <row r="121" spans="1:112" x14ac:dyDescent="0.3">
      <c r="A121" s="48" t="s">
        <v>313</v>
      </c>
      <c r="B121" s="49" t="s">
        <v>346</v>
      </c>
      <c r="C121" s="3">
        <v>36.457875000000001</v>
      </c>
      <c r="D121" s="3">
        <v>30.173735000000001</v>
      </c>
      <c r="E121" s="3">
        <v>34.703670000000002</v>
      </c>
      <c r="F121" s="3">
        <v>45.151936929999998</v>
      </c>
      <c r="G121" s="3">
        <v>44.683720800000003</v>
      </c>
      <c r="H121" s="3">
        <v>33.816000000000003</v>
      </c>
      <c r="I121" s="48" t="s">
        <v>313</v>
      </c>
      <c r="J121" s="49" t="s">
        <v>346</v>
      </c>
      <c r="K121" s="3">
        <v>27821</v>
      </c>
      <c r="L121" s="48" t="s">
        <v>313</v>
      </c>
      <c r="M121" s="49" t="s">
        <v>346</v>
      </c>
      <c r="N121" s="3">
        <v>1165.735962</v>
      </c>
      <c r="O121" s="3">
        <v>1635.3748880000001</v>
      </c>
      <c r="P121" s="3">
        <v>436.94312760000003</v>
      </c>
      <c r="Q121" s="3">
        <v>701.60792170000002</v>
      </c>
      <c r="R121" s="3">
        <v>1934.193258</v>
      </c>
      <c r="S121" s="3">
        <v>1966.731389</v>
      </c>
      <c r="T121" s="3">
        <v>1234.766525</v>
      </c>
      <c r="U121" s="3">
        <v>1195.2421179999999</v>
      </c>
      <c r="V121" s="3">
        <v>823.4590627</v>
      </c>
      <c r="W121" s="3">
        <v>978.98993570000005</v>
      </c>
      <c r="X121" s="3">
        <v>1444.616853</v>
      </c>
      <c r="Y121" s="3">
        <v>276.87195969999999</v>
      </c>
      <c r="Z121" s="3">
        <v>326.35682320000001</v>
      </c>
      <c r="AA121" s="48" t="s">
        <v>313</v>
      </c>
      <c r="AB121" s="49" t="s">
        <v>346</v>
      </c>
      <c r="AC121" s="3">
        <v>164.73774789999999</v>
      </c>
      <c r="AD121" s="3">
        <v>156.43713450000001</v>
      </c>
      <c r="AE121" s="3">
        <v>96.596890500000001</v>
      </c>
      <c r="AF121" s="3">
        <v>29.933112139999999</v>
      </c>
      <c r="AG121" s="3">
        <v>298.02801970000002</v>
      </c>
      <c r="AH121" s="3">
        <v>216.69548660000001</v>
      </c>
      <c r="AI121" s="3">
        <v>204.2714124</v>
      </c>
      <c r="AJ121" s="3">
        <v>181.3615777</v>
      </c>
      <c r="AK121" s="3">
        <v>87.806811620000005</v>
      </c>
      <c r="AL121" s="3">
        <v>133.85620130000001</v>
      </c>
      <c r="AM121" s="3">
        <v>192.53140450000001</v>
      </c>
      <c r="AN121" s="3">
        <v>28.772506979999999</v>
      </c>
      <c r="AO121" s="3">
        <v>96.882284400000003</v>
      </c>
      <c r="AP121" s="48" t="s">
        <v>313</v>
      </c>
      <c r="AQ121" s="49" t="s">
        <v>346</v>
      </c>
      <c r="AR121" s="3">
        <v>496.07960220000001</v>
      </c>
      <c r="AS121" s="3">
        <v>1081.5366160000001</v>
      </c>
      <c r="AT121" s="3">
        <v>852.79549680000002</v>
      </c>
      <c r="AU121" s="3">
        <v>801.49656970000001</v>
      </c>
      <c r="AV121" s="3">
        <v>162.5537511</v>
      </c>
      <c r="AW121" s="3">
        <v>1342.0044499999999</v>
      </c>
      <c r="AX121" s="3">
        <v>721.07269919999999</v>
      </c>
      <c r="AY121" s="3">
        <v>934.40120669999999</v>
      </c>
      <c r="AZ121" s="3">
        <v>426.46328010000002</v>
      </c>
      <c r="BA121" s="3">
        <v>258.0152913</v>
      </c>
      <c r="BB121" s="3">
        <v>528.1764604</v>
      </c>
      <c r="BC121" s="3">
        <v>137.22176519999999</v>
      </c>
      <c r="BD121" s="3">
        <v>952.87128299999995</v>
      </c>
      <c r="BE121" s="48" t="s">
        <v>313</v>
      </c>
      <c r="BF121" s="49" t="s">
        <v>346</v>
      </c>
      <c r="BG121" s="3">
        <v>0</v>
      </c>
      <c r="BH121" s="3">
        <v>0.16500000000000001</v>
      </c>
      <c r="BI121" s="3">
        <v>0.14849999999999999</v>
      </c>
      <c r="BJ121" s="3">
        <v>0</v>
      </c>
      <c r="BK121" s="3">
        <v>0.11899999999999999</v>
      </c>
      <c r="BL121" s="3">
        <v>0.14549999999999999</v>
      </c>
      <c r="BM121" s="3">
        <v>0</v>
      </c>
      <c r="BN121" s="3">
        <v>0.107</v>
      </c>
      <c r="BO121" s="3">
        <v>0.20100000000000001</v>
      </c>
      <c r="BP121" s="3">
        <v>0</v>
      </c>
      <c r="BQ121" s="3">
        <v>8.5999999999999993E-2</v>
      </c>
      <c r="BR121" s="3">
        <v>0.203333333</v>
      </c>
      <c r="BS121" s="3">
        <v>0</v>
      </c>
      <c r="BT121" s="3">
        <v>0.27200000000000002</v>
      </c>
      <c r="BU121" s="3">
        <v>0.18058333400000001</v>
      </c>
      <c r="BV121" s="3">
        <v>0</v>
      </c>
      <c r="BW121" s="3">
        <v>0.126</v>
      </c>
      <c r="BX121" s="3">
        <v>0.16700000000000001</v>
      </c>
      <c r="BY121" s="3">
        <v>0</v>
      </c>
      <c r="BZ121" s="3">
        <v>1.0999999999999999E-2</v>
      </c>
      <c r="CA121" s="3">
        <v>8.5000000000000006E-2</v>
      </c>
      <c r="CB121" s="3">
        <v>0</v>
      </c>
      <c r="CC121" s="3">
        <v>6.0999999999999999E-2</v>
      </c>
      <c r="CD121" s="3">
        <v>0.212666667</v>
      </c>
      <c r="CE121" s="3">
        <v>0</v>
      </c>
      <c r="CF121" s="3">
        <v>0.32700000000000001</v>
      </c>
      <c r="CG121" s="3">
        <v>6.5000000000000002E-2</v>
      </c>
      <c r="CH121" s="3">
        <v>0</v>
      </c>
      <c r="CI121" s="3">
        <v>0.32800000000000001</v>
      </c>
      <c r="CJ121" s="3">
        <v>0.35899999999999999</v>
      </c>
      <c r="CK121" s="3">
        <v>0</v>
      </c>
      <c r="CL121" s="3">
        <v>0.214</v>
      </c>
      <c r="CM121" s="3">
        <v>0.1</v>
      </c>
      <c r="CN121" s="3">
        <v>0</v>
      </c>
      <c r="CO121" s="3">
        <v>0.105</v>
      </c>
      <c r="CP121" s="3">
        <v>0.20799999999999999</v>
      </c>
      <c r="CQ121" s="3">
        <v>0</v>
      </c>
      <c r="CR121" s="3">
        <v>0.33700000000000002</v>
      </c>
      <c r="CS121" s="3">
        <v>0.45500000000000002</v>
      </c>
      <c r="CT121" s="48" t="s">
        <v>313</v>
      </c>
      <c r="CU121" s="49" t="s">
        <v>346</v>
      </c>
      <c r="CV121" s="3">
        <v>13.289</v>
      </c>
      <c r="CW121" s="3">
        <v>10.769</v>
      </c>
      <c r="CX121" s="3">
        <v>11.398</v>
      </c>
      <c r="CY121" s="3">
        <v>9.4260000000000002</v>
      </c>
      <c r="CZ121" s="3">
        <v>14.244999999999999</v>
      </c>
      <c r="DA121" s="3">
        <v>9.6219999999999999</v>
      </c>
      <c r="DB121" s="3">
        <v>9.08</v>
      </c>
      <c r="DC121" s="3">
        <v>16.257000000000001</v>
      </c>
      <c r="DD121" s="3">
        <v>15.157999999999999</v>
      </c>
      <c r="DE121" s="3">
        <v>15.105</v>
      </c>
      <c r="DF121" s="3">
        <v>14.807</v>
      </c>
      <c r="DG121" s="3">
        <v>8.3460000000000001</v>
      </c>
      <c r="DH121" s="3">
        <v>11.179</v>
      </c>
    </row>
    <row r="122" spans="1:112" x14ac:dyDescent="0.3">
      <c r="A122" s="48" t="s">
        <v>313</v>
      </c>
      <c r="B122" s="49" t="s">
        <v>347</v>
      </c>
      <c r="C122" s="3">
        <v>28.025010000000002</v>
      </c>
      <c r="D122" s="3">
        <v>25.989004999999999</v>
      </c>
      <c r="E122" s="3">
        <v>26.714639999999999</v>
      </c>
      <c r="F122" s="3">
        <v>43.296740929999999</v>
      </c>
      <c r="G122" s="3">
        <v>38.738259329999998</v>
      </c>
      <c r="H122" s="3">
        <v>26.580784999999999</v>
      </c>
      <c r="I122" s="48" t="s">
        <v>313</v>
      </c>
      <c r="J122" s="49" t="s">
        <v>347</v>
      </c>
      <c r="K122" s="3">
        <v>25581.5</v>
      </c>
      <c r="L122" s="48" t="s">
        <v>313</v>
      </c>
      <c r="M122" s="49" t="s">
        <v>347</v>
      </c>
      <c r="N122" s="3">
        <v>857.89412600000003</v>
      </c>
      <c r="O122" s="3">
        <v>1367.0601839999999</v>
      </c>
      <c r="P122" s="3">
        <v>67.421705979999999</v>
      </c>
      <c r="Q122" s="3">
        <v>437.07498140000001</v>
      </c>
      <c r="R122" s="3">
        <v>1485.1123909999999</v>
      </c>
      <c r="S122" s="3">
        <v>1488.1511350000001</v>
      </c>
      <c r="T122" s="3">
        <v>821.83285009999997</v>
      </c>
      <c r="U122" s="3">
        <v>718.09559549999994</v>
      </c>
      <c r="V122" s="3">
        <v>557.55700309999997</v>
      </c>
      <c r="W122" s="3">
        <v>712.72757220000005</v>
      </c>
      <c r="X122" s="3">
        <v>1161.3647229999999</v>
      </c>
      <c r="Y122" s="3">
        <v>227.7905069</v>
      </c>
      <c r="Z122" s="3">
        <v>245.8847227</v>
      </c>
      <c r="AA122" s="48" t="s">
        <v>313</v>
      </c>
      <c r="AB122" s="49" t="s">
        <v>347</v>
      </c>
      <c r="AC122" s="3">
        <v>161.43197369999999</v>
      </c>
      <c r="AD122" s="3">
        <v>153.2979278</v>
      </c>
      <c r="AE122" s="3">
        <v>94.658491359999999</v>
      </c>
      <c r="AF122" s="3">
        <v>27.3765474</v>
      </c>
      <c r="AG122" s="3">
        <v>292.04752430000002</v>
      </c>
      <c r="AH122" s="3">
        <v>212.34708219999999</v>
      </c>
      <c r="AI122" s="3">
        <v>186.8247437</v>
      </c>
      <c r="AJ122" s="3">
        <v>177.72221490000001</v>
      </c>
      <c r="AK122" s="3">
        <v>86.044802020000006</v>
      </c>
      <c r="AL122" s="3">
        <v>131.1701237</v>
      </c>
      <c r="AM122" s="3">
        <v>176.0874412</v>
      </c>
      <c r="AN122" s="3">
        <v>28.195132260000001</v>
      </c>
      <c r="AO122" s="3">
        <v>94.938158290000004</v>
      </c>
      <c r="AP122" s="48" t="s">
        <v>313</v>
      </c>
      <c r="AQ122" s="49" t="s">
        <v>347</v>
      </c>
      <c r="AR122" s="3">
        <v>395.73301600000002</v>
      </c>
      <c r="AS122" s="3">
        <v>862.76425200000006</v>
      </c>
      <c r="AT122" s="3">
        <v>680.29270399999996</v>
      </c>
      <c r="AU122" s="3">
        <v>701.60678949999999</v>
      </c>
      <c r="AV122" s="3">
        <v>129.67250799999999</v>
      </c>
      <c r="AW122" s="3">
        <v>1070.54486</v>
      </c>
      <c r="AX122" s="3">
        <v>631.20607199999995</v>
      </c>
      <c r="AY122" s="3">
        <v>745.39127599999995</v>
      </c>
      <c r="AZ122" s="3">
        <v>340.19862799999999</v>
      </c>
      <c r="BA122" s="3">
        <v>205.824164</v>
      </c>
      <c r="BB122" s="3">
        <v>462.35031400000003</v>
      </c>
      <c r="BC122" s="3">
        <v>109.46465600000001</v>
      </c>
      <c r="BD122" s="3">
        <v>760.12523999999996</v>
      </c>
      <c r="BE122" s="48" t="s">
        <v>313</v>
      </c>
      <c r="BF122" s="49" t="s">
        <v>347</v>
      </c>
      <c r="BG122" s="3">
        <v>0</v>
      </c>
      <c r="BH122" s="3">
        <v>0.17899999999999999</v>
      </c>
      <c r="BI122" s="3">
        <v>0.124</v>
      </c>
      <c r="BJ122" s="3">
        <v>0</v>
      </c>
      <c r="BK122" s="3">
        <v>0.08</v>
      </c>
      <c r="BL122" s="3">
        <v>0.1265</v>
      </c>
      <c r="BM122" s="3">
        <v>0</v>
      </c>
      <c r="BN122" s="3">
        <v>0.109</v>
      </c>
      <c r="BO122" s="3">
        <v>0.20100000000000001</v>
      </c>
      <c r="BP122" s="3">
        <v>0</v>
      </c>
      <c r="BQ122" s="3">
        <v>7.9000000000000001E-2</v>
      </c>
      <c r="BR122" s="3">
        <v>0.16866666699999999</v>
      </c>
      <c r="BS122" s="3">
        <v>0</v>
      </c>
      <c r="BT122" s="3">
        <v>0.245</v>
      </c>
      <c r="BU122" s="3">
        <v>0.18933333399999999</v>
      </c>
      <c r="BV122" s="3">
        <v>0</v>
      </c>
      <c r="BW122" s="3">
        <v>8.4000000000000005E-2</v>
      </c>
      <c r="BX122" s="3">
        <v>0.123</v>
      </c>
      <c r="BY122" s="3">
        <v>0</v>
      </c>
      <c r="BZ122" s="3">
        <v>7.0000000000000001E-3</v>
      </c>
      <c r="CA122" s="3">
        <v>9.4500000000000001E-2</v>
      </c>
      <c r="CB122" s="3">
        <v>0</v>
      </c>
      <c r="CC122" s="3">
        <v>7.9000000000000001E-2</v>
      </c>
      <c r="CD122" s="3">
        <v>0.25466666700000001</v>
      </c>
      <c r="CE122" s="3">
        <v>0</v>
      </c>
      <c r="CF122" s="3">
        <v>0.29399999999999998</v>
      </c>
      <c r="CG122" s="3">
        <v>5.3999999999999999E-2</v>
      </c>
      <c r="CH122" s="3">
        <v>0</v>
      </c>
      <c r="CI122" s="3">
        <v>0.29499999999999998</v>
      </c>
      <c r="CJ122" s="3">
        <v>0.28699999999999998</v>
      </c>
      <c r="CK122" s="3">
        <v>0</v>
      </c>
      <c r="CL122" s="3">
        <v>0.23400000000000001</v>
      </c>
      <c r="CM122" s="3">
        <v>0.1</v>
      </c>
      <c r="CN122" s="3">
        <v>0</v>
      </c>
      <c r="CO122" s="3">
        <v>8.8999999999999996E-2</v>
      </c>
      <c r="CP122" s="3">
        <v>0.201333333</v>
      </c>
      <c r="CQ122" s="3">
        <v>0</v>
      </c>
      <c r="CR122" s="3">
        <v>0.312</v>
      </c>
      <c r="CS122" s="3">
        <v>0.45300000000000001</v>
      </c>
      <c r="CT122" s="48" t="s">
        <v>313</v>
      </c>
      <c r="CU122" s="49" t="s">
        <v>347</v>
      </c>
      <c r="CV122" s="3">
        <v>12.611000000000001</v>
      </c>
      <c r="CW122" s="3">
        <v>10.430999999999999</v>
      </c>
      <c r="CX122" s="3">
        <v>10.458</v>
      </c>
      <c r="CY122" s="3">
        <v>9.0250000000000004</v>
      </c>
      <c r="CZ122" s="3">
        <v>13.616</v>
      </c>
      <c r="DA122" s="3">
        <v>9.5340000000000007</v>
      </c>
      <c r="DB122" s="3">
        <v>8.9169999999999998</v>
      </c>
      <c r="DC122" s="3">
        <v>15.928000000000001</v>
      </c>
      <c r="DD122" s="3">
        <v>14.595000000000001</v>
      </c>
      <c r="DE122" s="3">
        <v>14.532999999999999</v>
      </c>
      <c r="DF122" s="3">
        <v>13.981</v>
      </c>
      <c r="DG122" s="3">
        <v>8.173</v>
      </c>
      <c r="DH122" s="3">
        <v>10.747999999999999</v>
      </c>
    </row>
    <row r="123" spans="1:112" x14ac:dyDescent="0.3">
      <c r="A123" s="48" t="s">
        <v>314</v>
      </c>
      <c r="B123" s="49" t="s">
        <v>324</v>
      </c>
      <c r="C123" s="3">
        <v>26.317070999999999</v>
      </c>
      <c r="D123" s="3">
        <v>22.209</v>
      </c>
      <c r="E123" s="3">
        <v>23.038136000000002</v>
      </c>
      <c r="F123" s="3">
        <v>26.220752999999998</v>
      </c>
      <c r="G123" s="3">
        <v>26.220752999999998</v>
      </c>
      <c r="H123" s="3">
        <v>30.455942</v>
      </c>
      <c r="I123" s="48" t="s">
        <v>314</v>
      </c>
      <c r="J123" s="49" t="s">
        <v>324</v>
      </c>
      <c r="K123" s="3">
        <v>24197.5</v>
      </c>
      <c r="L123" s="48" t="s">
        <v>314</v>
      </c>
      <c r="M123" s="49" t="s">
        <v>324</v>
      </c>
      <c r="N123" s="3">
        <v>895.15723060000005</v>
      </c>
      <c r="O123" s="3">
        <v>1178.3620430000001</v>
      </c>
      <c r="P123" s="3">
        <v>441.03927909999999</v>
      </c>
      <c r="Q123" s="3">
        <v>176.02282980000001</v>
      </c>
      <c r="R123" s="3">
        <v>1934.6982379999999</v>
      </c>
      <c r="S123" s="3">
        <v>1173.051365</v>
      </c>
      <c r="T123" s="3">
        <v>612.79841420000002</v>
      </c>
      <c r="U123" s="3">
        <v>548.55534139999997</v>
      </c>
      <c r="V123" s="3">
        <v>502.1494189</v>
      </c>
      <c r="W123" s="3">
        <v>630.81231720000005</v>
      </c>
      <c r="X123" s="3">
        <v>1078.0779520000001</v>
      </c>
      <c r="Y123" s="3">
        <v>185.87332789999999</v>
      </c>
      <c r="Z123" s="3">
        <v>169.525779</v>
      </c>
      <c r="AA123" s="48" t="s">
        <v>314</v>
      </c>
      <c r="AB123" s="49" t="s">
        <v>324</v>
      </c>
      <c r="AC123" s="3">
        <v>471.61225200000001</v>
      </c>
      <c r="AD123" s="3">
        <v>424.0495727</v>
      </c>
      <c r="AE123" s="3">
        <v>269.19958880000001</v>
      </c>
      <c r="AF123" s="3">
        <v>93.836094410000001</v>
      </c>
      <c r="AG123" s="3">
        <v>820.66167680000001</v>
      </c>
      <c r="AH123" s="3">
        <v>566.18964270000004</v>
      </c>
      <c r="AI123" s="3">
        <v>544.79923899999994</v>
      </c>
      <c r="AJ123" s="3">
        <v>567.39726889999997</v>
      </c>
      <c r="AK123" s="3">
        <v>237.00051289999999</v>
      </c>
      <c r="AL123" s="3">
        <v>349.79713509999999</v>
      </c>
      <c r="AM123" s="3">
        <v>578.36837100000002</v>
      </c>
      <c r="AN123" s="3">
        <v>70.765966259999999</v>
      </c>
      <c r="AO123" s="3">
        <v>233.7877216</v>
      </c>
      <c r="AP123" s="48" t="s">
        <v>314</v>
      </c>
      <c r="AQ123" s="49" t="s">
        <v>324</v>
      </c>
      <c r="AR123" s="3">
        <v>561.27079040000001</v>
      </c>
      <c r="AS123" s="3">
        <v>705.60172039999998</v>
      </c>
      <c r="AT123" s="3">
        <v>672.48101559999998</v>
      </c>
      <c r="AU123" s="3">
        <v>583.21731</v>
      </c>
      <c r="AV123" s="3">
        <v>93.766859999999994</v>
      </c>
      <c r="AW123" s="3">
        <v>957.9957296</v>
      </c>
      <c r="AX123" s="3">
        <v>590.80821040000001</v>
      </c>
      <c r="AY123" s="3">
        <v>933.08199999999999</v>
      </c>
      <c r="AZ123" s="3">
        <v>334.40636480000001</v>
      </c>
      <c r="BA123" s="3">
        <v>210.43883120000001</v>
      </c>
      <c r="BB123" s="3">
        <v>287.93354199999999</v>
      </c>
      <c r="BC123" s="3">
        <v>98.9298948</v>
      </c>
      <c r="BD123" s="3">
        <v>506.7817268</v>
      </c>
      <c r="BE123" s="48" t="s">
        <v>314</v>
      </c>
      <c r="BF123" s="49" t="s">
        <v>324</v>
      </c>
      <c r="BG123" s="3">
        <v>0</v>
      </c>
      <c r="BH123" s="3">
        <v>0.39500000000000002</v>
      </c>
      <c r="BI123" s="3">
        <v>0.57799999999999996</v>
      </c>
      <c r="BJ123" s="3">
        <v>0</v>
      </c>
      <c r="BK123" s="3">
        <v>0.26900000000000002</v>
      </c>
      <c r="BL123" s="3">
        <v>0.63400000000000001</v>
      </c>
      <c r="BM123" s="3">
        <v>0</v>
      </c>
      <c r="BN123" s="3">
        <v>0.252</v>
      </c>
      <c r="BO123" s="3">
        <v>0.42549999999999999</v>
      </c>
      <c r="BP123" s="3">
        <v>0</v>
      </c>
      <c r="BQ123" s="3">
        <v>0.22800000000000001</v>
      </c>
      <c r="BR123" s="3">
        <v>0.48933333299999998</v>
      </c>
      <c r="BS123" s="3">
        <v>0</v>
      </c>
      <c r="BT123" s="3">
        <v>0.34300000000000003</v>
      </c>
      <c r="BU123" s="3">
        <v>0.65016666700000003</v>
      </c>
      <c r="BV123" s="3">
        <v>0</v>
      </c>
      <c r="BW123" s="3">
        <v>0.29099999999999998</v>
      </c>
      <c r="BX123" s="3">
        <v>0.52800000000000002</v>
      </c>
      <c r="BY123" s="3">
        <v>0</v>
      </c>
      <c r="BZ123" s="3">
        <v>0.20200000000000001</v>
      </c>
      <c r="CA123" s="3">
        <v>0.55700000000000005</v>
      </c>
      <c r="CB123" s="3">
        <v>0</v>
      </c>
      <c r="CC123" s="3">
        <v>0.46</v>
      </c>
      <c r="CD123" s="3">
        <v>0.72233333300000002</v>
      </c>
      <c r="CE123" s="3">
        <v>0</v>
      </c>
      <c r="CF123" s="3">
        <v>0.39800000000000002</v>
      </c>
      <c r="CG123" s="3">
        <v>0.72499999999999998</v>
      </c>
      <c r="CH123" s="3">
        <v>0</v>
      </c>
      <c r="CI123" s="3">
        <v>0.39800000000000002</v>
      </c>
      <c r="CJ123" s="3">
        <v>0.76466666699999997</v>
      </c>
      <c r="CK123" s="3">
        <v>0</v>
      </c>
      <c r="CL123" s="3">
        <v>0.45400000000000001</v>
      </c>
      <c r="CM123" s="3">
        <v>0.1</v>
      </c>
      <c r="CN123" s="3">
        <v>0</v>
      </c>
      <c r="CO123" s="3">
        <v>0.22900000000000001</v>
      </c>
      <c r="CP123" s="3">
        <v>0.48699999999999999</v>
      </c>
      <c r="CQ123" s="3">
        <v>0</v>
      </c>
      <c r="CR123" s="3">
        <v>0.38600000000000001</v>
      </c>
      <c r="CS123" s="3">
        <v>0.66</v>
      </c>
      <c r="CT123" s="48" t="s">
        <v>314</v>
      </c>
      <c r="CU123" s="49" t="s">
        <v>324</v>
      </c>
      <c r="CV123" s="3">
        <v>10.000999999999999</v>
      </c>
      <c r="CW123" s="3">
        <v>10.499000000000001</v>
      </c>
      <c r="CX123" s="3">
        <v>9.7490000000000006</v>
      </c>
      <c r="CY123" s="3">
        <v>7.6079999999999997</v>
      </c>
      <c r="CZ123" s="3">
        <v>10.315</v>
      </c>
      <c r="DA123" s="3">
        <v>9.0879999999999992</v>
      </c>
      <c r="DB123" s="3">
        <v>7.52</v>
      </c>
      <c r="DC123" s="3">
        <v>11.209</v>
      </c>
      <c r="DD123" s="3">
        <v>11.087999999999999</v>
      </c>
      <c r="DE123" s="3">
        <v>11.082000000000001</v>
      </c>
      <c r="DF123" s="3">
        <v>11.304</v>
      </c>
      <c r="DG123" s="3">
        <v>8.6780000000000008</v>
      </c>
      <c r="DH123" s="3">
        <v>9.6989999999999998</v>
      </c>
    </row>
    <row r="124" spans="1:112" x14ac:dyDescent="0.3">
      <c r="A124" s="48" t="s">
        <v>314</v>
      </c>
      <c r="B124" s="49" t="s">
        <v>325</v>
      </c>
      <c r="C124" s="3">
        <v>26.235593999999999</v>
      </c>
      <c r="D124" s="3">
        <v>17.648752000000002</v>
      </c>
      <c r="E124" s="3">
        <v>22.80124</v>
      </c>
      <c r="F124" s="3">
        <v>27.043158999999999</v>
      </c>
      <c r="G124" s="3">
        <v>26.290745000000001</v>
      </c>
      <c r="H124" s="3">
        <v>21.942492000000001</v>
      </c>
      <c r="I124" s="48" t="s">
        <v>314</v>
      </c>
      <c r="J124" s="49" t="s">
        <v>325</v>
      </c>
      <c r="K124" s="3">
        <v>24036.5</v>
      </c>
      <c r="L124" s="48" t="s">
        <v>314</v>
      </c>
      <c r="M124" s="49" t="s">
        <v>325</v>
      </c>
      <c r="N124" s="3">
        <v>417.26319599999999</v>
      </c>
      <c r="O124" s="3">
        <v>673.37954379999996</v>
      </c>
      <c r="P124" s="3">
        <v>347.40193260000001</v>
      </c>
      <c r="Q124" s="3">
        <v>370.0852797</v>
      </c>
      <c r="R124" s="3">
        <v>1266.9498390000001</v>
      </c>
      <c r="S124" s="3">
        <v>567.65858179999998</v>
      </c>
      <c r="T124" s="3">
        <v>344.18920680000002</v>
      </c>
      <c r="U124" s="3">
        <v>199.89805569999999</v>
      </c>
      <c r="V124" s="3">
        <v>245.68003830000001</v>
      </c>
      <c r="W124" s="3">
        <v>321.83460339999999</v>
      </c>
      <c r="X124" s="3">
        <v>617.82741039999996</v>
      </c>
      <c r="Y124" s="3">
        <v>114.8948003</v>
      </c>
      <c r="Z124" s="3">
        <v>196.1527624</v>
      </c>
      <c r="AA124" s="48" t="s">
        <v>314</v>
      </c>
      <c r="AB124" s="49" t="s">
        <v>325</v>
      </c>
      <c r="AC124" s="3">
        <v>545.52163480000002</v>
      </c>
      <c r="AD124" s="3">
        <v>490.50510270000001</v>
      </c>
      <c r="AE124" s="3">
        <v>311.38758410000003</v>
      </c>
      <c r="AF124" s="3">
        <v>102.1913631</v>
      </c>
      <c r="AG124" s="3">
        <v>949.27283520000003</v>
      </c>
      <c r="AH124" s="3">
        <v>654.92085540000005</v>
      </c>
      <c r="AI124" s="3">
        <v>630.17822420000005</v>
      </c>
      <c r="AJ124" s="3">
        <v>656.31773639999994</v>
      </c>
      <c r="AK124" s="3">
        <v>274.1423843</v>
      </c>
      <c r="AL124" s="3">
        <v>404.61608910000001</v>
      </c>
      <c r="AM124" s="3">
        <v>669.00819030000002</v>
      </c>
      <c r="AN124" s="3">
        <v>81.856155000000001</v>
      </c>
      <c r="AO124" s="3">
        <v>270.42609590000001</v>
      </c>
      <c r="AP124" s="48" t="s">
        <v>314</v>
      </c>
      <c r="AQ124" s="49" t="s">
        <v>325</v>
      </c>
      <c r="AR124" s="3">
        <v>610.67843040000002</v>
      </c>
      <c r="AS124" s="3">
        <v>767.71454789999996</v>
      </c>
      <c r="AT124" s="3">
        <v>731.67828810000003</v>
      </c>
      <c r="AU124" s="3">
        <v>606.54600240000002</v>
      </c>
      <c r="AV124" s="3">
        <v>102.020985</v>
      </c>
      <c r="AW124" s="3">
        <v>1042.3263400000001</v>
      </c>
      <c r="AX124" s="3">
        <v>642.81597539999996</v>
      </c>
      <c r="AY124" s="3">
        <v>1015.2195</v>
      </c>
      <c r="AZ124" s="3">
        <v>363.84354480000002</v>
      </c>
      <c r="BA124" s="3">
        <v>228.9633762</v>
      </c>
      <c r="BB124" s="3">
        <v>313.27980450000001</v>
      </c>
      <c r="BC124" s="3">
        <v>107.6385123</v>
      </c>
      <c r="BD124" s="3">
        <v>551.39279429999999</v>
      </c>
      <c r="BE124" s="48" t="s">
        <v>314</v>
      </c>
      <c r="BF124" s="49" t="s">
        <v>325</v>
      </c>
      <c r="BG124" s="3">
        <v>0</v>
      </c>
      <c r="BH124" s="3">
        <v>0.40699999999999997</v>
      </c>
      <c r="BI124" s="3">
        <v>0.58199999999999996</v>
      </c>
      <c r="BJ124" s="3">
        <v>0</v>
      </c>
      <c r="BK124" s="3">
        <v>0.27</v>
      </c>
      <c r="BL124" s="3">
        <v>0.63800000000000001</v>
      </c>
      <c r="BM124" s="3">
        <v>0</v>
      </c>
      <c r="BN124" s="3">
        <v>0.24099999999999999</v>
      </c>
      <c r="BO124" s="3">
        <v>0.434</v>
      </c>
      <c r="BP124" s="3">
        <v>0</v>
      </c>
      <c r="BQ124" s="3">
        <v>0.219</v>
      </c>
      <c r="BR124" s="3">
        <v>0.48299999999999998</v>
      </c>
      <c r="BS124" s="3">
        <v>0</v>
      </c>
      <c r="BT124" s="3">
        <v>0.33800000000000002</v>
      </c>
      <c r="BU124" s="3">
        <v>0.64200000000000002</v>
      </c>
      <c r="BV124" s="3">
        <v>0</v>
      </c>
      <c r="BW124" s="3">
        <v>0.26400000000000001</v>
      </c>
      <c r="BX124" s="3">
        <v>0.50700000000000001</v>
      </c>
      <c r="BY124" s="3">
        <v>0</v>
      </c>
      <c r="BZ124" s="3">
        <v>0.20499999999999999</v>
      </c>
      <c r="CA124" s="3">
        <v>0.55700000000000005</v>
      </c>
      <c r="CB124" s="3">
        <v>0</v>
      </c>
      <c r="CC124" s="3">
        <v>0.436</v>
      </c>
      <c r="CD124" s="3">
        <v>0.70199999999999996</v>
      </c>
      <c r="CE124" s="3">
        <v>0</v>
      </c>
      <c r="CF124" s="3">
        <v>0.373</v>
      </c>
      <c r="CG124" s="3">
        <v>0.69450000000000001</v>
      </c>
      <c r="CH124" s="3">
        <v>0</v>
      </c>
      <c r="CI124" s="3">
        <v>0.373</v>
      </c>
      <c r="CJ124" s="3">
        <v>0.75466666699999996</v>
      </c>
      <c r="CK124" s="3">
        <v>0</v>
      </c>
      <c r="CL124" s="3">
        <v>0.41899999999999998</v>
      </c>
      <c r="CM124" s="3">
        <v>0.1</v>
      </c>
      <c r="CN124" s="3">
        <v>0</v>
      </c>
      <c r="CO124" s="3">
        <v>0.22600000000000001</v>
      </c>
      <c r="CP124" s="3">
        <v>0.48899999999999999</v>
      </c>
      <c r="CQ124" s="3">
        <v>0</v>
      </c>
      <c r="CR124" s="3">
        <v>0.37</v>
      </c>
      <c r="CS124" s="3">
        <v>0.64400000000000002</v>
      </c>
      <c r="CT124" s="48" t="s">
        <v>314</v>
      </c>
      <c r="CU124" s="49" t="s">
        <v>325</v>
      </c>
      <c r="CV124" s="3">
        <v>9.7530000000000001</v>
      </c>
      <c r="CW124" s="3">
        <v>10.292999999999999</v>
      </c>
      <c r="CX124" s="3">
        <v>9.8680000000000003</v>
      </c>
      <c r="CY124" s="3">
        <v>7.806</v>
      </c>
      <c r="CZ124" s="3">
        <v>9.9019999999999992</v>
      </c>
      <c r="DA124" s="3">
        <v>9.1999999999999993</v>
      </c>
      <c r="DB124" s="3">
        <v>7.2939999999999996</v>
      </c>
      <c r="DC124" s="3">
        <v>10.856</v>
      </c>
      <c r="DD124" s="3">
        <v>10.624000000000001</v>
      </c>
      <c r="DE124" s="3">
        <v>10.622</v>
      </c>
      <c r="DF124" s="3">
        <v>11.196</v>
      </c>
      <c r="DG124" s="3">
        <v>8.7720000000000002</v>
      </c>
      <c r="DH124" s="3">
        <v>9.7089999999999996</v>
      </c>
    </row>
    <row r="125" spans="1:112" x14ac:dyDescent="0.3">
      <c r="A125" s="48" t="s">
        <v>314</v>
      </c>
      <c r="B125" s="49" t="s">
        <v>326</v>
      </c>
      <c r="C125" s="3">
        <v>26.235593999999999</v>
      </c>
      <c r="D125" s="3">
        <v>15.76839</v>
      </c>
      <c r="E125" s="3">
        <v>17.782005999999999</v>
      </c>
      <c r="F125" s="3">
        <v>30.604002000000001</v>
      </c>
      <c r="G125" s="3">
        <v>31.365165000000001</v>
      </c>
      <c r="H125" s="3">
        <v>17.485886000000001</v>
      </c>
      <c r="I125" s="48" t="s">
        <v>314</v>
      </c>
      <c r="J125" s="49" t="s">
        <v>326</v>
      </c>
      <c r="K125" s="3">
        <v>23182</v>
      </c>
      <c r="L125" s="48" t="s">
        <v>314</v>
      </c>
      <c r="M125" s="49" t="s">
        <v>326</v>
      </c>
      <c r="N125" s="3">
        <v>354.94446850000003</v>
      </c>
      <c r="O125" s="3">
        <v>595.4197322</v>
      </c>
      <c r="P125" s="3">
        <v>272.3957388</v>
      </c>
      <c r="Q125" s="3">
        <v>263.41967970000002</v>
      </c>
      <c r="R125" s="3">
        <v>994.41720559999999</v>
      </c>
      <c r="S125" s="3">
        <v>419.81689560000001</v>
      </c>
      <c r="T125" s="3">
        <v>251.8471241</v>
      </c>
      <c r="U125" s="3">
        <v>509.2791302</v>
      </c>
      <c r="V125" s="3">
        <v>223.5522699</v>
      </c>
      <c r="W125" s="3">
        <v>190.36539440000001</v>
      </c>
      <c r="X125" s="3">
        <v>501.30378630000001</v>
      </c>
      <c r="Y125" s="3">
        <v>72.380291360000001</v>
      </c>
      <c r="Z125" s="3">
        <v>128.65364360000001</v>
      </c>
      <c r="AA125" s="48" t="s">
        <v>314</v>
      </c>
      <c r="AB125" s="49" t="s">
        <v>326</v>
      </c>
      <c r="AC125" s="3">
        <v>559.59961250000003</v>
      </c>
      <c r="AD125" s="3">
        <v>503.16329889999997</v>
      </c>
      <c r="AE125" s="3">
        <v>319.42339270000002</v>
      </c>
      <c r="AF125" s="3">
        <v>102.1913631</v>
      </c>
      <c r="AG125" s="3">
        <v>973.77019859999996</v>
      </c>
      <c r="AH125" s="3">
        <v>671.82203879999997</v>
      </c>
      <c r="AI125" s="3">
        <v>646.44088799999997</v>
      </c>
      <c r="AJ125" s="3">
        <v>673.25496829999997</v>
      </c>
      <c r="AK125" s="3">
        <v>281.21702649999997</v>
      </c>
      <c r="AL125" s="3">
        <v>415.05779469999999</v>
      </c>
      <c r="AM125" s="3">
        <v>686.27291779999996</v>
      </c>
      <c r="AN125" s="3">
        <v>83.968571900000001</v>
      </c>
      <c r="AO125" s="3">
        <v>277.40483390000003</v>
      </c>
      <c r="AP125" s="48" t="s">
        <v>314</v>
      </c>
      <c r="AQ125" s="49" t="s">
        <v>326</v>
      </c>
      <c r="AR125" s="3">
        <v>632.41779199999996</v>
      </c>
      <c r="AS125" s="3">
        <v>795.04419199999995</v>
      </c>
      <c r="AT125" s="3">
        <v>757.72508800000003</v>
      </c>
      <c r="AU125" s="3">
        <v>624.04252169999995</v>
      </c>
      <c r="AV125" s="3">
        <v>105.6528</v>
      </c>
      <c r="AW125" s="3">
        <v>1079.431808</v>
      </c>
      <c r="AX125" s="3">
        <v>665.69939199999999</v>
      </c>
      <c r="AY125" s="3">
        <v>1051.3599999999999</v>
      </c>
      <c r="AZ125" s="3">
        <v>376.79590400000001</v>
      </c>
      <c r="BA125" s="3">
        <v>237.11417599999999</v>
      </c>
      <c r="BB125" s="3">
        <v>324.43216000000001</v>
      </c>
      <c r="BC125" s="3">
        <v>111.470304</v>
      </c>
      <c r="BD125" s="3">
        <v>571.02166399999999</v>
      </c>
      <c r="BE125" s="48" t="s">
        <v>314</v>
      </c>
      <c r="BF125" s="49" t="s">
        <v>326</v>
      </c>
      <c r="BG125" s="3">
        <v>0</v>
      </c>
      <c r="BH125" s="3">
        <v>0.40799999999999997</v>
      </c>
      <c r="BI125" s="3">
        <v>0.58899999999999997</v>
      </c>
      <c r="BJ125" s="3">
        <v>0</v>
      </c>
      <c r="BK125" s="3">
        <v>0.27700000000000002</v>
      </c>
      <c r="BL125" s="3">
        <v>0.64449999999999996</v>
      </c>
      <c r="BM125" s="3">
        <v>0</v>
      </c>
      <c r="BN125" s="3">
        <v>0.23400000000000001</v>
      </c>
      <c r="BO125" s="3">
        <v>0.443</v>
      </c>
      <c r="BP125" s="3">
        <v>0</v>
      </c>
      <c r="BQ125" s="3">
        <v>0.22500000000000001</v>
      </c>
      <c r="BR125" s="3">
        <v>0.47566666699999999</v>
      </c>
      <c r="BS125" s="3">
        <v>0</v>
      </c>
      <c r="BT125" s="3">
        <v>0.35199999999999998</v>
      </c>
      <c r="BU125" s="3">
        <v>0.63916666700000002</v>
      </c>
      <c r="BV125" s="3">
        <v>0</v>
      </c>
      <c r="BW125" s="3">
        <v>0.247</v>
      </c>
      <c r="BX125" s="3">
        <v>0.48799999999999999</v>
      </c>
      <c r="BY125" s="3">
        <v>0</v>
      </c>
      <c r="BZ125" s="3">
        <v>0.19800000000000001</v>
      </c>
      <c r="CA125" s="3">
        <v>0.53500000000000003</v>
      </c>
      <c r="CB125" s="3">
        <v>0</v>
      </c>
      <c r="CC125" s="3">
        <v>0.432</v>
      </c>
      <c r="CD125" s="3">
        <v>0.68933333299999999</v>
      </c>
      <c r="CE125" s="3">
        <v>0</v>
      </c>
      <c r="CF125" s="3">
        <v>0.34200000000000003</v>
      </c>
      <c r="CG125" s="3">
        <v>0.68600000000000005</v>
      </c>
      <c r="CH125" s="3">
        <v>0</v>
      </c>
      <c r="CI125" s="3">
        <v>0.34100000000000003</v>
      </c>
      <c r="CJ125" s="3">
        <v>0.74299999999999999</v>
      </c>
      <c r="CK125" s="3">
        <v>0</v>
      </c>
      <c r="CL125" s="3">
        <v>0.379</v>
      </c>
      <c r="CM125" s="3">
        <v>0.1</v>
      </c>
      <c r="CN125" s="3">
        <v>0</v>
      </c>
      <c r="CO125" s="3">
        <v>0.22700000000000001</v>
      </c>
      <c r="CP125" s="3">
        <v>0.49099999999999999</v>
      </c>
      <c r="CQ125" s="3">
        <v>0</v>
      </c>
      <c r="CR125" s="3">
        <v>0.36199999999999999</v>
      </c>
      <c r="CS125" s="3">
        <v>0.63100000000000001</v>
      </c>
      <c r="CT125" s="48" t="s">
        <v>314</v>
      </c>
      <c r="CU125" s="49" t="s">
        <v>326</v>
      </c>
      <c r="CV125" s="3">
        <v>9.4949999999999992</v>
      </c>
      <c r="CW125" s="3">
        <v>9.8699999999999992</v>
      </c>
      <c r="CX125" s="3">
        <v>9.8889999999999993</v>
      </c>
      <c r="CY125" s="3">
        <v>8.1120000000000001</v>
      </c>
      <c r="CZ125" s="3">
        <v>9.5690000000000008</v>
      </c>
      <c r="DA125" s="3">
        <v>9.4009999999999998</v>
      </c>
      <c r="DB125" s="3">
        <v>7.0439999999999996</v>
      </c>
      <c r="DC125" s="3">
        <v>10.593</v>
      </c>
      <c r="DD125" s="3">
        <v>9.8019999999999996</v>
      </c>
      <c r="DE125" s="3">
        <v>9.8079999999999998</v>
      </c>
      <c r="DF125" s="3">
        <v>11.04</v>
      </c>
      <c r="DG125" s="3">
        <v>9.016</v>
      </c>
      <c r="DH125" s="3">
        <v>9.7509999999999994</v>
      </c>
    </row>
    <row r="126" spans="1:112" x14ac:dyDescent="0.3">
      <c r="A126" s="48" t="s">
        <v>314</v>
      </c>
      <c r="B126" s="49" t="s">
        <v>327</v>
      </c>
      <c r="C126" s="3">
        <v>27.457749</v>
      </c>
      <c r="D126" s="3">
        <v>16.523496000000002</v>
      </c>
      <c r="E126" s="3">
        <v>20.373055999999998</v>
      </c>
      <c r="F126" s="3">
        <v>35.407203000000003</v>
      </c>
      <c r="G126" s="3">
        <v>35.407203000000003</v>
      </c>
      <c r="H126" s="3">
        <v>19.580935</v>
      </c>
      <c r="I126" s="48" t="s">
        <v>314</v>
      </c>
      <c r="J126" s="49" t="s">
        <v>327</v>
      </c>
      <c r="K126" s="3">
        <v>22733</v>
      </c>
      <c r="L126" s="48" t="s">
        <v>314</v>
      </c>
      <c r="M126" s="49" t="s">
        <v>327</v>
      </c>
      <c r="N126" s="3">
        <v>272.16623929999997</v>
      </c>
      <c r="O126" s="3">
        <v>562.76495409999995</v>
      </c>
      <c r="P126" s="3">
        <v>215.9041191</v>
      </c>
      <c r="Q126" s="3">
        <v>197.51504689999999</v>
      </c>
      <c r="R126" s="3">
        <v>793.22601129999998</v>
      </c>
      <c r="S126" s="3">
        <v>246.36098029999999</v>
      </c>
      <c r="T126" s="3">
        <v>547.1538534</v>
      </c>
      <c r="U126" s="3">
        <v>305.27884399999999</v>
      </c>
      <c r="V126" s="3">
        <v>197.66191259999999</v>
      </c>
      <c r="W126" s="3">
        <v>91.392860630000001</v>
      </c>
      <c r="X126" s="3">
        <v>466.05134600000002</v>
      </c>
      <c r="Y126" s="3">
        <v>86.674363279999994</v>
      </c>
      <c r="Z126" s="3">
        <v>143.07658960000001</v>
      </c>
      <c r="AA126" s="48" t="s">
        <v>314</v>
      </c>
      <c r="AB126" s="49" t="s">
        <v>327</v>
      </c>
      <c r="AC126" s="3">
        <v>628.22975369999995</v>
      </c>
      <c r="AD126" s="3">
        <v>564.87200540000003</v>
      </c>
      <c r="AE126" s="3">
        <v>358.59795980000001</v>
      </c>
      <c r="AF126" s="3">
        <v>116.652405</v>
      </c>
      <c r="AG126" s="3">
        <v>1093.1948460000001</v>
      </c>
      <c r="AH126" s="3">
        <v>754.21530770000004</v>
      </c>
      <c r="AI126" s="3">
        <v>725.72137429999998</v>
      </c>
      <c r="AJ126" s="3">
        <v>755.82397379999998</v>
      </c>
      <c r="AK126" s="3">
        <v>315.70590709999999</v>
      </c>
      <c r="AL126" s="3">
        <v>465.96110909999999</v>
      </c>
      <c r="AM126" s="3">
        <v>770.43846429999996</v>
      </c>
      <c r="AN126" s="3">
        <v>94.266604299999997</v>
      </c>
      <c r="AO126" s="3">
        <v>311.42618140000002</v>
      </c>
      <c r="AP126" s="48" t="s">
        <v>314</v>
      </c>
      <c r="AQ126" s="49" t="s">
        <v>327</v>
      </c>
      <c r="AR126" s="3">
        <v>693.68326560000003</v>
      </c>
      <c r="AS126" s="3">
        <v>872.06409810000002</v>
      </c>
      <c r="AT126" s="3">
        <v>831.12970589999998</v>
      </c>
      <c r="AU126" s="3">
        <v>678.4761373</v>
      </c>
      <c r="AV126" s="3">
        <v>115.88791500000001</v>
      </c>
      <c r="AW126" s="3">
        <v>1184.0017640000001</v>
      </c>
      <c r="AX126" s="3">
        <v>730.18902060000005</v>
      </c>
      <c r="AY126" s="3">
        <v>1153.2104999999999</v>
      </c>
      <c r="AZ126" s="3">
        <v>413.29800719999997</v>
      </c>
      <c r="BA126" s="3">
        <v>260.0846118</v>
      </c>
      <c r="BB126" s="3">
        <v>355.86152550000003</v>
      </c>
      <c r="BC126" s="3">
        <v>122.26898970000001</v>
      </c>
      <c r="BD126" s="3">
        <v>626.33938769999997</v>
      </c>
      <c r="BE126" s="48" t="s">
        <v>314</v>
      </c>
      <c r="BF126" s="49" t="s">
        <v>327</v>
      </c>
      <c r="BG126" s="3">
        <v>0</v>
      </c>
      <c r="BH126" s="3">
        <v>0.39600000000000002</v>
      </c>
      <c r="BI126" s="3">
        <v>0.55649999999999999</v>
      </c>
      <c r="BJ126" s="3">
        <v>0</v>
      </c>
      <c r="BK126" s="3">
        <v>0.27600000000000002</v>
      </c>
      <c r="BL126" s="3">
        <v>0.64049999999999996</v>
      </c>
      <c r="BM126" s="3">
        <v>0</v>
      </c>
      <c r="BN126" s="3">
        <v>0.221</v>
      </c>
      <c r="BO126" s="3">
        <v>0.4345</v>
      </c>
      <c r="BP126" s="3">
        <v>0</v>
      </c>
      <c r="BQ126" s="3">
        <v>0.20899999999999999</v>
      </c>
      <c r="BR126" s="3">
        <v>0.44066666700000001</v>
      </c>
      <c r="BS126" s="3">
        <v>0</v>
      </c>
      <c r="BT126" s="3">
        <v>0.34699999999999998</v>
      </c>
      <c r="BU126" s="3">
        <v>0.61575000000000002</v>
      </c>
      <c r="BV126" s="3">
        <v>0</v>
      </c>
      <c r="BW126" s="3">
        <v>0.23300000000000001</v>
      </c>
      <c r="BX126" s="3">
        <v>0.44400000000000001</v>
      </c>
      <c r="BY126" s="3">
        <v>0</v>
      </c>
      <c r="BZ126" s="3">
        <v>0.17199999999999999</v>
      </c>
      <c r="CA126" s="3">
        <v>0.4965</v>
      </c>
      <c r="CB126" s="3">
        <v>0</v>
      </c>
      <c r="CC126" s="3">
        <v>0.433</v>
      </c>
      <c r="CD126" s="3">
        <v>0.67500000000000004</v>
      </c>
      <c r="CE126" s="3">
        <v>0</v>
      </c>
      <c r="CF126" s="3">
        <v>0.34300000000000003</v>
      </c>
      <c r="CG126" s="3">
        <v>0.6875</v>
      </c>
      <c r="CH126" s="3">
        <v>0</v>
      </c>
      <c r="CI126" s="3">
        <v>0.34300000000000003</v>
      </c>
      <c r="CJ126" s="3">
        <v>0.72099999999999997</v>
      </c>
      <c r="CK126" s="3">
        <v>0</v>
      </c>
      <c r="CL126" s="3">
        <v>0.34200000000000003</v>
      </c>
      <c r="CM126" s="3">
        <v>0.1</v>
      </c>
      <c r="CN126" s="3">
        <v>0</v>
      </c>
      <c r="CO126" s="3">
        <v>0.191</v>
      </c>
      <c r="CP126" s="3">
        <v>0.46733333300000002</v>
      </c>
      <c r="CQ126" s="3">
        <v>0</v>
      </c>
      <c r="CR126" s="3">
        <v>0.34899999999999998</v>
      </c>
      <c r="CS126" s="3">
        <v>0.628</v>
      </c>
      <c r="CT126" s="48" t="s">
        <v>314</v>
      </c>
      <c r="CU126" s="49" t="s">
        <v>327</v>
      </c>
      <c r="CV126" s="3">
        <v>9.1489999999999991</v>
      </c>
      <c r="CW126" s="3">
        <v>9.1969999999999992</v>
      </c>
      <c r="CX126" s="3">
        <v>9.7539999999999996</v>
      </c>
      <c r="CY126" s="3">
        <v>8.3889999999999993</v>
      </c>
      <c r="CZ126" s="3">
        <v>8.8960000000000008</v>
      </c>
      <c r="DA126" s="3">
        <v>9.5039999999999996</v>
      </c>
      <c r="DB126" s="3">
        <v>6.8419999999999996</v>
      </c>
      <c r="DC126" s="3">
        <v>10.234</v>
      </c>
      <c r="DD126" s="3">
        <v>9.1669999999999998</v>
      </c>
      <c r="DE126" s="3">
        <v>9.1620000000000008</v>
      </c>
      <c r="DF126" s="3">
        <v>10.826000000000001</v>
      </c>
      <c r="DG126" s="3">
        <v>9.1180000000000003</v>
      </c>
      <c r="DH126" s="3">
        <v>9.7560000000000002</v>
      </c>
    </row>
    <row r="127" spans="1:112" x14ac:dyDescent="0.3">
      <c r="A127" s="48" t="s">
        <v>314</v>
      </c>
      <c r="B127" s="49" t="s">
        <v>328</v>
      </c>
      <c r="C127" s="3">
        <v>26.235593999999999</v>
      </c>
      <c r="D127" s="3">
        <v>18.396455</v>
      </c>
      <c r="E127" s="3">
        <v>24.933304</v>
      </c>
      <c r="F127" s="3">
        <v>37.576954999999998</v>
      </c>
      <c r="G127" s="3">
        <v>37.576954999999998</v>
      </c>
      <c r="H127" s="3">
        <v>23.785838999999999</v>
      </c>
      <c r="I127" s="48" t="s">
        <v>314</v>
      </c>
      <c r="J127" s="49" t="s">
        <v>328</v>
      </c>
      <c r="K127" s="3">
        <v>22942</v>
      </c>
      <c r="L127" s="48" t="s">
        <v>314</v>
      </c>
      <c r="M127" s="49" t="s">
        <v>328</v>
      </c>
      <c r="N127" s="3">
        <v>999.82907899999998</v>
      </c>
      <c r="O127" s="3">
        <v>251.91919609999999</v>
      </c>
      <c r="P127" s="3">
        <v>198.21767399999999</v>
      </c>
      <c r="Q127" s="3">
        <v>156.25998430000001</v>
      </c>
      <c r="R127" s="3">
        <v>475.94500870000002</v>
      </c>
      <c r="S127" s="3">
        <v>1260.4012299999999</v>
      </c>
      <c r="T127" s="3">
        <v>842.46058259999995</v>
      </c>
      <c r="U127" s="3">
        <v>88.699627579999998</v>
      </c>
      <c r="V127" s="3">
        <v>408.49439100000001</v>
      </c>
      <c r="W127" s="3">
        <v>511.99277339999998</v>
      </c>
      <c r="X127" s="3">
        <v>181.5039256</v>
      </c>
      <c r="Y127" s="3">
        <v>100.9684352</v>
      </c>
      <c r="Z127" s="3">
        <v>91.458231339999998</v>
      </c>
      <c r="AA127" s="48" t="s">
        <v>314</v>
      </c>
      <c r="AB127" s="49" t="s">
        <v>328</v>
      </c>
      <c r="AC127" s="3">
        <v>865.7956269</v>
      </c>
      <c r="AD127" s="3">
        <v>778.47906620000003</v>
      </c>
      <c r="AE127" s="3">
        <v>494.2022303</v>
      </c>
      <c r="AF127" s="3">
        <v>148.14534080000001</v>
      </c>
      <c r="AG127" s="3">
        <v>1506.587855</v>
      </c>
      <c r="AH127" s="3">
        <v>1039.422777</v>
      </c>
      <c r="AI127" s="3">
        <v>1000.153827</v>
      </c>
      <c r="AJ127" s="3">
        <v>1041.639762</v>
      </c>
      <c r="AK127" s="3">
        <v>435.09049379999999</v>
      </c>
      <c r="AL127" s="3">
        <v>642.16488990000005</v>
      </c>
      <c r="AM127" s="3">
        <v>1061.780741</v>
      </c>
      <c r="AN127" s="3">
        <v>129.91363949999999</v>
      </c>
      <c r="AO127" s="3">
        <v>429.1923845</v>
      </c>
      <c r="AP127" s="48" t="s">
        <v>314</v>
      </c>
      <c r="AQ127" s="49" t="s">
        <v>328</v>
      </c>
      <c r="AR127" s="3">
        <v>796.45115680000004</v>
      </c>
      <c r="AS127" s="3">
        <v>1001.258779</v>
      </c>
      <c r="AT127" s="3">
        <v>954.26003270000001</v>
      </c>
      <c r="AU127" s="3">
        <v>740.68598369999995</v>
      </c>
      <c r="AV127" s="3">
        <v>133.05649500000001</v>
      </c>
      <c r="AW127" s="3">
        <v>1359.409433</v>
      </c>
      <c r="AX127" s="3">
        <v>838.36517179999998</v>
      </c>
      <c r="AY127" s="3">
        <v>1324.0564999999999</v>
      </c>
      <c r="AZ127" s="3">
        <v>474.5273416</v>
      </c>
      <c r="BA127" s="3">
        <v>298.61566540000001</v>
      </c>
      <c r="BB127" s="3">
        <v>408.5817515</v>
      </c>
      <c r="BC127" s="3">
        <v>140.38291409999999</v>
      </c>
      <c r="BD127" s="3">
        <v>719.13040809999995</v>
      </c>
      <c r="BE127" s="48" t="s">
        <v>314</v>
      </c>
      <c r="BF127" s="49" t="s">
        <v>328</v>
      </c>
      <c r="BG127" s="3">
        <v>0</v>
      </c>
      <c r="BH127" s="3">
        <v>0.39</v>
      </c>
      <c r="BI127" s="3">
        <v>0.53</v>
      </c>
      <c r="BJ127" s="3">
        <v>0</v>
      </c>
      <c r="BK127" s="3">
        <v>0.27400000000000002</v>
      </c>
      <c r="BL127" s="3">
        <v>0.64</v>
      </c>
      <c r="BM127" s="3">
        <v>0</v>
      </c>
      <c r="BN127" s="3">
        <v>0.22700000000000001</v>
      </c>
      <c r="BO127" s="3">
        <v>0.441</v>
      </c>
      <c r="BP127" s="3">
        <v>0</v>
      </c>
      <c r="BQ127" s="3">
        <v>0.187</v>
      </c>
      <c r="BR127" s="3">
        <v>0.41133333300000002</v>
      </c>
      <c r="BS127" s="3">
        <v>0</v>
      </c>
      <c r="BT127" s="3">
        <v>0.34699999999999998</v>
      </c>
      <c r="BU127" s="3">
        <v>0.59799999999999998</v>
      </c>
      <c r="BV127" s="3">
        <v>0</v>
      </c>
      <c r="BW127" s="3">
        <v>0.221</v>
      </c>
      <c r="BX127" s="3">
        <v>0.39800000000000002</v>
      </c>
      <c r="BY127" s="3">
        <v>0</v>
      </c>
      <c r="BZ127" s="3">
        <v>0.154</v>
      </c>
      <c r="CA127" s="3">
        <v>0.49</v>
      </c>
      <c r="CB127" s="3">
        <v>0</v>
      </c>
      <c r="CC127" s="3">
        <v>0.43</v>
      </c>
      <c r="CD127" s="3">
        <v>0.66600000000000004</v>
      </c>
      <c r="CE127" s="3">
        <v>0</v>
      </c>
      <c r="CF127" s="3">
        <v>0.35199999999999998</v>
      </c>
      <c r="CG127" s="3">
        <v>0.67049999999999998</v>
      </c>
      <c r="CH127" s="3">
        <v>0</v>
      </c>
      <c r="CI127" s="3">
        <v>0.35299999999999998</v>
      </c>
      <c r="CJ127" s="3">
        <v>0.71766666700000004</v>
      </c>
      <c r="CK127" s="3">
        <v>0</v>
      </c>
      <c r="CL127" s="3">
        <v>0.313</v>
      </c>
      <c r="CM127" s="3">
        <v>0.1</v>
      </c>
      <c r="CN127" s="3">
        <v>0</v>
      </c>
      <c r="CO127" s="3">
        <v>0.17100000000000001</v>
      </c>
      <c r="CP127" s="3">
        <v>0.45700000000000002</v>
      </c>
      <c r="CQ127" s="3">
        <v>0</v>
      </c>
      <c r="CR127" s="3">
        <v>0.33800000000000002</v>
      </c>
      <c r="CS127" s="3">
        <v>0.61399999999999999</v>
      </c>
      <c r="CT127" s="48" t="s">
        <v>314</v>
      </c>
      <c r="CU127" s="49" t="s">
        <v>328</v>
      </c>
      <c r="CV127" s="3">
        <v>8.6229999999999993</v>
      </c>
      <c r="CW127" s="3">
        <v>8.5370000000000008</v>
      </c>
      <c r="CX127" s="3">
        <v>9.32</v>
      </c>
      <c r="CY127" s="3">
        <v>8.4870000000000001</v>
      </c>
      <c r="CZ127" s="3">
        <v>8.1839999999999993</v>
      </c>
      <c r="DA127" s="3">
        <v>9.4190000000000005</v>
      </c>
      <c r="DB127" s="3">
        <v>6.7249999999999996</v>
      </c>
      <c r="DC127" s="3">
        <v>9.7439999999999998</v>
      </c>
      <c r="DD127" s="3">
        <v>8.7530000000000001</v>
      </c>
      <c r="DE127" s="3">
        <v>8.75</v>
      </c>
      <c r="DF127" s="3">
        <v>10.52</v>
      </c>
      <c r="DG127" s="3">
        <v>9.0869999999999997</v>
      </c>
      <c r="DH127" s="3">
        <v>9.7110000000000003</v>
      </c>
    </row>
    <row r="128" spans="1:112" x14ac:dyDescent="0.3">
      <c r="A128" s="48" t="s">
        <v>314</v>
      </c>
      <c r="B128" s="49" t="s">
        <v>329</v>
      </c>
      <c r="C128" s="3">
        <v>28.383102000000001</v>
      </c>
      <c r="D128" s="3">
        <v>21.261416000000001</v>
      </c>
      <c r="E128" s="3">
        <v>31.625616000000001</v>
      </c>
      <c r="F128" s="3">
        <v>38.224381000000001</v>
      </c>
      <c r="G128" s="3">
        <v>38.224381000000001</v>
      </c>
      <c r="H128" s="3">
        <v>29.982150000000001</v>
      </c>
      <c r="I128" s="48" t="s">
        <v>314</v>
      </c>
      <c r="J128" s="49" t="s">
        <v>329</v>
      </c>
      <c r="K128" s="3">
        <v>24062</v>
      </c>
      <c r="L128" s="48" t="s">
        <v>314</v>
      </c>
      <c r="M128" s="49" t="s">
        <v>329</v>
      </c>
      <c r="N128" s="3">
        <v>68.163912069999995</v>
      </c>
      <c r="O128" s="3">
        <v>401.79474850000003</v>
      </c>
      <c r="P128" s="3">
        <v>525.43228999999997</v>
      </c>
      <c r="Q128" s="3">
        <v>171.2575995</v>
      </c>
      <c r="R128" s="3">
        <v>643.61625849999996</v>
      </c>
      <c r="S128" s="3">
        <v>1577.897968</v>
      </c>
      <c r="T128" s="3">
        <v>1271.9129559999999</v>
      </c>
      <c r="U128" s="3">
        <v>353.07050329999998</v>
      </c>
      <c r="V128" s="3">
        <v>619.32686939999996</v>
      </c>
      <c r="W128" s="3">
        <v>537.94841429999997</v>
      </c>
      <c r="X128" s="3">
        <v>405.17580129999999</v>
      </c>
      <c r="Y128" s="3">
        <v>81.304848829999997</v>
      </c>
      <c r="Z128" s="3">
        <v>159.7915485</v>
      </c>
      <c r="AA128" s="48" t="s">
        <v>314</v>
      </c>
      <c r="AB128" s="49" t="s">
        <v>329</v>
      </c>
      <c r="AC128" s="3">
        <v>1015.37414</v>
      </c>
      <c r="AD128" s="3">
        <v>912.97240079999995</v>
      </c>
      <c r="AE128" s="3">
        <v>579.58269689999997</v>
      </c>
      <c r="AF128" s="3">
        <v>160.9996003</v>
      </c>
      <c r="AG128" s="3">
        <v>1766.8723419999999</v>
      </c>
      <c r="AH128" s="3">
        <v>1218.99785</v>
      </c>
      <c r="AI128" s="3">
        <v>1172.94463</v>
      </c>
      <c r="AJ128" s="3">
        <v>1221.597851</v>
      </c>
      <c r="AK128" s="3">
        <v>510.25856690000001</v>
      </c>
      <c r="AL128" s="3">
        <v>753.1080111</v>
      </c>
      <c r="AM128" s="3">
        <v>1245.21847</v>
      </c>
      <c r="AN128" s="3">
        <v>152.35806909999999</v>
      </c>
      <c r="AO128" s="3">
        <v>503.34147530000001</v>
      </c>
      <c r="AP128" s="48" t="s">
        <v>314</v>
      </c>
      <c r="AQ128" s="49" t="s">
        <v>329</v>
      </c>
      <c r="AR128" s="3">
        <v>918.98210400000005</v>
      </c>
      <c r="AS128" s="3">
        <v>1155.2985920000001</v>
      </c>
      <c r="AT128" s="3">
        <v>1101.0692690000001</v>
      </c>
      <c r="AU128" s="3">
        <v>898.15465740000002</v>
      </c>
      <c r="AV128" s="3">
        <v>153.526725</v>
      </c>
      <c r="AW128" s="3">
        <v>1568.549346</v>
      </c>
      <c r="AX128" s="3">
        <v>967.34442899999999</v>
      </c>
      <c r="AY128" s="3">
        <v>1527.7574999999999</v>
      </c>
      <c r="AZ128" s="3">
        <v>547.53154800000004</v>
      </c>
      <c r="BA128" s="3">
        <v>344.55653699999999</v>
      </c>
      <c r="BB128" s="3">
        <v>471.44048249999997</v>
      </c>
      <c r="BC128" s="3">
        <v>161.98028550000001</v>
      </c>
      <c r="BD128" s="3">
        <v>829.76585550000004</v>
      </c>
      <c r="BE128" s="48" t="s">
        <v>314</v>
      </c>
      <c r="BF128" s="49" t="s">
        <v>329</v>
      </c>
      <c r="BG128" s="3">
        <v>0</v>
      </c>
      <c r="BH128" s="3">
        <v>0.40200000000000002</v>
      </c>
      <c r="BI128" s="3">
        <v>0.54249999999999998</v>
      </c>
      <c r="BJ128" s="3">
        <v>0</v>
      </c>
      <c r="BK128" s="3">
        <v>0.28199999999999997</v>
      </c>
      <c r="BL128" s="3">
        <v>0.65200000000000002</v>
      </c>
      <c r="BM128" s="3">
        <v>0</v>
      </c>
      <c r="BN128" s="3">
        <v>0.22800000000000001</v>
      </c>
      <c r="BO128" s="3">
        <v>0.45250000000000001</v>
      </c>
      <c r="BP128" s="3">
        <v>0</v>
      </c>
      <c r="BQ128" s="3">
        <v>0.17899999999999999</v>
      </c>
      <c r="BR128" s="3">
        <v>0.41133333300000002</v>
      </c>
      <c r="BS128" s="3">
        <v>0</v>
      </c>
      <c r="BT128" s="3">
        <v>0.36399999999999999</v>
      </c>
      <c r="BU128" s="3">
        <v>0.60791666700000002</v>
      </c>
      <c r="BV128" s="3">
        <v>0</v>
      </c>
      <c r="BW128" s="3">
        <v>0.23300000000000001</v>
      </c>
      <c r="BX128" s="3">
        <v>0.39800000000000002</v>
      </c>
      <c r="BY128" s="3">
        <v>0</v>
      </c>
      <c r="BZ128" s="3">
        <v>0.13800000000000001</v>
      </c>
      <c r="CA128" s="3">
        <v>0.49249999999999999</v>
      </c>
      <c r="CB128" s="3">
        <v>0</v>
      </c>
      <c r="CC128" s="3">
        <v>0.437</v>
      </c>
      <c r="CD128" s="3">
        <v>0.67333333299999998</v>
      </c>
      <c r="CE128" s="3">
        <v>0</v>
      </c>
      <c r="CF128" s="3">
        <v>0.35</v>
      </c>
      <c r="CG128" s="3">
        <v>0.67249999999999999</v>
      </c>
      <c r="CH128" s="3">
        <v>0</v>
      </c>
      <c r="CI128" s="3">
        <v>0.35099999999999998</v>
      </c>
      <c r="CJ128" s="3">
        <v>0.71799999999999997</v>
      </c>
      <c r="CK128" s="3">
        <v>0</v>
      </c>
      <c r="CL128" s="3">
        <v>0.34100000000000003</v>
      </c>
      <c r="CM128" s="3">
        <v>0.1</v>
      </c>
      <c r="CN128" s="3">
        <v>0</v>
      </c>
      <c r="CO128" s="3">
        <v>0.18099999999999999</v>
      </c>
      <c r="CP128" s="3">
        <v>0.45733333300000001</v>
      </c>
      <c r="CQ128" s="3">
        <v>0</v>
      </c>
      <c r="CR128" s="3">
        <v>0.34100000000000003</v>
      </c>
      <c r="CS128" s="3">
        <v>0.61599999999999999</v>
      </c>
      <c r="CT128" s="48" t="s">
        <v>314</v>
      </c>
      <c r="CU128" s="49" t="s">
        <v>329</v>
      </c>
      <c r="CV128" s="3">
        <v>8.1449999999999996</v>
      </c>
      <c r="CW128" s="3">
        <v>8.07</v>
      </c>
      <c r="CX128" s="3">
        <v>8.9320000000000004</v>
      </c>
      <c r="CY128" s="3">
        <v>8.4510000000000005</v>
      </c>
      <c r="CZ128" s="3">
        <v>7.6989999999999998</v>
      </c>
      <c r="DA128" s="3">
        <v>9.2390000000000008</v>
      </c>
      <c r="DB128" s="3">
        <v>6.6319999999999997</v>
      </c>
      <c r="DC128" s="3">
        <v>9.4909999999999997</v>
      </c>
      <c r="DD128" s="3">
        <v>8.4</v>
      </c>
      <c r="DE128" s="3">
        <v>8.4</v>
      </c>
      <c r="DF128" s="3">
        <v>10.025</v>
      </c>
      <c r="DG128" s="3">
        <v>8.9789999999999992</v>
      </c>
      <c r="DH128" s="3">
        <v>9.5190000000000001</v>
      </c>
    </row>
    <row r="129" spans="1:112" x14ac:dyDescent="0.3">
      <c r="A129" s="48" t="s">
        <v>314</v>
      </c>
      <c r="B129" s="49" t="s">
        <v>330</v>
      </c>
      <c r="C129" s="3">
        <v>26.665606</v>
      </c>
      <c r="D129" s="3">
        <v>21.202192</v>
      </c>
      <c r="E129" s="3">
        <v>29.641611999999999</v>
      </c>
      <c r="F129" s="3">
        <v>38.434356999999999</v>
      </c>
      <c r="G129" s="3">
        <v>38.434356999999999</v>
      </c>
      <c r="H129" s="3">
        <v>28.553370999999999</v>
      </c>
      <c r="I129" s="48" t="s">
        <v>314</v>
      </c>
      <c r="J129" s="49" t="s">
        <v>330</v>
      </c>
      <c r="K129" s="3">
        <v>24817</v>
      </c>
      <c r="L129" s="48" t="s">
        <v>314</v>
      </c>
      <c r="M129" s="49" t="s">
        <v>330</v>
      </c>
      <c r="N129" s="3">
        <v>1508.605006</v>
      </c>
      <c r="O129" s="3">
        <v>1384.308362</v>
      </c>
      <c r="P129" s="3">
        <v>186.83078879999999</v>
      </c>
      <c r="Q129" s="3">
        <v>398.60984459999997</v>
      </c>
      <c r="R129" s="3">
        <v>282.9151986</v>
      </c>
      <c r="S129" s="3">
        <v>1156.5764919999999</v>
      </c>
      <c r="T129" s="3">
        <v>830.89638690000004</v>
      </c>
      <c r="U129" s="3">
        <v>3297.7397110000002</v>
      </c>
      <c r="V129" s="3">
        <v>2195.3740269999998</v>
      </c>
      <c r="W129" s="3">
        <v>806.52983630000006</v>
      </c>
      <c r="X129" s="3">
        <v>1204.153607</v>
      </c>
      <c r="Y129" s="3">
        <v>99.768213040000006</v>
      </c>
      <c r="Z129" s="3">
        <v>223.07620420000001</v>
      </c>
      <c r="AA129" s="48" t="s">
        <v>314</v>
      </c>
      <c r="AB129" s="49" t="s">
        <v>330</v>
      </c>
      <c r="AC129" s="3">
        <v>1356.7650980000001</v>
      </c>
      <c r="AD129" s="3">
        <v>1219.933659</v>
      </c>
      <c r="AE129" s="3">
        <v>774.45105590000003</v>
      </c>
      <c r="AF129" s="3">
        <v>198.91966590000001</v>
      </c>
      <c r="AG129" s="3">
        <v>2360.9334060000001</v>
      </c>
      <c r="AH129" s="3">
        <v>1628.851547</v>
      </c>
      <c r="AI129" s="3">
        <v>1567.3142290000001</v>
      </c>
      <c r="AJ129" s="3">
        <v>1632.3257249999999</v>
      </c>
      <c r="AK129" s="3">
        <v>681.81863969999995</v>
      </c>
      <c r="AL129" s="3">
        <v>1006.31937</v>
      </c>
      <c r="AM129" s="3">
        <v>1663.8881120000001</v>
      </c>
      <c r="AN129" s="3">
        <v>203.58417900000001</v>
      </c>
      <c r="AO129" s="3">
        <v>672.57587090000004</v>
      </c>
      <c r="AP129" s="48" t="s">
        <v>314</v>
      </c>
      <c r="AQ129" s="49" t="s">
        <v>330</v>
      </c>
      <c r="AR129" s="3">
        <v>1061.2761069999999</v>
      </c>
      <c r="AS129" s="3">
        <v>1334.1835349999999</v>
      </c>
      <c r="AT129" s="3">
        <v>1271.557413</v>
      </c>
      <c r="AU129" s="3">
        <v>1026.4624659999999</v>
      </c>
      <c r="AV129" s="3">
        <v>177.29860500000001</v>
      </c>
      <c r="AW129" s="3">
        <v>1811.421503</v>
      </c>
      <c r="AX129" s="3">
        <v>1117.126792</v>
      </c>
      <c r="AY129" s="3">
        <v>1764.3135</v>
      </c>
      <c r="AZ129" s="3">
        <v>632.31062640000005</v>
      </c>
      <c r="BA129" s="3">
        <v>397.9072266</v>
      </c>
      <c r="BB129" s="3">
        <v>544.43771849999996</v>
      </c>
      <c r="BC129" s="3">
        <v>187.06110390000001</v>
      </c>
      <c r="BD129" s="3">
        <v>958.24572990000001</v>
      </c>
      <c r="BE129" s="48" t="s">
        <v>314</v>
      </c>
      <c r="BF129" s="49" t="s">
        <v>330</v>
      </c>
      <c r="BG129" s="3">
        <v>1E-3</v>
      </c>
      <c r="BH129" s="3">
        <v>0.42499999999999999</v>
      </c>
      <c r="BI129" s="3">
        <v>0.55600000000000005</v>
      </c>
      <c r="BJ129" s="3">
        <v>0</v>
      </c>
      <c r="BK129" s="3">
        <v>0.28999999999999998</v>
      </c>
      <c r="BL129" s="3">
        <v>0.67700000000000005</v>
      </c>
      <c r="BM129" s="3">
        <v>0</v>
      </c>
      <c r="BN129" s="3">
        <v>0.22500000000000001</v>
      </c>
      <c r="BO129" s="3">
        <v>0.46500000000000002</v>
      </c>
      <c r="BP129" s="3">
        <v>0</v>
      </c>
      <c r="BQ129" s="3">
        <v>0.193</v>
      </c>
      <c r="BR129" s="3">
        <v>0.421666667</v>
      </c>
      <c r="BS129" s="3">
        <v>1E-3</v>
      </c>
      <c r="BT129" s="3">
        <v>0.38200000000000001</v>
      </c>
      <c r="BU129" s="3">
        <v>0.62649999999999995</v>
      </c>
      <c r="BV129" s="3">
        <v>0</v>
      </c>
      <c r="BW129" s="3">
        <v>0.245</v>
      </c>
      <c r="BX129" s="3">
        <v>0.41399999999999998</v>
      </c>
      <c r="BY129" s="3">
        <v>0</v>
      </c>
      <c r="BZ129" s="3">
        <v>0.13600000000000001</v>
      </c>
      <c r="CA129" s="3">
        <v>0.47899999999999998</v>
      </c>
      <c r="CB129" s="3">
        <v>2E-3</v>
      </c>
      <c r="CC129" s="3">
        <v>0.45900000000000002</v>
      </c>
      <c r="CD129" s="3">
        <v>0.69699999999999995</v>
      </c>
      <c r="CE129" s="3">
        <v>0</v>
      </c>
      <c r="CF129" s="3">
        <v>0.34499999999999997</v>
      </c>
      <c r="CG129" s="3">
        <v>0.6915</v>
      </c>
      <c r="CH129" s="3">
        <v>0</v>
      </c>
      <c r="CI129" s="3">
        <v>0.34499999999999997</v>
      </c>
      <c r="CJ129" s="3">
        <v>0.70699999999999996</v>
      </c>
      <c r="CK129" s="3">
        <v>0</v>
      </c>
      <c r="CL129" s="3">
        <v>0.35599999999999998</v>
      </c>
      <c r="CM129" s="3">
        <v>0.1</v>
      </c>
      <c r="CN129" s="3">
        <v>0</v>
      </c>
      <c r="CO129" s="3">
        <v>0.186</v>
      </c>
      <c r="CP129" s="3">
        <v>0.45466666700000002</v>
      </c>
      <c r="CQ129" s="3">
        <v>0</v>
      </c>
      <c r="CR129" s="3">
        <v>0.33100000000000002</v>
      </c>
      <c r="CS129" s="3">
        <v>0.61199999999999999</v>
      </c>
      <c r="CT129" s="48" t="s">
        <v>314</v>
      </c>
      <c r="CU129" s="49" t="s">
        <v>330</v>
      </c>
      <c r="CV129" s="3">
        <v>7.8529999999999998</v>
      </c>
      <c r="CW129" s="3">
        <v>7.5129999999999999</v>
      </c>
      <c r="CX129" s="3">
        <v>8.3940000000000001</v>
      </c>
      <c r="CY129" s="3">
        <v>8.2970000000000006</v>
      </c>
      <c r="CZ129" s="3">
        <v>7.3869999999999996</v>
      </c>
      <c r="DA129" s="3">
        <v>8.8369999999999997</v>
      </c>
      <c r="DB129" s="3">
        <v>6.59</v>
      </c>
      <c r="DC129" s="3">
        <v>9.3520000000000003</v>
      </c>
      <c r="DD129" s="3">
        <v>8.01</v>
      </c>
      <c r="DE129" s="3">
        <v>8</v>
      </c>
      <c r="DF129" s="3">
        <v>9.64</v>
      </c>
      <c r="DG129" s="3">
        <v>8.6910000000000007</v>
      </c>
      <c r="DH129" s="3">
        <v>9.1270000000000007</v>
      </c>
    </row>
    <row r="130" spans="1:112" x14ac:dyDescent="0.3">
      <c r="A130" s="48" t="s">
        <v>314</v>
      </c>
      <c r="B130" s="49" t="s">
        <v>331</v>
      </c>
      <c r="C130" s="3">
        <v>26.747039000000001</v>
      </c>
      <c r="D130" s="3">
        <v>23.186195999999999</v>
      </c>
      <c r="E130" s="3">
        <v>34.668249000000003</v>
      </c>
      <c r="F130" s="3">
        <v>38.294373</v>
      </c>
      <c r="G130" s="3">
        <v>38.294373</v>
      </c>
      <c r="H130" s="3">
        <v>33.313499999999998</v>
      </c>
      <c r="I130" s="48" t="s">
        <v>314</v>
      </c>
      <c r="J130" s="49" t="s">
        <v>331</v>
      </c>
      <c r="K130" s="3">
        <v>27605</v>
      </c>
      <c r="L130" s="48" t="s">
        <v>314</v>
      </c>
      <c r="M130" s="49" t="s">
        <v>331</v>
      </c>
      <c r="N130" s="3">
        <v>2197.9910540000001</v>
      </c>
      <c r="O130" s="3">
        <v>1762.9601170000001</v>
      </c>
      <c r="P130" s="3">
        <v>1242.9139560000001</v>
      </c>
      <c r="Q130" s="3">
        <v>320.26753539999999</v>
      </c>
      <c r="R130" s="3">
        <v>2491.304787</v>
      </c>
      <c r="S130" s="3">
        <v>1096.148758</v>
      </c>
      <c r="T130" s="3">
        <v>2265.774191</v>
      </c>
      <c r="U130" s="3">
        <v>5208.3000380000003</v>
      </c>
      <c r="V130" s="3">
        <v>3443.445874</v>
      </c>
      <c r="W130" s="3">
        <v>1266.6249069999999</v>
      </c>
      <c r="X130" s="3">
        <v>1444.5653669999999</v>
      </c>
      <c r="Y130" s="3">
        <v>145.2378999</v>
      </c>
      <c r="Z130" s="3">
        <v>55.711452020000003</v>
      </c>
      <c r="AA130" s="48" t="s">
        <v>314</v>
      </c>
      <c r="AB130" s="49" t="s">
        <v>331</v>
      </c>
      <c r="AC130" s="3">
        <v>1198.387849</v>
      </c>
      <c r="AD130" s="3">
        <v>1077.528951</v>
      </c>
      <c r="AE130" s="3">
        <v>684.04820900000004</v>
      </c>
      <c r="AF130" s="3">
        <v>196.348814</v>
      </c>
      <c r="AG130" s="3">
        <v>2085.3380670000001</v>
      </c>
      <c r="AH130" s="3">
        <v>1438.7132340000001</v>
      </c>
      <c r="AI130" s="3">
        <v>1384.3592599999999</v>
      </c>
      <c r="AJ130" s="3">
        <v>1441.781866</v>
      </c>
      <c r="AK130" s="3">
        <v>602.22891519999996</v>
      </c>
      <c r="AL130" s="3">
        <v>888.85018290000005</v>
      </c>
      <c r="AM130" s="3">
        <v>1469.659928</v>
      </c>
      <c r="AN130" s="3">
        <v>179.81948890000001</v>
      </c>
      <c r="AO130" s="3">
        <v>594.06506879999995</v>
      </c>
      <c r="AP130" s="48" t="s">
        <v>314</v>
      </c>
      <c r="AQ130" s="49" t="s">
        <v>331</v>
      </c>
      <c r="AR130" s="3">
        <v>1124.5178860000001</v>
      </c>
      <c r="AS130" s="3">
        <v>1413.687954</v>
      </c>
      <c r="AT130" s="3">
        <v>1347.3299219999999</v>
      </c>
      <c r="AU130" s="3">
        <v>1057.567389</v>
      </c>
      <c r="AV130" s="3">
        <v>187.86388500000001</v>
      </c>
      <c r="AW130" s="3">
        <v>1919.3646839999999</v>
      </c>
      <c r="AX130" s="3">
        <v>1183.696731</v>
      </c>
      <c r="AY130" s="3">
        <v>1869.4494999999999</v>
      </c>
      <c r="AZ130" s="3">
        <v>669.99021679999998</v>
      </c>
      <c r="BA130" s="3">
        <v>421.61864420000001</v>
      </c>
      <c r="BB130" s="3">
        <v>576.88093449999997</v>
      </c>
      <c r="BC130" s="3">
        <v>198.20813430000001</v>
      </c>
      <c r="BD130" s="3">
        <v>1015.347896</v>
      </c>
      <c r="BE130" s="48" t="s">
        <v>314</v>
      </c>
      <c r="BF130" s="49" t="s">
        <v>331</v>
      </c>
      <c r="BG130" s="3">
        <v>8.5999999999999993E-2</v>
      </c>
      <c r="BH130" s="3">
        <v>0.38600000000000001</v>
      </c>
      <c r="BI130" s="3">
        <v>0.56599999999999995</v>
      </c>
      <c r="BJ130" s="3">
        <v>8.3000000000000004E-2</v>
      </c>
      <c r="BK130" s="3">
        <v>0.26800000000000002</v>
      </c>
      <c r="BL130" s="3">
        <v>0.6835</v>
      </c>
      <c r="BM130" s="3">
        <v>0.04</v>
      </c>
      <c r="BN130" s="3">
        <v>0.224</v>
      </c>
      <c r="BO130" s="3">
        <v>0.47699999999999998</v>
      </c>
      <c r="BP130" s="3">
        <v>1.2999999999999999E-2</v>
      </c>
      <c r="BQ130" s="3">
        <v>0.188</v>
      </c>
      <c r="BR130" s="3">
        <v>0.41766666699999999</v>
      </c>
      <c r="BS130" s="3">
        <v>0.109</v>
      </c>
      <c r="BT130" s="3">
        <v>0.32800000000000001</v>
      </c>
      <c r="BU130" s="3">
        <v>0.63366666699999996</v>
      </c>
      <c r="BV130" s="3">
        <v>3.4000000000000002E-2</v>
      </c>
      <c r="BW130" s="3">
        <v>0.23100000000000001</v>
      </c>
      <c r="BX130" s="3">
        <v>0.39800000000000002</v>
      </c>
      <c r="BY130" s="3">
        <v>5.0000000000000001E-3</v>
      </c>
      <c r="BZ130" s="3">
        <v>0.125</v>
      </c>
      <c r="CA130" s="3">
        <v>0.46500000000000002</v>
      </c>
      <c r="CB130" s="3">
        <v>0.11799999999999999</v>
      </c>
      <c r="CC130" s="3">
        <v>0.42599999999999999</v>
      </c>
      <c r="CD130" s="3">
        <v>0.701333333</v>
      </c>
      <c r="CE130" s="3">
        <v>7.6999999999999999E-2</v>
      </c>
      <c r="CF130" s="3">
        <v>0.31</v>
      </c>
      <c r="CG130" s="3">
        <v>0.67149999999999999</v>
      </c>
      <c r="CH130" s="3">
        <v>7.5999999999999998E-2</v>
      </c>
      <c r="CI130" s="3">
        <v>0.31</v>
      </c>
      <c r="CJ130" s="3">
        <v>0.69499999999999995</v>
      </c>
      <c r="CK130" s="3">
        <v>4.4999999999999998E-2</v>
      </c>
      <c r="CL130" s="3">
        <v>0.32900000000000001</v>
      </c>
      <c r="CM130" s="3">
        <v>0.1</v>
      </c>
      <c r="CN130" s="3">
        <v>5.2999999999999999E-2</v>
      </c>
      <c r="CO130" s="3">
        <v>0.19500000000000001</v>
      </c>
      <c r="CP130" s="3">
        <v>0.442</v>
      </c>
      <c r="CQ130" s="3">
        <v>0.04</v>
      </c>
      <c r="CR130" s="3">
        <v>0.30499999999999999</v>
      </c>
      <c r="CS130" s="3">
        <v>0.59099999999999997</v>
      </c>
      <c r="CT130" s="48" t="s">
        <v>314</v>
      </c>
      <c r="CU130" s="49" t="s">
        <v>331</v>
      </c>
      <c r="CV130" s="3">
        <v>9.3580000000000005</v>
      </c>
      <c r="CW130" s="3">
        <v>8.73</v>
      </c>
      <c r="CX130" s="3">
        <v>9.0510000000000002</v>
      </c>
      <c r="CY130" s="3">
        <v>8.6630000000000003</v>
      </c>
      <c r="CZ130" s="3">
        <v>8.9250000000000007</v>
      </c>
      <c r="DA130" s="3">
        <v>9.3469999999999995</v>
      </c>
      <c r="DB130" s="3">
        <v>6.86</v>
      </c>
      <c r="DC130" s="3">
        <v>10.742000000000001</v>
      </c>
      <c r="DD130" s="3">
        <v>8.5670000000000002</v>
      </c>
      <c r="DE130" s="3">
        <v>8.5519999999999996</v>
      </c>
      <c r="DF130" s="3">
        <v>9.6379999999999999</v>
      </c>
      <c r="DG130" s="3">
        <v>8.9670000000000005</v>
      </c>
      <c r="DH130" s="3">
        <v>9.1829999999999998</v>
      </c>
    </row>
    <row r="131" spans="1:112" x14ac:dyDescent="0.3">
      <c r="A131" s="48" t="s">
        <v>314</v>
      </c>
      <c r="B131" s="49" t="s">
        <v>332</v>
      </c>
      <c r="C131" s="3">
        <v>33.380127000000002</v>
      </c>
      <c r="D131" s="3">
        <v>21.816641000000001</v>
      </c>
      <c r="E131" s="3">
        <v>31.825496999999999</v>
      </c>
      <c r="F131" s="3">
        <v>38.198134000000003</v>
      </c>
      <c r="G131" s="3">
        <v>38.198134000000003</v>
      </c>
      <c r="H131" s="3">
        <v>30.574390000000001</v>
      </c>
      <c r="I131" s="48" t="s">
        <v>314</v>
      </c>
      <c r="J131" s="49" t="s">
        <v>332</v>
      </c>
      <c r="K131" s="3">
        <v>29787</v>
      </c>
      <c r="L131" s="48" t="s">
        <v>314</v>
      </c>
      <c r="M131" s="49" t="s">
        <v>332</v>
      </c>
      <c r="N131" s="3">
        <v>3445.3317630000001</v>
      </c>
      <c r="O131" s="3">
        <v>3801.6926039999998</v>
      </c>
      <c r="P131" s="3">
        <v>1537.042938</v>
      </c>
      <c r="Q131" s="3">
        <v>1056.0976069999999</v>
      </c>
      <c r="R131" s="3">
        <v>3727.1359160000002</v>
      </c>
      <c r="S131" s="3">
        <v>2821.818064</v>
      </c>
      <c r="T131" s="3">
        <v>2672.7605739999999</v>
      </c>
      <c r="U131" s="3">
        <v>4423.4294319999999</v>
      </c>
      <c r="V131" s="3">
        <v>3043.638207</v>
      </c>
      <c r="W131" s="3">
        <v>2299.7550719999999</v>
      </c>
      <c r="X131" s="3">
        <v>2751.0625909999999</v>
      </c>
      <c r="Y131" s="3">
        <v>190.7075868</v>
      </c>
      <c r="Z131" s="3">
        <v>586.2222481</v>
      </c>
      <c r="AA131" s="48" t="s">
        <v>314</v>
      </c>
      <c r="AB131" s="49" t="s">
        <v>332</v>
      </c>
      <c r="AC131" s="3">
        <v>1050.569084</v>
      </c>
      <c r="AD131" s="3">
        <v>944.6178913</v>
      </c>
      <c r="AE131" s="3">
        <v>599.67221840000002</v>
      </c>
      <c r="AF131" s="3">
        <v>189.27897129999999</v>
      </c>
      <c r="AG131" s="3">
        <v>1828.1157499999999</v>
      </c>
      <c r="AH131" s="3">
        <v>1261.2508089999999</v>
      </c>
      <c r="AI131" s="3">
        <v>1213.6012900000001</v>
      </c>
      <c r="AJ131" s="3">
        <v>1263.9409310000001</v>
      </c>
      <c r="AK131" s="3">
        <v>527.94517240000005</v>
      </c>
      <c r="AL131" s="3">
        <v>779.21227490000001</v>
      </c>
      <c r="AM131" s="3">
        <v>1288.3802889999999</v>
      </c>
      <c r="AN131" s="3">
        <v>157.63911139999999</v>
      </c>
      <c r="AO131" s="3">
        <v>520.78832020000004</v>
      </c>
      <c r="AP131" s="48" t="s">
        <v>314</v>
      </c>
      <c r="AQ131" s="49" t="s">
        <v>332</v>
      </c>
      <c r="AR131" s="3">
        <v>1096.849608</v>
      </c>
      <c r="AS131" s="3">
        <v>1378.904771</v>
      </c>
      <c r="AT131" s="3">
        <v>1314.1794500000001</v>
      </c>
      <c r="AU131" s="3">
        <v>1034.2386959999999</v>
      </c>
      <c r="AV131" s="3">
        <v>183.24157500000001</v>
      </c>
      <c r="AW131" s="3">
        <v>1872.1395419999999</v>
      </c>
      <c r="AX131" s="3">
        <v>1154.5723829999999</v>
      </c>
      <c r="AY131" s="3">
        <v>1823.4525000000001</v>
      </c>
      <c r="AZ131" s="3">
        <v>653.50539600000002</v>
      </c>
      <c r="BA131" s="3">
        <v>411.24489899999998</v>
      </c>
      <c r="BB131" s="3">
        <v>562.6870275</v>
      </c>
      <c r="BC131" s="3">
        <v>193.33130850000001</v>
      </c>
      <c r="BD131" s="3">
        <v>990.36569850000001</v>
      </c>
      <c r="BE131" s="48" t="s">
        <v>314</v>
      </c>
      <c r="BF131" s="49" t="s">
        <v>332</v>
      </c>
      <c r="BG131" s="3">
        <v>0.26100000000000001</v>
      </c>
      <c r="BH131" s="3">
        <v>0.30499999999999999</v>
      </c>
      <c r="BI131" s="3">
        <v>0.52600000000000002</v>
      </c>
      <c r="BJ131" s="3">
        <v>0.27600000000000002</v>
      </c>
      <c r="BK131" s="3">
        <v>0.20699999999999999</v>
      </c>
      <c r="BL131" s="3">
        <v>0.65900000000000003</v>
      </c>
      <c r="BM131" s="3">
        <v>0.19600000000000001</v>
      </c>
      <c r="BN131" s="3">
        <v>0.16</v>
      </c>
      <c r="BO131" s="3">
        <v>0.45100000000000001</v>
      </c>
      <c r="BP131" s="3">
        <v>6.6000000000000003E-2</v>
      </c>
      <c r="BQ131" s="3">
        <v>0.14799999999999999</v>
      </c>
      <c r="BR131" s="3">
        <v>0.36733333299999998</v>
      </c>
      <c r="BS131" s="3">
        <v>0.316</v>
      </c>
      <c r="BT131" s="3">
        <v>0.27800000000000002</v>
      </c>
      <c r="BU131" s="3">
        <v>0.60850000000000004</v>
      </c>
      <c r="BV131" s="3">
        <v>0.17299999999999999</v>
      </c>
      <c r="BW131" s="3">
        <v>0.17499999999999999</v>
      </c>
      <c r="BX131" s="3">
        <v>0.32500000000000001</v>
      </c>
      <c r="BY131" s="3">
        <v>3.7999999999999999E-2</v>
      </c>
      <c r="BZ131" s="3">
        <v>0.126</v>
      </c>
      <c r="CA131" s="3">
        <v>0.40400000000000003</v>
      </c>
      <c r="CB131" s="3">
        <v>0.317</v>
      </c>
      <c r="CC131" s="3">
        <v>0.41399999999999998</v>
      </c>
      <c r="CD131" s="3">
        <v>0.69099999999999995</v>
      </c>
      <c r="CE131" s="3">
        <v>0.30099999999999999</v>
      </c>
      <c r="CF131" s="3">
        <v>0.28499999999999998</v>
      </c>
      <c r="CG131" s="3">
        <v>0.67500000000000004</v>
      </c>
      <c r="CH131" s="3">
        <v>0.29899999999999999</v>
      </c>
      <c r="CI131" s="3">
        <v>0.28499999999999998</v>
      </c>
      <c r="CJ131" s="3">
        <v>0.67433333299999998</v>
      </c>
      <c r="CK131" s="3">
        <v>0.214</v>
      </c>
      <c r="CL131" s="3">
        <v>0.30199999999999999</v>
      </c>
      <c r="CM131" s="3">
        <v>0.1</v>
      </c>
      <c r="CN131" s="3">
        <v>0.23599999999999999</v>
      </c>
      <c r="CO131" s="3">
        <v>0.14899999999999999</v>
      </c>
      <c r="CP131" s="3">
        <v>0.40666666699999998</v>
      </c>
      <c r="CQ131" s="3">
        <v>0.18</v>
      </c>
      <c r="CR131" s="3">
        <v>0.26200000000000001</v>
      </c>
      <c r="CS131" s="3">
        <v>0.53</v>
      </c>
      <c r="CT131" s="48" t="s">
        <v>314</v>
      </c>
      <c r="CU131" s="49" t="s">
        <v>332</v>
      </c>
      <c r="CV131" s="3">
        <v>10.989000000000001</v>
      </c>
      <c r="CW131" s="3">
        <v>10.558999999999999</v>
      </c>
      <c r="CX131" s="3">
        <v>10.608000000000001</v>
      </c>
      <c r="CY131" s="3">
        <v>9.41</v>
      </c>
      <c r="CZ131" s="3">
        <v>10.785</v>
      </c>
      <c r="DA131" s="3">
        <v>10.345000000000001</v>
      </c>
      <c r="DB131" s="3">
        <v>7.5540000000000003</v>
      </c>
      <c r="DC131" s="3">
        <v>12.111000000000001</v>
      </c>
      <c r="DD131" s="3">
        <v>10.045</v>
      </c>
      <c r="DE131" s="3">
        <v>10.023</v>
      </c>
      <c r="DF131" s="3">
        <v>10.426</v>
      </c>
      <c r="DG131" s="3">
        <v>9.7509999999999994</v>
      </c>
      <c r="DH131" s="3">
        <v>9.9860000000000007</v>
      </c>
    </row>
    <row r="132" spans="1:112" x14ac:dyDescent="0.3">
      <c r="A132" s="48" t="s">
        <v>314</v>
      </c>
      <c r="B132" s="49" t="s">
        <v>333</v>
      </c>
      <c r="C132" s="3">
        <v>35.660251000000002</v>
      </c>
      <c r="D132" s="3">
        <v>23.067748000000002</v>
      </c>
      <c r="E132" s="3">
        <v>35.534399999999998</v>
      </c>
      <c r="F132" s="3">
        <v>37.961911000000001</v>
      </c>
      <c r="G132" s="3">
        <v>37.961911000000001</v>
      </c>
      <c r="H132" s="3">
        <v>33.868724999999998</v>
      </c>
      <c r="I132" s="48" t="s">
        <v>314</v>
      </c>
      <c r="J132" s="49" t="s">
        <v>333</v>
      </c>
      <c r="K132" s="3">
        <v>30714.5</v>
      </c>
      <c r="L132" s="48" t="s">
        <v>314</v>
      </c>
      <c r="M132" s="49" t="s">
        <v>333</v>
      </c>
      <c r="N132" s="3">
        <v>3221.803629</v>
      </c>
      <c r="O132" s="3">
        <v>3756.7084500000001</v>
      </c>
      <c r="P132" s="3">
        <v>1380.9131159999999</v>
      </c>
      <c r="Q132" s="3">
        <v>1339.4385360000001</v>
      </c>
      <c r="R132" s="3">
        <v>4057.878866</v>
      </c>
      <c r="S132" s="3">
        <v>3479.380365</v>
      </c>
      <c r="T132" s="3">
        <v>2429.381828</v>
      </c>
      <c r="U132" s="3">
        <v>3259.5324129999999</v>
      </c>
      <c r="V132" s="3">
        <v>2356.9352020000001</v>
      </c>
      <c r="W132" s="3">
        <v>2266.279211</v>
      </c>
      <c r="X132" s="3">
        <v>3093.0423190000001</v>
      </c>
      <c r="Y132" s="3">
        <v>256.37362050000002</v>
      </c>
      <c r="Z132" s="3">
        <v>840.33740490000002</v>
      </c>
      <c r="AA132" s="48" t="s">
        <v>314</v>
      </c>
      <c r="AB132" s="49" t="s">
        <v>333</v>
      </c>
      <c r="AC132" s="3">
        <v>922.1075376</v>
      </c>
      <c r="AD132" s="3">
        <v>829.111851</v>
      </c>
      <c r="AE132" s="3">
        <v>526.34546469999998</v>
      </c>
      <c r="AF132" s="3">
        <v>171.283008</v>
      </c>
      <c r="AG132" s="3">
        <v>1604.5773079999999</v>
      </c>
      <c r="AH132" s="3">
        <v>1107.0275099999999</v>
      </c>
      <c r="AI132" s="3">
        <v>1065.2044820000001</v>
      </c>
      <c r="AJ132" s="3">
        <v>1109.38869</v>
      </c>
      <c r="AK132" s="3">
        <v>463.38906250000002</v>
      </c>
      <c r="AL132" s="3">
        <v>683.93171199999995</v>
      </c>
      <c r="AM132" s="3">
        <v>1130.839651</v>
      </c>
      <c r="AN132" s="3">
        <v>138.36330720000001</v>
      </c>
      <c r="AO132" s="3">
        <v>457.10733640000001</v>
      </c>
      <c r="AP132" s="48" t="s">
        <v>314</v>
      </c>
      <c r="AQ132" s="49" t="s">
        <v>333</v>
      </c>
      <c r="AR132" s="3">
        <v>1025.7026060000001</v>
      </c>
      <c r="AS132" s="3">
        <v>1289.462299</v>
      </c>
      <c r="AT132" s="3">
        <v>1228.935377</v>
      </c>
      <c r="AU132" s="3">
        <v>991.469427</v>
      </c>
      <c r="AV132" s="3">
        <v>171.35563500000001</v>
      </c>
      <c r="AW132" s="3">
        <v>1750.7034639999999</v>
      </c>
      <c r="AX132" s="3">
        <v>1079.6812010000001</v>
      </c>
      <c r="AY132" s="3">
        <v>1705.1745000000001</v>
      </c>
      <c r="AZ132" s="3">
        <v>611.11585679999996</v>
      </c>
      <c r="BA132" s="3">
        <v>384.56955420000003</v>
      </c>
      <c r="BB132" s="3">
        <v>526.18840950000003</v>
      </c>
      <c r="BC132" s="3">
        <v>180.79089930000001</v>
      </c>
      <c r="BD132" s="3">
        <v>926.12576130000002</v>
      </c>
      <c r="BE132" s="48" t="s">
        <v>314</v>
      </c>
      <c r="BF132" s="49" t="s">
        <v>333</v>
      </c>
      <c r="BG132" s="3">
        <v>0.46200000000000002</v>
      </c>
      <c r="BH132" s="3">
        <v>0.39300000000000002</v>
      </c>
      <c r="BI132" s="3">
        <v>0.52300000000000002</v>
      </c>
      <c r="BJ132" s="3">
        <v>0.44600000000000001</v>
      </c>
      <c r="BK132" s="3">
        <v>0.28799999999999998</v>
      </c>
      <c r="BL132" s="3">
        <v>0.66749999999999998</v>
      </c>
      <c r="BM132" s="3">
        <v>0.34200000000000003</v>
      </c>
      <c r="BN132" s="3">
        <v>0.224</v>
      </c>
      <c r="BO132" s="3">
        <v>0.48449999999999999</v>
      </c>
      <c r="BP132" s="3">
        <v>0.16600000000000001</v>
      </c>
      <c r="BQ132" s="3">
        <v>0.17499999999999999</v>
      </c>
      <c r="BR132" s="3">
        <v>0.367666667</v>
      </c>
      <c r="BS132" s="3">
        <v>0.47699999999999998</v>
      </c>
      <c r="BT132" s="3">
        <v>0.36099999999999999</v>
      </c>
      <c r="BU132" s="3">
        <v>0.59799999999999998</v>
      </c>
      <c r="BV132" s="3">
        <v>0.35199999999999998</v>
      </c>
      <c r="BW132" s="3">
        <v>0.217</v>
      </c>
      <c r="BX132" s="3">
        <v>0.33800000000000002</v>
      </c>
      <c r="BY132" s="3">
        <v>9.2999999999999999E-2</v>
      </c>
      <c r="BZ132" s="3">
        <v>0.13800000000000001</v>
      </c>
      <c r="CA132" s="3">
        <v>0.35499999999999998</v>
      </c>
      <c r="CB132" s="3">
        <v>0.49199999999999999</v>
      </c>
      <c r="CC132" s="3">
        <v>0.438</v>
      </c>
      <c r="CD132" s="3">
        <v>0.67300000000000004</v>
      </c>
      <c r="CE132" s="3">
        <v>0.46700000000000003</v>
      </c>
      <c r="CF132" s="3">
        <v>0.373</v>
      </c>
      <c r="CG132" s="3">
        <v>0.6905</v>
      </c>
      <c r="CH132" s="3">
        <v>0.46500000000000002</v>
      </c>
      <c r="CI132" s="3">
        <v>0.372</v>
      </c>
      <c r="CJ132" s="3">
        <v>0.673666667</v>
      </c>
      <c r="CK132" s="3">
        <v>0.39200000000000002</v>
      </c>
      <c r="CL132" s="3">
        <v>0.33200000000000002</v>
      </c>
      <c r="CM132" s="3">
        <v>0.1</v>
      </c>
      <c r="CN132" s="3">
        <v>0.433</v>
      </c>
      <c r="CO132" s="3">
        <v>0.16500000000000001</v>
      </c>
      <c r="CP132" s="3">
        <v>0.39</v>
      </c>
      <c r="CQ132" s="3">
        <v>0.372</v>
      </c>
      <c r="CR132" s="3">
        <v>0.27400000000000002</v>
      </c>
      <c r="CS132" s="3">
        <v>0.47399999999999998</v>
      </c>
      <c r="CT132" s="48" t="s">
        <v>314</v>
      </c>
      <c r="CU132" s="49" t="s">
        <v>333</v>
      </c>
      <c r="CV132" s="3">
        <v>12.529</v>
      </c>
      <c r="CW132" s="3">
        <v>12.071</v>
      </c>
      <c r="CX132" s="3">
        <v>11.887</v>
      </c>
      <c r="CY132" s="3">
        <v>10.215</v>
      </c>
      <c r="CZ132" s="3">
        <v>12.663</v>
      </c>
      <c r="DA132" s="3">
        <v>11.707000000000001</v>
      </c>
      <c r="DB132" s="3">
        <v>8.1929999999999996</v>
      </c>
      <c r="DC132" s="3">
        <v>13.115</v>
      </c>
      <c r="DD132" s="3">
        <v>12.053000000000001</v>
      </c>
      <c r="DE132" s="3">
        <v>12.026999999999999</v>
      </c>
      <c r="DF132" s="3">
        <v>11.592000000000001</v>
      </c>
      <c r="DG132" s="3">
        <v>10.781000000000001</v>
      </c>
      <c r="DH132" s="3">
        <v>11.173</v>
      </c>
    </row>
    <row r="133" spans="1:112" x14ac:dyDescent="0.3">
      <c r="A133" s="48" t="s">
        <v>314</v>
      </c>
      <c r="B133" s="49" t="s">
        <v>334</v>
      </c>
      <c r="C133" s="3">
        <v>34.72007</v>
      </c>
      <c r="D133" s="3">
        <v>27.650205</v>
      </c>
      <c r="E133" s="3">
        <v>25.910499999999999</v>
      </c>
      <c r="F133" s="3">
        <v>37.795679999999997</v>
      </c>
      <c r="G133" s="3">
        <v>37.795679999999997</v>
      </c>
      <c r="H133" s="3">
        <v>29.500955000000001</v>
      </c>
      <c r="I133" s="48" t="s">
        <v>314</v>
      </c>
      <c r="J133" s="49" t="s">
        <v>334</v>
      </c>
      <c r="K133" s="3">
        <v>30979</v>
      </c>
      <c r="L133" s="48" t="s">
        <v>314</v>
      </c>
      <c r="M133" s="49" t="s">
        <v>334</v>
      </c>
      <c r="N133" s="3">
        <v>2290.9813559999998</v>
      </c>
      <c r="O133" s="3">
        <v>2811.6597099999999</v>
      </c>
      <c r="P133" s="3">
        <v>815.43237409999995</v>
      </c>
      <c r="Q133" s="3">
        <v>1218.882249</v>
      </c>
      <c r="R133" s="3">
        <v>3501.5764640000002</v>
      </c>
      <c r="S133" s="3">
        <v>3081.7444169999999</v>
      </c>
      <c r="T133" s="3">
        <v>1981.4148970000001</v>
      </c>
      <c r="U133" s="3">
        <v>2570.6360060000002</v>
      </c>
      <c r="V133" s="3">
        <v>1676.504428</v>
      </c>
      <c r="W133" s="3">
        <v>1807.5262869999999</v>
      </c>
      <c r="X133" s="3">
        <v>2512.928093</v>
      </c>
      <c r="Y133" s="3">
        <v>186.548</v>
      </c>
      <c r="Z133" s="3">
        <v>853.91499720000002</v>
      </c>
      <c r="AA133" s="48" t="s">
        <v>314</v>
      </c>
      <c r="AB133" s="49" t="s">
        <v>334</v>
      </c>
      <c r="AC133" s="3">
        <v>950.43946770000002</v>
      </c>
      <c r="AD133" s="3">
        <v>854.58647089999999</v>
      </c>
      <c r="AE133" s="3">
        <v>542.51752959999999</v>
      </c>
      <c r="AF133" s="3">
        <v>174.6251154</v>
      </c>
      <c r="AG133" s="3">
        <v>1653.878252</v>
      </c>
      <c r="AH133" s="3">
        <v>1141.041142</v>
      </c>
      <c r="AI133" s="3">
        <v>1097.9330930000001</v>
      </c>
      <c r="AJ133" s="3">
        <v>1143.4748689999999</v>
      </c>
      <c r="AK133" s="3">
        <v>477.62677989999997</v>
      </c>
      <c r="AL133" s="3">
        <v>704.94564439999999</v>
      </c>
      <c r="AM133" s="3">
        <v>1165.5849149999999</v>
      </c>
      <c r="AN133" s="3">
        <v>142.61454620000001</v>
      </c>
      <c r="AO133" s="3">
        <v>471.15204649999998</v>
      </c>
      <c r="AP133" s="48" t="s">
        <v>314</v>
      </c>
      <c r="AQ133" s="49" t="s">
        <v>334</v>
      </c>
      <c r="AR133" s="3">
        <v>962.46082720000004</v>
      </c>
      <c r="AS133" s="3">
        <v>1209.9578799999999</v>
      </c>
      <c r="AT133" s="3">
        <v>1153.1628679999999</v>
      </c>
      <c r="AU133" s="3">
        <v>946.75609989999998</v>
      </c>
      <c r="AV133" s="3">
        <v>160.79035500000001</v>
      </c>
      <c r="AW133" s="3">
        <v>1642.7602830000001</v>
      </c>
      <c r="AX133" s="3">
        <v>1013.111262</v>
      </c>
      <c r="AY133" s="3">
        <v>1600.0385000000001</v>
      </c>
      <c r="AZ133" s="3">
        <v>573.43626640000002</v>
      </c>
      <c r="BA133" s="3">
        <v>360.85813660000002</v>
      </c>
      <c r="BB133" s="3">
        <v>493.74519350000003</v>
      </c>
      <c r="BC133" s="3">
        <v>169.6438689</v>
      </c>
      <c r="BD133" s="3">
        <v>869.02359490000003</v>
      </c>
      <c r="BE133" s="48" t="s">
        <v>314</v>
      </c>
      <c r="BF133" s="49" t="s">
        <v>334</v>
      </c>
      <c r="BG133" s="3">
        <v>0.57099999999999995</v>
      </c>
      <c r="BH133" s="3">
        <v>0.35199999999999998</v>
      </c>
      <c r="BI133" s="3">
        <v>0.48199999999999998</v>
      </c>
      <c r="BJ133" s="3">
        <v>0.53700000000000003</v>
      </c>
      <c r="BK133" s="3">
        <v>0.26100000000000001</v>
      </c>
      <c r="BL133" s="3">
        <v>0.629</v>
      </c>
      <c r="BM133" s="3">
        <v>0.43099999999999999</v>
      </c>
      <c r="BN133" s="3">
        <v>0.24399999999999999</v>
      </c>
      <c r="BO133" s="3">
        <v>0.496</v>
      </c>
      <c r="BP133" s="3">
        <v>0.23799999999999999</v>
      </c>
      <c r="BQ133" s="3">
        <v>0.20100000000000001</v>
      </c>
      <c r="BR133" s="3">
        <v>0.36533333299999998</v>
      </c>
      <c r="BS133" s="3">
        <v>0.57299999999999995</v>
      </c>
      <c r="BT133" s="3">
        <v>0.32800000000000001</v>
      </c>
      <c r="BU133" s="3">
        <v>0.54433333399999995</v>
      </c>
      <c r="BV133" s="3">
        <v>0.47399999999999998</v>
      </c>
      <c r="BW133" s="3">
        <v>0.19500000000000001</v>
      </c>
      <c r="BX133" s="3">
        <v>0.29399999999999998</v>
      </c>
      <c r="BY133" s="3">
        <v>0.16500000000000001</v>
      </c>
      <c r="BZ133" s="3">
        <v>0.153</v>
      </c>
      <c r="CA133" s="3">
        <v>0.39050000000000001</v>
      </c>
      <c r="CB133" s="3">
        <v>0.59799999999999998</v>
      </c>
      <c r="CC133" s="3">
        <v>0.40699999999999997</v>
      </c>
      <c r="CD133" s="3">
        <v>0.60666666700000005</v>
      </c>
      <c r="CE133" s="3">
        <v>0.57499999999999996</v>
      </c>
      <c r="CF133" s="3">
        <v>0.35499999999999998</v>
      </c>
      <c r="CG133" s="3">
        <v>0.66949999999999998</v>
      </c>
      <c r="CH133" s="3">
        <v>0.57299999999999995</v>
      </c>
      <c r="CI133" s="3">
        <v>0.35499999999999998</v>
      </c>
      <c r="CJ133" s="3">
        <v>0.64066666699999997</v>
      </c>
      <c r="CK133" s="3">
        <v>0.51600000000000001</v>
      </c>
      <c r="CL133" s="3">
        <v>0.309</v>
      </c>
      <c r="CM133" s="3">
        <v>0.1</v>
      </c>
      <c r="CN133" s="3">
        <v>0.54900000000000004</v>
      </c>
      <c r="CO133" s="3">
        <v>0.14699999999999999</v>
      </c>
      <c r="CP133" s="3">
        <v>0.34666666699999998</v>
      </c>
      <c r="CQ133" s="3">
        <v>0.49</v>
      </c>
      <c r="CR133" s="3">
        <v>0.25900000000000001</v>
      </c>
      <c r="CS133" s="3">
        <v>0.40500000000000003</v>
      </c>
      <c r="CT133" s="48" t="s">
        <v>314</v>
      </c>
      <c r="CU133" s="49" t="s">
        <v>334</v>
      </c>
      <c r="CV133" s="3">
        <v>13.394</v>
      </c>
      <c r="CW133" s="3">
        <v>12.959</v>
      </c>
      <c r="CX133" s="3">
        <v>12.667</v>
      </c>
      <c r="CY133" s="3">
        <v>10.891999999999999</v>
      </c>
      <c r="CZ133" s="3">
        <v>13.776</v>
      </c>
      <c r="DA133" s="3">
        <v>12.641999999999999</v>
      </c>
      <c r="DB133" s="3">
        <v>8.8680000000000003</v>
      </c>
      <c r="DC133" s="3">
        <v>13.724</v>
      </c>
      <c r="DD133" s="3">
        <v>13.513999999999999</v>
      </c>
      <c r="DE133" s="3">
        <v>13.493</v>
      </c>
      <c r="DF133" s="3">
        <v>12.733000000000001</v>
      </c>
      <c r="DG133" s="3">
        <v>11.86</v>
      </c>
      <c r="DH133" s="3">
        <v>12.236000000000001</v>
      </c>
    </row>
    <row r="134" spans="1:112" x14ac:dyDescent="0.3">
      <c r="A134" s="48" t="s">
        <v>314</v>
      </c>
      <c r="B134" s="49" t="s">
        <v>335</v>
      </c>
      <c r="C134" s="3">
        <v>34.379531999999998</v>
      </c>
      <c r="D134" s="3">
        <v>21.039325999999999</v>
      </c>
      <c r="E134" s="3">
        <v>25.880887999999999</v>
      </c>
      <c r="F134" s="3">
        <v>37.743186000000001</v>
      </c>
      <c r="G134" s="3">
        <v>37.743186000000001</v>
      </c>
      <c r="H134" s="3">
        <v>23.171389999999999</v>
      </c>
      <c r="I134" s="48" t="s">
        <v>314</v>
      </c>
      <c r="J134" s="49" t="s">
        <v>335</v>
      </c>
      <c r="K134" s="3">
        <v>31191</v>
      </c>
      <c r="L134" s="48" t="s">
        <v>314</v>
      </c>
      <c r="M134" s="49" t="s">
        <v>335</v>
      </c>
      <c r="N134" s="3">
        <v>1487.3100810000001</v>
      </c>
      <c r="O134" s="3">
        <v>1946.4355109999999</v>
      </c>
      <c r="P134" s="3">
        <v>595.95983249999995</v>
      </c>
      <c r="Q134" s="3">
        <v>891.51343199999997</v>
      </c>
      <c r="R134" s="3">
        <v>2891.1932550000001</v>
      </c>
      <c r="S134" s="3">
        <v>2515.8557179999998</v>
      </c>
      <c r="T134" s="3">
        <v>1683.537065</v>
      </c>
      <c r="U134" s="3">
        <v>2682.2412199999999</v>
      </c>
      <c r="V134" s="3">
        <v>1272.0843460000001</v>
      </c>
      <c r="W134" s="3">
        <v>1387.1673499999999</v>
      </c>
      <c r="X134" s="3">
        <v>2042.821594</v>
      </c>
      <c r="Y134" s="3">
        <v>113.95242709999999</v>
      </c>
      <c r="Z134" s="3">
        <v>702.40680069999996</v>
      </c>
      <c r="AA134" s="48" t="s">
        <v>314</v>
      </c>
      <c r="AB134" s="49" t="s">
        <v>335</v>
      </c>
      <c r="AC134" s="3">
        <v>973.08741420000001</v>
      </c>
      <c r="AD134" s="3">
        <v>874.95034399999997</v>
      </c>
      <c r="AE134" s="3">
        <v>555.44513670000003</v>
      </c>
      <c r="AF134" s="3">
        <v>181.5889105</v>
      </c>
      <c r="AG134" s="3">
        <v>1693.2883859999999</v>
      </c>
      <c r="AH134" s="3">
        <v>1168.2309210000001</v>
      </c>
      <c r="AI134" s="3">
        <v>1124.095654</v>
      </c>
      <c r="AJ134" s="3">
        <v>1170.7226410000001</v>
      </c>
      <c r="AK134" s="3">
        <v>489.00811049999999</v>
      </c>
      <c r="AL134" s="3">
        <v>721.74373809999997</v>
      </c>
      <c r="AM134" s="3">
        <v>1193.359545</v>
      </c>
      <c r="AN134" s="3">
        <v>146.01289689999999</v>
      </c>
      <c r="AO134" s="3">
        <v>482.3790912</v>
      </c>
      <c r="AP134" s="48" t="s">
        <v>314</v>
      </c>
      <c r="AQ134" s="49" t="s">
        <v>335</v>
      </c>
      <c r="AR134" s="3">
        <v>883.40860320000002</v>
      </c>
      <c r="AS134" s="3">
        <v>1110.577356</v>
      </c>
      <c r="AT134" s="3">
        <v>1058.447232</v>
      </c>
      <c r="AU134" s="3">
        <v>892.32248430000004</v>
      </c>
      <c r="AV134" s="3">
        <v>147.583755</v>
      </c>
      <c r="AW134" s="3">
        <v>1507.8313069999999</v>
      </c>
      <c r="AX134" s="3">
        <v>929.8988382</v>
      </c>
      <c r="AY134" s="3">
        <v>1468.6185</v>
      </c>
      <c r="AZ134" s="3">
        <v>526.33677839999996</v>
      </c>
      <c r="BA134" s="3">
        <v>331.21886460000002</v>
      </c>
      <c r="BB134" s="3">
        <v>453.19117349999999</v>
      </c>
      <c r="BC134" s="3">
        <v>155.71008090000001</v>
      </c>
      <c r="BD134" s="3">
        <v>797.64588690000005</v>
      </c>
      <c r="BE134" s="48" t="s">
        <v>314</v>
      </c>
      <c r="BF134" s="49" t="s">
        <v>335</v>
      </c>
      <c r="BG134" s="3">
        <v>0.63600000000000001</v>
      </c>
      <c r="BH134" s="3">
        <v>0.30499999999999999</v>
      </c>
      <c r="BI134" s="3">
        <v>0.42849999999999999</v>
      </c>
      <c r="BJ134" s="3">
        <v>0.56000000000000005</v>
      </c>
      <c r="BK134" s="3">
        <v>0.22500000000000001</v>
      </c>
      <c r="BL134" s="3">
        <v>0.57850000000000001</v>
      </c>
      <c r="BM134" s="3">
        <v>0.46899999999999997</v>
      </c>
      <c r="BN134" s="3">
        <v>0.22</v>
      </c>
      <c r="BO134" s="3">
        <v>0.46500000000000002</v>
      </c>
      <c r="BP134" s="3">
        <v>0.25700000000000001</v>
      </c>
      <c r="BQ134" s="3">
        <v>0.183</v>
      </c>
      <c r="BR134" s="3">
        <v>0.32766666700000002</v>
      </c>
      <c r="BS134" s="3">
        <v>0.63100000000000001</v>
      </c>
      <c r="BT134" s="3">
        <v>0.28999999999999998</v>
      </c>
      <c r="BU134" s="3">
        <v>0.48091666700000002</v>
      </c>
      <c r="BV134" s="3">
        <v>0.51200000000000001</v>
      </c>
      <c r="BW134" s="3">
        <v>0.158</v>
      </c>
      <c r="BX134" s="3">
        <v>0.23300000000000001</v>
      </c>
      <c r="BY134" s="3">
        <v>0.19400000000000001</v>
      </c>
      <c r="BZ134" s="3">
        <v>0.155</v>
      </c>
      <c r="CA134" s="3">
        <v>0.441</v>
      </c>
      <c r="CB134" s="3">
        <v>0.65600000000000003</v>
      </c>
      <c r="CC134" s="3">
        <v>0.376</v>
      </c>
      <c r="CD134" s="3">
        <v>0.53333333299999997</v>
      </c>
      <c r="CE134" s="3">
        <v>0.63500000000000001</v>
      </c>
      <c r="CF134" s="3">
        <v>0.318</v>
      </c>
      <c r="CG134" s="3">
        <v>0.64200000000000002</v>
      </c>
      <c r="CH134" s="3">
        <v>0.63300000000000001</v>
      </c>
      <c r="CI134" s="3">
        <v>0.317</v>
      </c>
      <c r="CJ134" s="3">
        <v>0.59599999999999997</v>
      </c>
      <c r="CK134" s="3">
        <v>0.57499999999999996</v>
      </c>
      <c r="CL134" s="3">
        <v>0.27200000000000002</v>
      </c>
      <c r="CM134" s="3">
        <v>0.1</v>
      </c>
      <c r="CN134" s="3">
        <v>0.6</v>
      </c>
      <c r="CO134" s="3">
        <v>0.11799999999999999</v>
      </c>
      <c r="CP134" s="3">
        <v>0.29899999999999999</v>
      </c>
      <c r="CQ134" s="3">
        <v>0.55200000000000005</v>
      </c>
      <c r="CR134" s="3">
        <v>0.22700000000000001</v>
      </c>
      <c r="CS134" s="3">
        <v>0.35499999999999998</v>
      </c>
      <c r="CT134" s="48" t="s">
        <v>314</v>
      </c>
      <c r="CU134" s="49" t="s">
        <v>335</v>
      </c>
      <c r="CV134" s="3">
        <v>13.977</v>
      </c>
      <c r="CW134" s="3">
        <v>13.56</v>
      </c>
      <c r="CX134" s="3">
        <v>13.073</v>
      </c>
      <c r="CY134" s="3">
        <v>11.382</v>
      </c>
      <c r="CZ134" s="3">
        <v>14.56</v>
      </c>
      <c r="DA134" s="3">
        <v>13.327</v>
      </c>
      <c r="DB134" s="3">
        <v>9.4550000000000001</v>
      </c>
      <c r="DC134" s="3">
        <v>14.12</v>
      </c>
      <c r="DD134" s="3">
        <v>14.58</v>
      </c>
      <c r="DE134" s="3">
        <v>14.565</v>
      </c>
      <c r="DF134" s="3">
        <v>13.715999999999999</v>
      </c>
      <c r="DG134" s="3">
        <v>12.722</v>
      </c>
      <c r="DH134" s="3">
        <v>13.089</v>
      </c>
    </row>
    <row r="135" spans="1:112" x14ac:dyDescent="0.3">
      <c r="A135" s="48" t="s">
        <v>314</v>
      </c>
      <c r="B135" s="49" t="s">
        <v>336</v>
      </c>
      <c r="C135" s="3">
        <v>35.038398999999998</v>
      </c>
      <c r="D135" s="3">
        <v>12.992265</v>
      </c>
      <c r="E135" s="3">
        <v>29.567582000000002</v>
      </c>
      <c r="F135" s="3">
        <v>37.708190000000002</v>
      </c>
      <c r="G135" s="3">
        <v>37.708190000000002</v>
      </c>
      <c r="H135" s="3">
        <v>15.376030999999999</v>
      </c>
      <c r="I135" s="48" t="s">
        <v>314</v>
      </c>
      <c r="J135" s="49" t="s">
        <v>336</v>
      </c>
      <c r="K135" s="3">
        <v>30424.5</v>
      </c>
      <c r="L135" s="48" t="s">
        <v>314</v>
      </c>
      <c r="M135" s="49" t="s">
        <v>336</v>
      </c>
      <c r="N135" s="3">
        <v>1255.9418470000001</v>
      </c>
      <c r="O135" s="3">
        <v>1693.794001</v>
      </c>
      <c r="P135" s="3">
        <v>655.02853110000001</v>
      </c>
      <c r="Q135" s="3">
        <v>807.57523500000002</v>
      </c>
      <c r="R135" s="3">
        <v>2714.0582469999999</v>
      </c>
      <c r="S135" s="3">
        <v>2221.3173059999999</v>
      </c>
      <c r="T135" s="3">
        <v>1742.4194869999999</v>
      </c>
      <c r="U135" s="3">
        <v>2765.7594410000002</v>
      </c>
      <c r="V135" s="3">
        <v>1334.1079380000001</v>
      </c>
      <c r="W135" s="3">
        <v>1232.123443</v>
      </c>
      <c r="X135" s="3">
        <v>1786.992534</v>
      </c>
      <c r="Y135" s="3">
        <v>134.1779281</v>
      </c>
      <c r="Z135" s="3">
        <v>601.67844520000006</v>
      </c>
      <c r="AA135" s="48" t="s">
        <v>314</v>
      </c>
      <c r="AB135" s="49" t="s">
        <v>336</v>
      </c>
      <c r="AC135" s="3">
        <v>898.56211989999997</v>
      </c>
      <c r="AD135" s="3">
        <v>807.94101790000002</v>
      </c>
      <c r="AE135" s="3">
        <v>512.90557479999995</v>
      </c>
      <c r="AF135" s="3">
        <v>172.2567181</v>
      </c>
      <c r="AG135" s="3">
        <v>1563.605468</v>
      </c>
      <c r="AH135" s="3">
        <v>1078.7602810000001</v>
      </c>
      <c r="AI135" s="3">
        <v>1038.005177</v>
      </c>
      <c r="AJ135" s="3">
        <v>1081.0611699999999</v>
      </c>
      <c r="AK135" s="3">
        <v>451.55672349999998</v>
      </c>
      <c r="AL135" s="3">
        <v>666.46795950000001</v>
      </c>
      <c r="AM135" s="3">
        <v>1101.9643940000001</v>
      </c>
      <c r="AN135" s="3">
        <v>134.8302899</v>
      </c>
      <c r="AO135" s="3">
        <v>445.43539709999999</v>
      </c>
      <c r="AP135" s="48" t="s">
        <v>314</v>
      </c>
      <c r="AQ135" s="49" t="s">
        <v>336</v>
      </c>
      <c r="AR135" s="3">
        <v>855.74032480000005</v>
      </c>
      <c r="AS135" s="3">
        <v>1075.7941719999999</v>
      </c>
      <c r="AT135" s="3">
        <v>1025.2967599999999</v>
      </c>
      <c r="AU135" s="3">
        <v>843.72104179999997</v>
      </c>
      <c r="AV135" s="3">
        <v>142.961445</v>
      </c>
      <c r="AW135" s="3">
        <v>1460.6061649999999</v>
      </c>
      <c r="AX135" s="3">
        <v>900.77448979999997</v>
      </c>
      <c r="AY135" s="3">
        <v>1422.6215</v>
      </c>
      <c r="AZ135" s="3">
        <v>509.85195759999999</v>
      </c>
      <c r="BA135" s="3">
        <v>320.84511939999999</v>
      </c>
      <c r="BB135" s="3">
        <v>438.99726650000002</v>
      </c>
      <c r="BC135" s="3">
        <v>150.8332551</v>
      </c>
      <c r="BD135" s="3">
        <v>772.66368910000006</v>
      </c>
      <c r="BE135" s="48" t="s">
        <v>314</v>
      </c>
      <c r="BF135" s="49" t="s">
        <v>336</v>
      </c>
      <c r="BG135" s="3">
        <v>0.63100000000000001</v>
      </c>
      <c r="BH135" s="3">
        <v>0.26300000000000001</v>
      </c>
      <c r="BI135" s="3">
        <v>0.373</v>
      </c>
      <c r="BJ135" s="3">
        <v>0.53900000000000003</v>
      </c>
      <c r="BK135" s="3">
        <v>0.192</v>
      </c>
      <c r="BL135" s="3">
        <v>0.51449999999999996</v>
      </c>
      <c r="BM135" s="3">
        <v>0.46500000000000002</v>
      </c>
      <c r="BN135" s="3">
        <v>0.184</v>
      </c>
      <c r="BO135" s="3">
        <v>0.40600000000000003</v>
      </c>
      <c r="BP135" s="3">
        <v>0.26100000000000001</v>
      </c>
      <c r="BQ135" s="3">
        <v>0.157</v>
      </c>
      <c r="BR135" s="3">
        <v>0.27633333300000001</v>
      </c>
      <c r="BS135" s="3">
        <v>0.63300000000000001</v>
      </c>
      <c r="BT135" s="3">
        <v>0.26400000000000001</v>
      </c>
      <c r="BU135" s="3">
        <v>0.42983333400000001</v>
      </c>
      <c r="BV135" s="3">
        <v>0.497</v>
      </c>
      <c r="BW135" s="3">
        <v>0.126</v>
      </c>
      <c r="BX135" s="3">
        <v>0.17699999999999999</v>
      </c>
      <c r="BY135" s="3">
        <v>0.16900000000000001</v>
      </c>
      <c r="BZ135" s="3">
        <v>0.14499999999999999</v>
      </c>
      <c r="CA135" s="3">
        <v>0.47299999999999998</v>
      </c>
      <c r="CB135" s="3">
        <v>0.65600000000000003</v>
      </c>
      <c r="CC135" s="3">
        <v>0.35599999999999998</v>
      </c>
      <c r="CD135" s="3">
        <v>0.486666667</v>
      </c>
      <c r="CE135" s="3">
        <v>0.64700000000000002</v>
      </c>
      <c r="CF135" s="3">
        <v>0.29099999999999998</v>
      </c>
      <c r="CG135" s="3">
        <v>0.621</v>
      </c>
      <c r="CH135" s="3">
        <v>0.64700000000000002</v>
      </c>
      <c r="CI135" s="3">
        <v>0.28999999999999998</v>
      </c>
      <c r="CJ135" s="3">
        <v>0.55800000000000005</v>
      </c>
      <c r="CK135" s="3">
        <v>0.58599999999999997</v>
      </c>
      <c r="CL135" s="3">
        <v>0.23699999999999999</v>
      </c>
      <c r="CM135" s="3">
        <v>0.1</v>
      </c>
      <c r="CN135" s="3">
        <v>0.59399999999999997</v>
      </c>
      <c r="CO135" s="3">
        <v>9.5000000000000001E-2</v>
      </c>
      <c r="CP135" s="3">
        <v>0.255</v>
      </c>
      <c r="CQ135" s="3">
        <v>0.56299999999999994</v>
      </c>
      <c r="CR135" s="3">
        <v>0.19400000000000001</v>
      </c>
      <c r="CS135" s="3">
        <v>0.308</v>
      </c>
      <c r="CT135" s="48" t="s">
        <v>314</v>
      </c>
      <c r="CU135" s="49" t="s">
        <v>336</v>
      </c>
      <c r="CV135" s="3">
        <v>14.244999999999999</v>
      </c>
      <c r="CW135" s="3">
        <v>13.901999999999999</v>
      </c>
      <c r="CX135" s="3">
        <v>13.21</v>
      </c>
      <c r="CY135" s="3">
        <v>11.72</v>
      </c>
      <c r="CZ135" s="3">
        <v>15.013999999999999</v>
      </c>
      <c r="DA135" s="3">
        <v>13.76</v>
      </c>
      <c r="DB135" s="3">
        <v>9.76</v>
      </c>
      <c r="DC135" s="3">
        <v>14.281000000000001</v>
      </c>
      <c r="DD135" s="3">
        <v>15.332000000000001</v>
      </c>
      <c r="DE135" s="3">
        <v>15.323</v>
      </c>
      <c r="DF135" s="3">
        <v>14.465999999999999</v>
      </c>
      <c r="DG135" s="3">
        <v>13.314</v>
      </c>
      <c r="DH135" s="3">
        <v>13.743</v>
      </c>
    </row>
    <row r="136" spans="1:112" x14ac:dyDescent="0.3">
      <c r="A136" s="48" t="s">
        <v>314</v>
      </c>
      <c r="B136" s="49" t="s">
        <v>337</v>
      </c>
      <c r="C136" s="3">
        <v>27.035755999999999</v>
      </c>
      <c r="D136" s="3">
        <v>12.318592000000001</v>
      </c>
      <c r="E136" s="3">
        <v>25.170200000000001</v>
      </c>
      <c r="F136" s="3">
        <v>37.708190000000002</v>
      </c>
      <c r="G136" s="3">
        <v>37.708190000000002</v>
      </c>
      <c r="H136" s="3">
        <v>14.147133</v>
      </c>
      <c r="I136" s="48" t="s">
        <v>314</v>
      </c>
      <c r="J136" s="49" t="s">
        <v>337</v>
      </c>
      <c r="K136" s="3">
        <v>29912</v>
      </c>
      <c r="L136" s="48" t="s">
        <v>314</v>
      </c>
      <c r="M136" s="49" t="s">
        <v>337</v>
      </c>
      <c r="N136" s="3">
        <v>1448.2721019999999</v>
      </c>
      <c r="O136" s="3">
        <v>1636.603683</v>
      </c>
      <c r="P136" s="3">
        <v>539.19111320000002</v>
      </c>
      <c r="Q136" s="3">
        <v>984.27823690000002</v>
      </c>
      <c r="R136" s="3">
        <v>2756.1454789999998</v>
      </c>
      <c r="S136" s="3">
        <v>2076.0502750000001</v>
      </c>
      <c r="T136" s="3">
        <v>1727.327241</v>
      </c>
      <c r="U136" s="3">
        <v>2310.5076720000002</v>
      </c>
      <c r="V136" s="3">
        <v>968.8380674</v>
      </c>
      <c r="W136" s="3">
        <v>1252.1406280000001</v>
      </c>
      <c r="X136" s="3">
        <v>1714.0560989999999</v>
      </c>
      <c r="Y136" s="3">
        <v>123.153801</v>
      </c>
      <c r="Z136" s="3">
        <v>610.88206339999999</v>
      </c>
      <c r="AA136" s="48" t="s">
        <v>314</v>
      </c>
      <c r="AB136" s="49" t="s">
        <v>337</v>
      </c>
      <c r="AC136" s="3">
        <v>858.10553159999995</v>
      </c>
      <c r="AD136" s="3">
        <v>771.56452650000006</v>
      </c>
      <c r="AE136" s="3">
        <v>489.81266979999998</v>
      </c>
      <c r="AF136" s="3">
        <v>166.42409789999999</v>
      </c>
      <c r="AG136" s="3">
        <v>1493.2061699999999</v>
      </c>
      <c r="AH136" s="3">
        <v>1030.1905059999999</v>
      </c>
      <c r="AI136" s="3">
        <v>991.27034660000004</v>
      </c>
      <c r="AJ136" s="3">
        <v>1032.3877990000001</v>
      </c>
      <c r="AK136" s="3">
        <v>431.22597050000002</v>
      </c>
      <c r="AL136" s="3">
        <v>636.46110820000001</v>
      </c>
      <c r="AM136" s="3">
        <v>1052.3498830000001</v>
      </c>
      <c r="AN136" s="3">
        <v>128.7597318</v>
      </c>
      <c r="AO136" s="3">
        <v>425.38024890000003</v>
      </c>
      <c r="AP136" s="48" t="s">
        <v>314</v>
      </c>
      <c r="AQ136" s="49" t="s">
        <v>337</v>
      </c>
      <c r="AR136" s="3">
        <v>810.28529600000002</v>
      </c>
      <c r="AS136" s="3">
        <v>1018.650371</v>
      </c>
      <c r="AT136" s="3">
        <v>970.83526900000004</v>
      </c>
      <c r="AU136" s="3">
        <v>830.11263789999998</v>
      </c>
      <c r="AV136" s="3">
        <v>135.36765</v>
      </c>
      <c r="AW136" s="3">
        <v>1383.0220039999999</v>
      </c>
      <c r="AX136" s="3">
        <v>852.92734599999994</v>
      </c>
      <c r="AY136" s="3">
        <v>1347.0550000000001</v>
      </c>
      <c r="AZ136" s="3">
        <v>482.76975199999998</v>
      </c>
      <c r="BA136" s="3">
        <v>303.80253800000003</v>
      </c>
      <c r="BB136" s="3">
        <v>415.67870499999998</v>
      </c>
      <c r="BC136" s="3">
        <v>142.821327</v>
      </c>
      <c r="BD136" s="3">
        <v>731.62150699999995</v>
      </c>
      <c r="BE136" s="48" t="s">
        <v>314</v>
      </c>
      <c r="BF136" s="49" t="s">
        <v>337</v>
      </c>
      <c r="BG136" s="3">
        <v>0.57499999999999996</v>
      </c>
      <c r="BH136" s="3">
        <v>0.24299999999999999</v>
      </c>
      <c r="BI136" s="3">
        <v>0.32900000000000001</v>
      </c>
      <c r="BJ136" s="3">
        <v>0.47199999999999998</v>
      </c>
      <c r="BK136" s="3">
        <v>0.17199999999999999</v>
      </c>
      <c r="BL136" s="3">
        <v>0.45900000000000002</v>
      </c>
      <c r="BM136" s="3">
        <v>0.39100000000000001</v>
      </c>
      <c r="BN136" s="3">
        <v>0.153</v>
      </c>
      <c r="BO136" s="3">
        <v>0.33750000000000002</v>
      </c>
      <c r="BP136" s="3">
        <v>0.23799999999999999</v>
      </c>
      <c r="BQ136" s="3">
        <v>0.13200000000000001</v>
      </c>
      <c r="BR136" s="3">
        <v>0.22266666700000001</v>
      </c>
      <c r="BS136" s="3">
        <v>0.58299999999999996</v>
      </c>
      <c r="BT136" s="3">
        <v>0.25900000000000001</v>
      </c>
      <c r="BU136" s="3">
        <v>0.40633333399999999</v>
      </c>
      <c r="BV136" s="3">
        <v>0.44900000000000001</v>
      </c>
      <c r="BW136" s="3">
        <v>0.104</v>
      </c>
      <c r="BX136" s="3">
        <v>0.13800000000000001</v>
      </c>
      <c r="BY136" s="3">
        <v>0.124</v>
      </c>
      <c r="BZ136" s="3">
        <v>0.126</v>
      </c>
      <c r="CA136" s="3">
        <v>0.47649999999999998</v>
      </c>
      <c r="CB136" s="3">
        <v>0.60799999999999998</v>
      </c>
      <c r="CC136" s="3">
        <v>0.36199999999999999</v>
      </c>
      <c r="CD136" s="3">
        <v>0.48366666699999999</v>
      </c>
      <c r="CE136" s="3">
        <v>0.6</v>
      </c>
      <c r="CF136" s="3">
        <v>0.27800000000000002</v>
      </c>
      <c r="CG136" s="3">
        <v>0.626</v>
      </c>
      <c r="CH136" s="3">
        <v>0.6</v>
      </c>
      <c r="CI136" s="3">
        <v>0.27800000000000002</v>
      </c>
      <c r="CJ136" s="3">
        <v>0.52100000000000002</v>
      </c>
      <c r="CK136" s="3">
        <v>0.52500000000000002</v>
      </c>
      <c r="CL136" s="3">
        <v>0.21199999999999999</v>
      </c>
      <c r="CM136" s="3">
        <v>0.1</v>
      </c>
      <c r="CN136" s="3">
        <v>0.53600000000000003</v>
      </c>
      <c r="CO136" s="3">
        <v>7.9000000000000001E-2</v>
      </c>
      <c r="CP136" s="3">
        <v>0.22366666700000001</v>
      </c>
      <c r="CQ136" s="3">
        <v>0.505</v>
      </c>
      <c r="CR136" s="3">
        <v>0.16800000000000001</v>
      </c>
      <c r="CS136" s="3">
        <v>0.26900000000000002</v>
      </c>
      <c r="CT136" s="48" t="s">
        <v>314</v>
      </c>
      <c r="CU136" s="49" t="s">
        <v>337</v>
      </c>
      <c r="CV136" s="3">
        <v>14.163</v>
      </c>
      <c r="CW136" s="3">
        <v>13.930999999999999</v>
      </c>
      <c r="CX136" s="3">
        <v>13.103</v>
      </c>
      <c r="CY136" s="3">
        <v>11.817</v>
      </c>
      <c r="CZ136" s="3">
        <v>15.108000000000001</v>
      </c>
      <c r="DA136" s="3">
        <v>13.948</v>
      </c>
      <c r="DB136" s="3">
        <v>9.8070000000000004</v>
      </c>
      <c r="DC136" s="3">
        <v>14.221</v>
      </c>
      <c r="DD136" s="3">
        <v>15.702</v>
      </c>
      <c r="DE136" s="3">
        <v>15.699</v>
      </c>
      <c r="DF136" s="3">
        <v>14.935</v>
      </c>
      <c r="DG136" s="3">
        <v>13.552</v>
      </c>
      <c r="DH136" s="3">
        <v>14.074999999999999</v>
      </c>
    </row>
    <row r="137" spans="1:112" x14ac:dyDescent="0.3">
      <c r="A137" s="48" t="s">
        <v>314</v>
      </c>
      <c r="B137" s="49" t="s">
        <v>338</v>
      </c>
      <c r="C137" s="3">
        <v>27.465129999999998</v>
      </c>
      <c r="D137" s="3">
        <v>14.857821</v>
      </c>
      <c r="E137" s="3">
        <v>24.015332000000001</v>
      </c>
      <c r="F137" s="3">
        <v>37.865672000000004</v>
      </c>
      <c r="G137" s="3">
        <v>37.865672000000004</v>
      </c>
      <c r="H137" s="3">
        <v>16.560511000000002</v>
      </c>
      <c r="I137" s="48" t="s">
        <v>314</v>
      </c>
      <c r="J137" s="49" t="s">
        <v>338</v>
      </c>
      <c r="K137" s="3">
        <v>30563</v>
      </c>
      <c r="L137" s="48" t="s">
        <v>314</v>
      </c>
      <c r="M137" s="49" t="s">
        <v>338</v>
      </c>
      <c r="N137" s="3">
        <v>1208.9292600000001</v>
      </c>
      <c r="O137" s="3">
        <v>1533.5697580000001</v>
      </c>
      <c r="P137" s="3">
        <v>603.59877270000004</v>
      </c>
      <c r="Q137" s="3">
        <v>1033.7095440000001</v>
      </c>
      <c r="R137" s="3">
        <v>2583.7824500000002</v>
      </c>
      <c r="S137" s="3">
        <v>1915.9791150000001</v>
      </c>
      <c r="T137" s="3">
        <v>1854.4138290000001</v>
      </c>
      <c r="U137" s="3">
        <v>1589.7929200000001</v>
      </c>
      <c r="V137" s="3">
        <v>1014.936566</v>
      </c>
      <c r="W137" s="3">
        <v>1101.046282</v>
      </c>
      <c r="X137" s="3">
        <v>1522.213716</v>
      </c>
      <c r="Y137" s="3">
        <v>123.51485599999999</v>
      </c>
      <c r="Z137" s="3">
        <v>523.77255409999998</v>
      </c>
      <c r="AA137" s="48" t="s">
        <v>314</v>
      </c>
      <c r="AB137" s="49" t="s">
        <v>338</v>
      </c>
      <c r="AC137" s="3">
        <v>748.44688429999997</v>
      </c>
      <c r="AD137" s="3">
        <v>672.96508949999998</v>
      </c>
      <c r="AE137" s="3">
        <v>427.21874300000002</v>
      </c>
      <c r="AF137" s="3">
        <v>155.8864973</v>
      </c>
      <c r="AG137" s="3">
        <v>1302.387019</v>
      </c>
      <c r="AH137" s="3">
        <v>898.54085039999995</v>
      </c>
      <c r="AI137" s="3">
        <v>864.59435940000003</v>
      </c>
      <c r="AJ137" s="3">
        <v>900.45734849999997</v>
      </c>
      <c r="AK137" s="3">
        <v>376.1189296</v>
      </c>
      <c r="AL137" s="3">
        <v>555.12674819999995</v>
      </c>
      <c r="AM137" s="3">
        <v>917.86844659999997</v>
      </c>
      <c r="AN137" s="3">
        <v>112.3053244</v>
      </c>
      <c r="AO137" s="3">
        <v>371.02024189999997</v>
      </c>
      <c r="AP137" s="48" t="s">
        <v>314</v>
      </c>
      <c r="AQ137" s="49" t="s">
        <v>338</v>
      </c>
      <c r="AR137" s="3">
        <v>796.45115680000004</v>
      </c>
      <c r="AS137" s="3">
        <v>1001.258779</v>
      </c>
      <c r="AT137" s="3">
        <v>954.26003270000001</v>
      </c>
      <c r="AU137" s="3">
        <v>816.504234</v>
      </c>
      <c r="AV137" s="3">
        <v>133.05649500000001</v>
      </c>
      <c r="AW137" s="3">
        <v>1359.409433</v>
      </c>
      <c r="AX137" s="3">
        <v>838.36517179999998</v>
      </c>
      <c r="AY137" s="3">
        <v>1324.0564999999999</v>
      </c>
      <c r="AZ137" s="3">
        <v>474.5273416</v>
      </c>
      <c r="BA137" s="3">
        <v>298.61566540000001</v>
      </c>
      <c r="BB137" s="3">
        <v>408.5817515</v>
      </c>
      <c r="BC137" s="3">
        <v>140.38291409999999</v>
      </c>
      <c r="BD137" s="3">
        <v>719.13040809999995</v>
      </c>
      <c r="BE137" s="48" t="s">
        <v>314</v>
      </c>
      <c r="BF137" s="49" t="s">
        <v>338</v>
      </c>
      <c r="BG137" s="3">
        <v>0.46500000000000002</v>
      </c>
      <c r="BH137" s="3">
        <v>0.251</v>
      </c>
      <c r="BI137" s="3">
        <v>0.30549999999999999</v>
      </c>
      <c r="BJ137" s="3">
        <v>0.35899999999999999</v>
      </c>
      <c r="BK137" s="3">
        <v>0.17699999999999999</v>
      </c>
      <c r="BL137" s="3">
        <v>0.438</v>
      </c>
      <c r="BM137" s="3">
        <v>0.28000000000000003</v>
      </c>
      <c r="BN137" s="3">
        <v>0.13900000000000001</v>
      </c>
      <c r="BO137" s="3">
        <v>0.28999999999999998</v>
      </c>
      <c r="BP137" s="3">
        <v>0.17499999999999999</v>
      </c>
      <c r="BQ137" s="3">
        <v>0.113</v>
      </c>
      <c r="BR137" s="3">
        <v>0.179666667</v>
      </c>
      <c r="BS137" s="3">
        <v>0.47599999999999998</v>
      </c>
      <c r="BT137" s="3">
        <v>0.27800000000000002</v>
      </c>
      <c r="BU137" s="3">
        <v>0.41008333400000002</v>
      </c>
      <c r="BV137" s="3">
        <v>0.33800000000000002</v>
      </c>
      <c r="BW137" s="3">
        <v>9.5000000000000001E-2</v>
      </c>
      <c r="BX137" s="3">
        <v>0.111</v>
      </c>
      <c r="BY137" s="3">
        <v>8.5000000000000006E-2</v>
      </c>
      <c r="BZ137" s="3">
        <v>9.9000000000000005E-2</v>
      </c>
      <c r="CA137" s="3">
        <v>0.45650000000000002</v>
      </c>
      <c r="CB137" s="3">
        <v>0.504</v>
      </c>
      <c r="CC137" s="3">
        <v>0.39300000000000002</v>
      </c>
      <c r="CD137" s="3">
        <v>0.51466666699999997</v>
      </c>
      <c r="CE137" s="3">
        <v>0.48</v>
      </c>
      <c r="CF137" s="3">
        <v>0.28699999999999998</v>
      </c>
      <c r="CG137" s="3">
        <v>0.66149999999999998</v>
      </c>
      <c r="CH137" s="3">
        <v>0.47899999999999998</v>
      </c>
      <c r="CI137" s="3">
        <v>0.28499999999999998</v>
      </c>
      <c r="CJ137" s="3">
        <v>0.498</v>
      </c>
      <c r="CK137" s="3">
        <v>0.39900000000000002</v>
      </c>
      <c r="CL137" s="3">
        <v>0.2</v>
      </c>
      <c r="CM137" s="3">
        <v>0.1</v>
      </c>
      <c r="CN137" s="3">
        <v>0.42899999999999999</v>
      </c>
      <c r="CO137" s="3">
        <v>7.1999999999999995E-2</v>
      </c>
      <c r="CP137" s="3">
        <v>0.21533333299999999</v>
      </c>
      <c r="CQ137" s="3">
        <v>0.377</v>
      </c>
      <c r="CR137" s="3">
        <v>0.151</v>
      </c>
      <c r="CS137" s="3">
        <v>0.24099999999999999</v>
      </c>
      <c r="CT137" s="48" t="s">
        <v>314</v>
      </c>
      <c r="CU137" s="49" t="s">
        <v>338</v>
      </c>
      <c r="CV137" s="3">
        <v>13.669</v>
      </c>
      <c r="CW137" s="3">
        <v>13.599</v>
      </c>
      <c r="CX137" s="3">
        <v>12.725</v>
      </c>
      <c r="CY137" s="3">
        <v>11.654999999999999</v>
      </c>
      <c r="CZ137" s="3">
        <v>14.771000000000001</v>
      </c>
      <c r="DA137" s="3">
        <v>13.805999999999999</v>
      </c>
      <c r="DB137" s="3">
        <v>9.7119999999999997</v>
      </c>
      <c r="DC137" s="3">
        <v>13.885999999999999</v>
      </c>
      <c r="DD137" s="3">
        <v>15.616</v>
      </c>
      <c r="DE137" s="3">
        <v>15.614000000000001</v>
      </c>
      <c r="DF137" s="3">
        <v>15.023999999999999</v>
      </c>
      <c r="DG137" s="3">
        <v>13.407</v>
      </c>
      <c r="DH137" s="3">
        <v>14.115</v>
      </c>
    </row>
    <row r="138" spans="1:112" x14ac:dyDescent="0.3">
      <c r="A138" s="48" t="s">
        <v>314</v>
      </c>
      <c r="B138" s="49" t="s">
        <v>339</v>
      </c>
      <c r="C138" s="3">
        <v>27.924116000000001</v>
      </c>
      <c r="D138" s="3">
        <v>22.964106000000001</v>
      </c>
      <c r="E138" s="3">
        <v>31.418331999999999</v>
      </c>
      <c r="F138" s="3">
        <v>38.311870999999996</v>
      </c>
      <c r="G138" s="3">
        <v>42.038944999999998</v>
      </c>
      <c r="H138" s="3">
        <v>30.182030999999998</v>
      </c>
      <c r="I138" s="48" t="s">
        <v>314</v>
      </c>
      <c r="J138" s="49" t="s">
        <v>339</v>
      </c>
      <c r="K138" s="3">
        <v>32810.5</v>
      </c>
      <c r="L138" s="48" t="s">
        <v>314</v>
      </c>
      <c r="M138" s="49" t="s">
        <v>339</v>
      </c>
      <c r="N138" s="3">
        <v>1019.859298</v>
      </c>
      <c r="O138" s="3">
        <v>1258.7989339999999</v>
      </c>
      <c r="P138" s="3">
        <v>690.36525779999999</v>
      </c>
      <c r="Q138" s="3">
        <v>1026.1931729999999</v>
      </c>
      <c r="R138" s="3">
        <v>2170.3762219999999</v>
      </c>
      <c r="S138" s="3">
        <v>1695.91427</v>
      </c>
      <c r="T138" s="3">
        <v>2128.4818329999998</v>
      </c>
      <c r="U138" s="3">
        <v>1914.1396259999999</v>
      </c>
      <c r="V138" s="3">
        <v>1214.2770579999999</v>
      </c>
      <c r="W138" s="3">
        <v>897.77359200000001</v>
      </c>
      <c r="X138" s="3">
        <v>1324.951986</v>
      </c>
      <c r="Y138" s="3">
        <v>136.82938239999999</v>
      </c>
      <c r="Z138" s="3">
        <v>430.40138489999998</v>
      </c>
      <c r="AA138" s="48" t="s">
        <v>314</v>
      </c>
      <c r="AB138" s="49" t="s">
        <v>339</v>
      </c>
      <c r="AC138" s="3">
        <v>792.09741380000003</v>
      </c>
      <c r="AD138" s="3">
        <v>712.21340910000004</v>
      </c>
      <c r="AE138" s="3">
        <v>452.13477210000002</v>
      </c>
      <c r="AF138" s="3">
        <v>156.70306410000001</v>
      </c>
      <c r="AG138" s="3">
        <v>1378.344157</v>
      </c>
      <c r="AH138" s="3">
        <v>950.94508210000004</v>
      </c>
      <c r="AI138" s="3">
        <v>915.01878150000005</v>
      </c>
      <c r="AJ138" s="3">
        <v>952.97335320000002</v>
      </c>
      <c r="AK138" s="3">
        <v>398.05474199999998</v>
      </c>
      <c r="AL138" s="3">
        <v>587.50256139999999</v>
      </c>
      <c r="AM138" s="3">
        <v>971.39989230000003</v>
      </c>
      <c r="AN138" s="3">
        <v>118.85513709999999</v>
      </c>
      <c r="AO138" s="3">
        <v>392.65869129999999</v>
      </c>
      <c r="AP138" s="48" t="s">
        <v>314</v>
      </c>
      <c r="AQ138" s="49" t="s">
        <v>339</v>
      </c>
      <c r="AR138" s="3">
        <v>788.54593439999996</v>
      </c>
      <c r="AS138" s="3">
        <v>991.32072689999995</v>
      </c>
      <c r="AT138" s="3">
        <v>944.78846910000004</v>
      </c>
      <c r="AU138" s="3">
        <v>820.39234939999994</v>
      </c>
      <c r="AV138" s="3">
        <v>131.73583500000001</v>
      </c>
      <c r="AW138" s="3">
        <v>1345.916536</v>
      </c>
      <c r="AX138" s="3">
        <v>830.04392940000002</v>
      </c>
      <c r="AY138" s="3">
        <v>1310.9145000000001</v>
      </c>
      <c r="AZ138" s="3">
        <v>469.81739279999999</v>
      </c>
      <c r="BA138" s="3">
        <v>295.65173820000001</v>
      </c>
      <c r="BB138" s="3">
        <v>404.52634949999998</v>
      </c>
      <c r="BC138" s="3">
        <v>138.9895353</v>
      </c>
      <c r="BD138" s="3">
        <v>711.99263729999996</v>
      </c>
      <c r="BE138" s="48" t="s">
        <v>314</v>
      </c>
      <c r="BF138" s="49" t="s">
        <v>339</v>
      </c>
      <c r="BG138" s="3">
        <v>0.3</v>
      </c>
      <c r="BH138" s="3">
        <v>0.28100000000000003</v>
      </c>
      <c r="BI138" s="3">
        <v>0.3105</v>
      </c>
      <c r="BJ138" s="3">
        <v>0.215</v>
      </c>
      <c r="BK138" s="3">
        <v>0.20100000000000001</v>
      </c>
      <c r="BL138" s="3">
        <v>0.45600000000000002</v>
      </c>
      <c r="BM138" s="3">
        <v>0.16800000000000001</v>
      </c>
      <c r="BN138" s="3">
        <v>0.14499999999999999</v>
      </c>
      <c r="BO138" s="3">
        <v>0.27400000000000002</v>
      </c>
      <c r="BP138" s="3">
        <v>0.10100000000000001</v>
      </c>
      <c r="BQ138" s="3">
        <v>0.107</v>
      </c>
      <c r="BR138" s="3">
        <v>0.15766666700000001</v>
      </c>
      <c r="BS138" s="3">
        <v>0.29899999999999999</v>
      </c>
      <c r="BT138" s="3">
        <v>0.30399999999999999</v>
      </c>
      <c r="BU138" s="3">
        <v>0.43341666699999998</v>
      </c>
      <c r="BV138" s="3">
        <v>0.157</v>
      </c>
      <c r="BW138" s="3">
        <v>0.1</v>
      </c>
      <c r="BX138" s="3">
        <v>0.106</v>
      </c>
      <c r="BY138" s="3">
        <v>5.2999999999999999E-2</v>
      </c>
      <c r="BZ138" s="3">
        <v>7.3999999999999996E-2</v>
      </c>
      <c r="CA138" s="3">
        <v>0.46500000000000002</v>
      </c>
      <c r="CB138" s="3">
        <v>0.33100000000000002</v>
      </c>
      <c r="CC138" s="3">
        <v>0.43</v>
      </c>
      <c r="CD138" s="3">
        <v>0.55633333299999999</v>
      </c>
      <c r="CE138" s="3">
        <v>0.28299999999999997</v>
      </c>
      <c r="CF138" s="3">
        <v>0.3</v>
      </c>
      <c r="CG138" s="3">
        <v>0.70699999999999996</v>
      </c>
      <c r="CH138" s="3">
        <v>0.28299999999999997</v>
      </c>
      <c r="CI138" s="3">
        <v>0.29799999999999999</v>
      </c>
      <c r="CJ138" s="3">
        <v>0.48899999999999999</v>
      </c>
      <c r="CK138" s="3">
        <v>0.23799999999999999</v>
      </c>
      <c r="CL138" s="3">
        <v>0.20499999999999999</v>
      </c>
      <c r="CM138" s="3">
        <v>0.1</v>
      </c>
      <c r="CN138" s="3">
        <v>0.23699999999999999</v>
      </c>
      <c r="CO138" s="3">
        <v>7.1999999999999995E-2</v>
      </c>
      <c r="CP138" s="3">
        <v>0.22966666699999999</v>
      </c>
      <c r="CQ138" s="3">
        <v>0.20200000000000001</v>
      </c>
      <c r="CR138" s="3">
        <v>0.14599999999999999</v>
      </c>
      <c r="CS138" s="3">
        <v>0.23499999999999999</v>
      </c>
      <c r="CT138" s="48" t="s">
        <v>314</v>
      </c>
      <c r="CU138" s="49" t="s">
        <v>339</v>
      </c>
      <c r="CV138" s="3">
        <v>12.766</v>
      </c>
      <c r="CW138" s="3">
        <v>12.872999999999999</v>
      </c>
      <c r="CX138" s="3">
        <v>12.055</v>
      </c>
      <c r="CY138" s="3">
        <v>11.23</v>
      </c>
      <c r="CZ138" s="3">
        <v>13.962999999999999</v>
      </c>
      <c r="DA138" s="3">
        <v>13.23</v>
      </c>
      <c r="DB138" s="3">
        <v>9.4809999999999999</v>
      </c>
      <c r="DC138" s="3">
        <v>13.231999999999999</v>
      </c>
      <c r="DD138" s="3">
        <v>15.016999999999999</v>
      </c>
      <c r="DE138" s="3">
        <v>15.016999999999999</v>
      </c>
      <c r="DF138" s="3">
        <v>14.708</v>
      </c>
      <c r="DG138" s="3">
        <v>12.878</v>
      </c>
      <c r="DH138" s="3">
        <v>13.702999999999999</v>
      </c>
    </row>
    <row r="139" spans="1:112" x14ac:dyDescent="0.3">
      <c r="A139" s="48" t="s">
        <v>314</v>
      </c>
      <c r="B139" s="49" t="s">
        <v>340</v>
      </c>
      <c r="C139" s="3">
        <v>33.765082999999997</v>
      </c>
      <c r="D139" s="3">
        <v>28.679221999999999</v>
      </c>
      <c r="E139" s="3">
        <v>32.543588</v>
      </c>
      <c r="F139" s="3">
        <v>38.364364999999999</v>
      </c>
      <c r="G139" s="3">
        <v>42.511391000000003</v>
      </c>
      <c r="H139" s="3">
        <v>31.995766</v>
      </c>
      <c r="I139" s="48" t="s">
        <v>314</v>
      </c>
      <c r="J139" s="49" t="s">
        <v>340</v>
      </c>
      <c r="K139" s="3">
        <v>35356.5</v>
      </c>
      <c r="L139" s="48" t="s">
        <v>314</v>
      </c>
      <c r="M139" s="49" t="s">
        <v>340</v>
      </c>
      <c r="N139" s="3">
        <v>1585.2988009999999</v>
      </c>
      <c r="O139" s="3">
        <v>2040.9688369999999</v>
      </c>
      <c r="P139" s="3">
        <v>1973.878786</v>
      </c>
      <c r="Q139" s="3">
        <v>1337.799448</v>
      </c>
      <c r="R139" s="3">
        <v>2691.676731</v>
      </c>
      <c r="S139" s="3">
        <v>2690.99017</v>
      </c>
      <c r="T139" s="3">
        <v>3611.033664</v>
      </c>
      <c r="U139" s="3">
        <v>4257.2401719999998</v>
      </c>
      <c r="V139" s="3">
        <v>3016.7257060000002</v>
      </c>
      <c r="W139" s="3">
        <v>1275.7001359999999</v>
      </c>
      <c r="X139" s="3">
        <v>1839.491462</v>
      </c>
      <c r="Y139" s="3">
        <v>259.44121259999997</v>
      </c>
      <c r="Z139" s="3">
        <v>682.30403809999996</v>
      </c>
      <c r="AA139" s="48" t="s">
        <v>314</v>
      </c>
      <c r="AB139" s="49" t="s">
        <v>340</v>
      </c>
      <c r="AC139" s="3">
        <v>607.11278709999999</v>
      </c>
      <c r="AD139" s="3">
        <v>545.8847111</v>
      </c>
      <c r="AE139" s="3">
        <v>346.5442468</v>
      </c>
      <c r="AF139" s="3">
        <v>123.72224780000001</v>
      </c>
      <c r="AG139" s="3">
        <v>1056.4487999999999</v>
      </c>
      <c r="AH139" s="3">
        <v>728.86353259999998</v>
      </c>
      <c r="AI139" s="3">
        <v>701.32737850000001</v>
      </c>
      <c r="AJ139" s="3">
        <v>730.41812600000003</v>
      </c>
      <c r="AK139" s="3">
        <v>305.09394379999998</v>
      </c>
      <c r="AL139" s="3">
        <v>450.29855079999999</v>
      </c>
      <c r="AM139" s="3">
        <v>744.54137309999999</v>
      </c>
      <c r="AN139" s="3">
        <v>91.097978949999998</v>
      </c>
      <c r="AO139" s="3">
        <v>300.95807450000001</v>
      </c>
      <c r="AP139" s="48" t="s">
        <v>314</v>
      </c>
      <c r="AQ139" s="49" t="s">
        <v>340</v>
      </c>
      <c r="AR139" s="3">
        <v>812.26160159999995</v>
      </c>
      <c r="AS139" s="3">
        <v>1021.1348840000001</v>
      </c>
      <c r="AT139" s="3">
        <v>973.20315989999995</v>
      </c>
      <c r="AU139" s="3">
        <v>822.33640709999997</v>
      </c>
      <c r="AV139" s="3">
        <v>135.69781499999999</v>
      </c>
      <c r="AW139" s="3">
        <v>1386.3952280000001</v>
      </c>
      <c r="AX139" s="3">
        <v>855.00765660000002</v>
      </c>
      <c r="AY139" s="3">
        <v>1350.3405</v>
      </c>
      <c r="AZ139" s="3">
        <v>483.94723920000001</v>
      </c>
      <c r="BA139" s="3">
        <v>304.54351980000001</v>
      </c>
      <c r="BB139" s="3">
        <v>416.69255550000003</v>
      </c>
      <c r="BC139" s="3">
        <v>143.16967170000001</v>
      </c>
      <c r="BD139" s="3">
        <v>733.40594969999995</v>
      </c>
      <c r="BE139" s="48" t="s">
        <v>314</v>
      </c>
      <c r="BF139" s="49" t="s">
        <v>340</v>
      </c>
      <c r="BG139" s="3">
        <v>0.114</v>
      </c>
      <c r="BH139" s="3">
        <v>0.311</v>
      </c>
      <c r="BI139" s="3">
        <v>0.34849999999999998</v>
      </c>
      <c r="BJ139" s="3">
        <v>7.8E-2</v>
      </c>
      <c r="BK139" s="3">
        <v>0.23400000000000001</v>
      </c>
      <c r="BL139" s="3">
        <v>0.51049999999999995</v>
      </c>
      <c r="BM139" s="3">
        <v>6.2E-2</v>
      </c>
      <c r="BN139" s="3">
        <v>0.16800000000000001</v>
      </c>
      <c r="BO139" s="3">
        <v>0.3</v>
      </c>
      <c r="BP139" s="3">
        <v>3.7999999999999999E-2</v>
      </c>
      <c r="BQ139" s="3">
        <v>0.126</v>
      </c>
      <c r="BR139" s="3">
        <v>0.16866666699999999</v>
      </c>
      <c r="BS139" s="3">
        <v>0.1</v>
      </c>
      <c r="BT139" s="3">
        <v>0.32200000000000001</v>
      </c>
      <c r="BU139" s="3">
        <v>0.47058333400000002</v>
      </c>
      <c r="BV139" s="3">
        <v>4.2999999999999997E-2</v>
      </c>
      <c r="BW139" s="3">
        <v>0.125</v>
      </c>
      <c r="BX139" s="3">
        <v>0.13500000000000001</v>
      </c>
      <c r="BY139" s="3">
        <v>2.1999999999999999E-2</v>
      </c>
      <c r="BZ139" s="3">
        <v>7.9000000000000001E-2</v>
      </c>
      <c r="CA139" s="3">
        <v>0.53</v>
      </c>
      <c r="CB139" s="3">
        <v>0.112</v>
      </c>
      <c r="CC139" s="3">
        <v>0.44700000000000001</v>
      </c>
      <c r="CD139" s="3">
        <v>0.59266666700000004</v>
      </c>
      <c r="CE139" s="3">
        <v>9.8000000000000004E-2</v>
      </c>
      <c r="CF139" s="3">
        <v>0.317</v>
      </c>
      <c r="CG139" s="3">
        <v>0.74199999999999999</v>
      </c>
      <c r="CH139" s="3">
        <v>9.8000000000000004E-2</v>
      </c>
      <c r="CI139" s="3">
        <v>0.316</v>
      </c>
      <c r="CJ139" s="3">
        <v>0.495</v>
      </c>
      <c r="CK139" s="3">
        <v>8.7999999999999995E-2</v>
      </c>
      <c r="CL139" s="3">
        <v>0.22</v>
      </c>
      <c r="CM139" s="3">
        <v>0.1</v>
      </c>
      <c r="CN139" s="3">
        <v>7.0999999999999994E-2</v>
      </c>
      <c r="CO139" s="3">
        <v>9.0999999999999998E-2</v>
      </c>
      <c r="CP139" s="3">
        <v>0.258333333</v>
      </c>
      <c r="CQ139" s="3">
        <v>5.6000000000000001E-2</v>
      </c>
      <c r="CR139" s="3">
        <v>0.156</v>
      </c>
      <c r="CS139" s="3">
        <v>0.251</v>
      </c>
      <c r="CT139" s="48" t="s">
        <v>314</v>
      </c>
      <c r="CU139" s="49" t="s">
        <v>340</v>
      </c>
      <c r="CV139" s="3">
        <v>11.103999999999999</v>
      </c>
      <c r="CW139" s="3">
        <v>11.436999999999999</v>
      </c>
      <c r="CX139" s="3">
        <v>10.734999999999999</v>
      </c>
      <c r="CY139" s="3">
        <v>10.253</v>
      </c>
      <c r="CZ139" s="3">
        <v>12.286</v>
      </c>
      <c r="DA139" s="3">
        <v>11.976000000000001</v>
      </c>
      <c r="DB139" s="3">
        <v>8.8689999999999998</v>
      </c>
      <c r="DC139" s="3">
        <v>12.042</v>
      </c>
      <c r="DD139" s="3">
        <v>13.472</v>
      </c>
      <c r="DE139" s="3">
        <v>13.471</v>
      </c>
      <c r="DF139" s="3">
        <v>13.603</v>
      </c>
      <c r="DG139" s="3">
        <v>11.794</v>
      </c>
      <c r="DH139" s="3">
        <v>12.622999999999999</v>
      </c>
    </row>
    <row r="140" spans="1:112" x14ac:dyDescent="0.3">
      <c r="A140" s="48" t="s">
        <v>314</v>
      </c>
      <c r="B140" s="49" t="s">
        <v>341</v>
      </c>
      <c r="C140" s="3">
        <v>37.340732000000003</v>
      </c>
      <c r="D140" s="3">
        <v>37.555419000000001</v>
      </c>
      <c r="E140" s="3">
        <v>46.283555999999997</v>
      </c>
      <c r="F140" s="3">
        <v>38.233130000000003</v>
      </c>
      <c r="G140" s="3">
        <v>42.091439000000001</v>
      </c>
      <c r="H140" s="3">
        <v>45.010240000000003</v>
      </c>
      <c r="I140" s="48" t="s">
        <v>314</v>
      </c>
      <c r="J140" s="49" t="s">
        <v>341</v>
      </c>
      <c r="K140" s="3">
        <v>37915</v>
      </c>
      <c r="L140" s="48" t="s">
        <v>314</v>
      </c>
      <c r="M140" s="49" t="s">
        <v>341</v>
      </c>
      <c r="N140" s="3">
        <v>2973.1532120000002</v>
      </c>
      <c r="O140" s="3">
        <v>3462.7753619999999</v>
      </c>
      <c r="P140" s="3">
        <v>2865.1083039999999</v>
      </c>
      <c r="Q140" s="3">
        <v>2019.1811499999999</v>
      </c>
      <c r="R140" s="3">
        <v>3849.7711979999999</v>
      </c>
      <c r="S140" s="3">
        <v>4464.0311940000001</v>
      </c>
      <c r="T140" s="3">
        <v>4112.7155759999996</v>
      </c>
      <c r="U140" s="3">
        <v>5720.6807250000002</v>
      </c>
      <c r="V140" s="3">
        <v>3876.8526860000002</v>
      </c>
      <c r="W140" s="3">
        <v>2311.726799</v>
      </c>
      <c r="X140" s="3">
        <v>3139.055382</v>
      </c>
      <c r="Y140" s="3">
        <v>425.03277689999999</v>
      </c>
      <c r="Z140" s="3">
        <v>1410.681069</v>
      </c>
      <c r="AA140" s="48" t="s">
        <v>314</v>
      </c>
      <c r="AB140" s="49" t="s">
        <v>341</v>
      </c>
      <c r="AC140" s="3">
        <v>642.3077313</v>
      </c>
      <c r="AD140" s="3">
        <v>577.53020160000005</v>
      </c>
      <c r="AE140" s="3">
        <v>366.63376840000001</v>
      </c>
      <c r="AF140" s="3">
        <v>124.3649607</v>
      </c>
      <c r="AG140" s="3">
        <v>1117.692209</v>
      </c>
      <c r="AH140" s="3">
        <v>771.116491</v>
      </c>
      <c r="AI140" s="3">
        <v>741.98403810000002</v>
      </c>
      <c r="AJ140" s="3">
        <v>772.7612057</v>
      </c>
      <c r="AK140" s="3">
        <v>322.78054930000002</v>
      </c>
      <c r="AL140" s="3">
        <v>476.4028146</v>
      </c>
      <c r="AM140" s="3">
        <v>787.70319180000001</v>
      </c>
      <c r="AN140" s="3">
        <v>96.379021210000005</v>
      </c>
      <c r="AO140" s="3">
        <v>318.40491939999998</v>
      </c>
      <c r="AP140" s="48" t="s">
        <v>314</v>
      </c>
      <c r="AQ140" s="49" t="s">
        <v>341</v>
      </c>
      <c r="AR140" s="3">
        <v>816.21421280000004</v>
      </c>
      <c r="AS140" s="3">
        <v>1026.10391</v>
      </c>
      <c r="AT140" s="3">
        <v>977.93894169999999</v>
      </c>
      <c r="AU140" s="3">
        <v>837.88886869999999</v>
      </c>
      <c r="AV140" s="3">
        <v>136.35814500000001</v>
      </c>
      <c r="AW140" s="3">
        <v>1393.1416770000001</v>
      </c>
      <c r="AX140" s="3">
        <v>859.16827780000006</v>
      </c>
      <c r="AY140" s="3">
        <v>1356.9114999999999</v>
      </c>
      <c r="AZ140" s="3">
        <v>486.30221360000002</v>
      </c>
      <c r="BA140" s="3">
        <v>306.02548339999998</v>
      </c>
      <c r="BB140" s="3">
        <v>418.7202565</v>
      </c>
      <c r="BC140" s="3">
        <v>143.86636110000001</v>
      </c>
      <c r="BD140" s="3">
        <v>736.97483509999995</v>
      </c>
      <c r="BE140" s="48" t="s">
        <v>314</v>
      </c>
      <c r="BF140" s="49" t="s">
        <v>341</v>
      </c>
      <c r="BG140" s="3">
        <v>0</v>
      </c>
      <c r="BH140" s="3">
        <v>0.373</v>
      </c>
      <c r="BI140" s="3">
        <v>0.39750000000000002</v>
      </c>
      <c r="BJ140" s="3">
        <v>0</v>
      </c>
      <c r="BK140" s="3">
        <v>0.309</v>
      </c>
      <c r="BL140" s="3">
        <v>0.57650000000000001</v>
      </c>
      <c r="BM140" s="3">
        <v>0</v>
      </c>
      <c r="BN140" s="3">
        <v>0.22</v>
      </c>
      <c r="BO140" s="3">
        <v>0.35349999999999998</v>
      </c>
      <c r="BP140" s="3">
        <v>0</v>
      </c>
      <c r="BQ140" s="3">
        <v>0.17399999999999999</v>
      </c>
      <c r="BR140" s="3">
        <v>0.197333333</v>
      </c>
      <c r="BS140" s="3">
        <v>0</v>
      </c>
      <c r="BT140" s="3">
        <v>0.38100000000000001</v>
      </c>
      <c r="BU140" s="3">
        <v>0.512583334</v>
      </c>
      <c r="BV140" s="3">
        <v>0</v>
      </c>
      <c r="BW140" s="3">
        <v>0.183</v>
      </c>
      <c r="BX140" s="3">
        <v>0.184</v>
      </c>
      <c r="BY140" s="3">
        <v>0</v>
      </c>
      <c r="BZ140" s="3">
        <v>0.10100000000000001</v>
      </c>
      <c r="CA140" s="3">
        <v>0.59050000000000002</v>
      </c>
      <c r="CB140" s="3">
        <v>0</v>
      </c>
      <c r="CC140" s="3">
        <v>0.46700000000000003</v>
      </c>
      <c r="CD140" s="3">
        <v>0.62766666699999996</v>
      </c>
      <c r="CE140" s="3">
        <v>2E-3</v>
      </c>
      <c r="CF140" s="3">
        <v>0.39700000000000002</v>
      </c>
      <c r="CG140" s="3">
        <v>0.76900000000000002</v>
      </c>
      <c r="CH140" s="3">
        <v>2E-3</v>
      </c>
      <c r="CI140" s="3">
        <v>0.39500000000000002</v>
      </c>
      <c r="CJ140" s="3">
        <v>0.50033333300000005</v>
      </c>
      <c r="CK140" s="3">
        <v>4.0000000000000001E-3</v>
      </c>
      <c r="CL140" s="3">
        <v>0.28299999999999997</v>
      </c>
      <c r="CM140" s="3">
        <v>0.1</v>
      </c>
      <c r="CN140" s="3">
        <v>1E-3</v>
      </c>
      <c r="CO140" s="3">
        <v>0.125</v>
      </c>
      <c r="CP140" s="3">
        <v>0.28933333300000003</v>
      </c>
      <c r="CQ140" s="3">
        <v>2E-3</v>
      </c>
      <c r="CR140" s="3">
        <v>0.183</v>
      </c>
      <c r="CS140" s="3">
        <v>0.28699999999999998</v>
      </c>
      <c r="CT140" s="48" t="s">
        <v>314</v>
      </c>
      <c r="CU140" s="49" t="s">
        <v>341</v>
      </c>
      <c r="CV140" s="3">
        <v>8.4410000000000007</v>
      </c>
      <c r="CW140" s="3">
        <v>9.2360000000000007</v>
      </c>
      <c r="CX140" s="3">
        <v>8.6509999999999998</v>
      </c>
      <c r="CY140" s="3">
        <v>8.5760000000000005</v>
      </c>
      <c r="CZ140" s="3">
        <v>9.7059999999999995</v>
      </c>
      <c r="DA140" s="3">
        <v>10.24</v>
      </c>
      <c r="DB140" s="3">
        <v>7.7549999999999999</v>
      </c>
      <c r="DC140" s="3">
        <v>10.257999999999999</v>
      </c>
      <c r="DD140" s="3">
        <v>10.898</v>
      </c>
      <c r="DE140" s="3">
        <v>10.895</v>
      </c>
      <c r="DF140" s="3">
        <v>11.577</v>
      </c>
      <c r="DG140" s="3">
        <v>10.17</v>
      </c>
      <c r="DH140" s="3">
        <v>10.936999999999999</v>
      </c>
    </row>
    <row r="141" spans="1:112" x14ac:dyDescent="0.3">
      <c r="A141" s="48" t="s">
        <v>314</v>
      </c>
      <c r="B141" s="49" t="s">
        <v>342</v>
      </c>
      <c r="C141" s="3">
        <v>45.128687999999997</v>
      </c>
      <c r="D141" s="3">
        <v>33.431947999999998</v>
      </c>
      <c r="E141" s="3">
        <v>45.883794000000002</v>
      </c>
      <c r="F141" s="3">
        <v>38.171886999999998</v>
      </c>
      <c r="G141" s="3">
        <v>42.773860999999997</v>
      </c>
      <c r="H141" s="3">
        <v>45.883794000000002</v>
      </c>
      <c r="I141" s="48" t="s">
        <v>314</v>
      </c>
      <c r="J141" s="49" t="s">
        <v>342</v>
      </c>
      <c r="K141" s="3">
        <v>38227</v>
      </c>
      <c r="L141" s="48" t="s">
        <v>314</v>
      </c>
      <c r="M141" s="49" t="s">
        <v>342</v>
      </c>
      <c r="N141" s="3">
        <v>4258.8728760000004</v>
      </c>
      <c r="O141" s="3">
        <v>5316.9020049999999</v>
      </c>
      <c r="P141" s="3">
        <v>3386.150545</v>
      </c>
      <c r="Q141" s="3">
        <v>2659.039029</v>
      </c>
      <c r="R141" s="3">
        <v>5171.4827349999996</v>
      </c>
      <c r="S141" s="3">
        <v>6093.8188520000003</v>
      </c>
      <c r="T141" s="3">
        <v>4337.8643039999997</v>
      </c>
      <c r="U141" s="3">
        <v>7432.219349</v>
      </c>
      <c r="V141" s="3">
        <v>4340.4969250000004</v>
      </c>
      <c r="W141" s="3">
        <v>3136.2839309999999</v>
      </c>
      <c r="X141" s="3">
        <v>4666.8627569999999</v>
      </c>
      <c r="Y141" s="3">
        <v>562.09201840000003</v>
      </c>
      <c r="Z141" s="3">
        <v>2252.600492</v>
      </c>
      <c r="AA141" s="48" t="s">
        <v>314</v>
      </c>
      <c r="AB141" s="49" t="s">
        <v>342</v>
      </c>
      <c r="AC141" s="3">
        <v>624.7102592</v>
      </c>
      <c r="AD141" s="3">
        <v>561.70745629999999</v>
      </c>
      <c r="AE141" s="3">
        <v>356.5890076</v>
      </c>
      <c r="AF141" s="3">
        <v>118.9019005</v>
      </c>
      <c r="AG141" s="3">
        <v>1087.0705049999999</v>
      </c>
      <c r="AH141" s="3">
        <v>749.99001180000005</v>
      </c>
      <c r="AI141" s="3">
        <v>721.65570830000001</v>
      </c>
      <c r="AJ141" s="3">
        <v>751.5896659</v>
      </c>
      <c r="AK141" s="3">
        <v>313.93724659999998</v>
      </c>
      <c r="AL141" s="3">
        <v>463.35068269999999</v>
      </c>
      <c r="AM141" s="3">
        <v>766.12228240000002</v>
      </c>
      <c r="AN141" s="3">
        <v>93.738500079999994</v>
      </c>
      <c r="AO141" s="3">
        <v>309.68149699999998</v>
      </c>
      <c r="AP141" s="48" t="s">
        <v>314</v>
      </c>
      <c r="AQ141" s="49" t="s">
        <v>342</v>
      </c>
      <c r="AR141" s="3">
        <v>835.97726880000005</v>
      </c>
      <c r="AS141" s="3">
        <v>1050.9490410000001</v>
      </c>
      <c r="AT141" s="3">
        <v>1001.617851</v>
      </c>
      <c r="AU141" s="3">
        <v>830.11263789999998</v>
      </c>
      <c r="AV141" s="3">
        <v>139.659795</v>
      </c>
      <c r="AW141" s="3">
        <v>1426.8739210000001</v>
      </c>
      <c r="AX141" s="3">
        <v>879.97138380000001</v>
      </c>
      <c r="AY141" s="3">
        <v>1389.7665</v>
      </c>
      <c r="AZ141" s="3">
        <v>498.07708559999998</v>
      </c>
      <c r="BA141" s="3">
        <v>313.43530140000001</v>
      </c>
      <c r="BB141" s="3">
        <v>428.85876150000001</v>
      </c>
      <c r="BC141" s="3">
        <v>147.34980809999999</v>
      </c>
      <c r="BD141" s="3">
        <v>754.81926209999995</v>
      </c>
      <c r="BE141" s="48" t="s">
        <v>314</v>
      </c>
      <c r="BF141" s="49" t="s">
        <v>342</v>
      </c>
      <c r="BG141" s="3">
        <v>0</v>
      </c>
      <c r="BH141" s="3">
        <v>0.38800000000000001</v>
      </c>
      <c r="BI141" s="3">
        <v>0.41949999999999998</v>
      </c>
      <c r="BJ141" s="3">
        <v>0</v>
      </c>
      <c r="BK141" s="3">
        <v>0.33200000000000002</v>
      </c>
      <c r="BL141" s="3">
        <v>0.59899999999999998</v>
      </c>
      <c r="BM141" s="3">
        <v>0</v>
      </c>
      <c r="BN141" s="3">
        <v>0.23300000000000001</v>
      </c>
      <c r="BO141" s="3">
        <v>0.38150000000000001</v>
      </c>
      <c r="BP141" s="3">
        <v>0</v>
      </c>
      <c r="BQ141" s="3">
        <v>0.19600000000000001</v>
      </c>
      <c r="BR141" s="3">
        <v>0.215</v>
      </c>
      <c r="BS141" s="3">
        <v>0</v>
      </c>
      <c r="BT141" s="3">
        <v>0.40100000000000002</v>
      </c>
      <c r="BU141" s="3">
        <v>0.52475000000000005</v>
      </c>
      <c r="BV141" s="3">
        <v>0</v>
      </c>
      <c r="BW141" s="3">
        <v>0.223</v>
      </c>
      <c r="BX141" s="3">
        <v>0.224</v>
      </c>
      <c r="BY141" s="3">
        <v>0</v>
      </c>
      <c r="BZ141" s="3">
        <v>0.123</v>
      </c>
      <c r="CA141" s="3">
        <v>0.63200000000000001</v>
      </c>
      <c r="CB141" s="3">
        <v>0</v>
      </c>
      <c r="CC141" s="3">
        <v>0.47099999999999997</v>
      </c>
      <c r="CD141" s="3">
        <v>0.63</v>
      </c>
      <c r="CE141" s="3">
        <v>0</v>
      </c>
      <c r="CF141" s="3">
        <v>0.437</v>
      </c>
      <c r="CG141" s="3">
        <v>0.76949999999999996</v>
      </c>
      <c r="CH141" s="3">
        <v>0</v>
      </c>
      <c r="CI141" s="3">
        <v>0.437</v>
      </c>
      <c r="CJ141" s="3">
        <v>0.49866666700000001</v>
      </c>
      <c r="CK141" s="3">
        <v>0</v>
      </c>
      <c r="CL141" s="3">
        <v>0.34499999999999997</v>
      </c>
      <c r="CM141" s="3">
        <v>0.1</v>
      </c>
      <c r="CN141" s="3">
        <v>0</v>
      </c>
      <c r="CO141" s="3">
        <v>0.13700000000000001</v>
      </c>
      <c r="CP141" s="3">
        <v>0.30033333299999998</v>
      </c>
      <c r="CQ141" s="3">
        <v>0</v>
      </c>
      <c r="CR141" s="3">
        <v>0.20100000000000001</v>
      </c>
      <c r="CS141" s="3">
        <v>0.308</v>
      </c>
      <c r="CT141" s="48" t="s">
        <v>314</v>
      </c>
      <c r="CU141" s="49" t="s">
        <v>342</v>
      </c>
      <c r="CV141" s="3">
        <v>7.6890000000000001</v>
      </c>
      <c r="CW141" s="3">
        <v>8.5419999999999998</v>
      </c>
      <c r="CX141" s="3">
        <v>8.0670000000000002</v>
      </c>
      <c r="CY141" s="3">
        <v>7.8259999999999996</v>
      </c>
      <c r="CZ141" s="3">
        <v>8.8520000000000003</v>
      </c>
      <c r="DA141" s="3">
        <v>9.4649999999999999</v>
      </c>
      <c r="DB141" s="3">
        <v>7.3780000000000001</v>
      </c>
      <c r="DC141" s="3">
        <v>9.6280000000000001</v>
      </c>
      <c r="DD141" s="3">
        <v>9.8339999999999996</v>
      </c>
      <c r="DE141" s="3">
        <v>9.8339999999999996</v>
      </c>
      <c r="DF141" s="3">
        <v>10.714</v>
      </c>
      <c r="DG141" s="3">
        <v>9.4469999999999992</v>
      </c>
      <c r="DH141" s="3">
        <v>10.145</v>
      </c>
    </row>
    <row r="142" spans="1:112" x14ac:dyDescent="0.3">
      <c r="A142" s="48" t="s">
        <v>314</v>
      </c>
      <c r="B142" s="49" t="s">
        <v>343</v>
      </c>
      <c r="C142" s="3">
        <v>47.941828000000001</v>
      </c>
      <c r="D142" s="3">
        <v>30.840897999999999</v>
      </c>
      <c r="E142" s="3">
        <v>31.307286999999999</v>
      </c>
      <c r="F142" s="3">
        <v>38.049401000000003</v>
      </c>
      <c r="G142" s="3">
        <v>41.505256000000003</v>
      </c>
      <c r="H142" s="3">
        <v>40.871963000000001</v>
      </c>
      <c r="I142" s="48" t="s">
        <v>314</v>
      </c>
      <c r="J142" s="49" t="s">
        <v>343</v>
      </c>
      <c r="K142" s="3">
        <v>36081</v>
      </c>
      <c r="L142" s="48" t="s">
        <v>314</v>
      </c>
      <c r="M142" s="49" t="s">
        <v>343</v>
      </c>
      <c r="N142" s="3">
        <v>5202.8942239999997</v>
      </c>
      <c r="O142" s="3">
        <v>6836.0568679999997</v>
      </c>
      <c r="P142" s="3">
        <v>3253.262667</v>
      </c>
      <c r="Q142" s="3">
        <v>3291.5546789999999</v>
      </c>
      <c r="R142" s="3">
        <v>6573.5224470000003</v>
      </c>
      <c r="S142" s="3">
        <v>7096.3615030000001</v>
      </c>
      <c r="T142" s="3">
        <v>4404.9022560000003</v>
      </c>
      <c r="U142" s="3">
        <v>7046.974733</v>
      </c>
      <c r="V142" s="3">
        <v>3963.4054379999998</v>
      </c>
      <c r="W142" s="3">
        <v>3810.5692669999999</v>
      </c>
      <c r="X142" s="3">
        <v>5564.7020060000004</v>
      </c>
      <c r="Y142" s="3">
        <v>692.00988849999999</v>
      </c>
      <c r="Z142" s="3">
        <v>3032.445933</v>
      </c>
      <c r="AA142" s="48" t="s">
        <v>314</v>
      </c>
      <c r="AB142" s="49" t="s">
        <v>343</v>
      </c>
      <c r="AC142" s="3">
        <v>424.978951</v>
      </c>
      <c r="AD142" s="3">
        <v>382.1192977</v>
      </c>
      <c r="AE142" s="3">
        <v>242.58097280000001</v>
      </c>
      <c r="AF142" s="3">
        <v>80.981834910000003</v>
      </c>
      <c r="AG142" s="3">
        <v>739.51416029999996</v>
      </c>
      <c r="AH142" s="3">
        <v>510.20447280000002</v>
      </c>
      <c r="AI142" s="3">
        <v>490.92916500000001</v>
      </c>
      <c r="AJ142" s="3">
        <v>511.29268819999999</v>
      </c>
      <c r="AK142" s="3">
        <v>213.5657607</v>
      </c>
      <c r="AL142" s="3">
        <v>315.20898560000001</v>
      </c>
      <c r="AM142" s="3">
        <v>521.17896110000004</v>
      </c>
      <c r="AN142" s="3">
        <v>63.768585260000002</v>
      </c>
      <c r="AO142" s="3">
        <v>210.67065220000001</v>
      </c>
      <c r="AP142" s="48" t="s">
        <v>314</v>
      </c>
      <c r="AQ142" s="49" t="s">
        <v>343</v>
      </c>
      <c r="AR142" s="3">
        <v>832.02465759999995</v>
      </c>
      <c r="AS142" s="3">
        <v>1045.9800150000001</v>
      </c>
      <c r="AT142" s="3">
        <v>996.88206890000004</v>
      </c>
      <c r="AU142" s="3">
        <v>812.61611860000005</v>
      </c>
      <c r="AV142" s="3">
        <v>138.99946499999999</v>
      </c>
      <c r="AW142" s="3">
        <v>1420.1274719999999</v>
      </c>
      <c r="AX142" s="3">
        <v>875.81076259999998</v>
      </c>
      <c r="AY142" s="3">
        <v>1383.1955</v>
      </c>
      <c r="AZ142" s="3">
        <v>495.72211119999997</v>
      </c>
      <c r="BA142" s="3">
        <v>311.95333779999999</v>
      </c>
      <c r="BB142" s="3">
        <v>426.83106049999998</v>
      </c>
      <c r="BC142" s="3">
        <v>146.65311869999999</v>
      </c>
      <c r="BD142" s="3">
        <v>751.25037669999995</v>
      </c>
      <c r="BE142" s="48" t="s">
        <v>314</v>
      </c>
      <c r="BF142" s="49" t="s">
        <v>343</v>
      </c>
      <c r="BG142" s="3">
        <v>0</v>
      </c>
      <c r="BH142" s="3">
        <v>0.36099999999999999</v>
      </c>
      <c r="BI142" s="3">
        <v>0.42749999999999999</v>
      </c>
      <c r="BJ142" s="3">
        <v>0</v>
      </c>
      <c r="BK142" s="3">
        <v>0.28799999999999998</v>
      </c>
      <c r="BL142" s="3">
        <v>0.59850000000000003</v>
      </c>
      <c r="BM142" s="3">
        <v>0</v>
      </c>
      <c r="BN142" s="3">
        <v>0.20300000000000001</v>
      </c>
      <c r="BO142" s="3">
        <v>0.3785</v>
      </c>
      <c r="BP142" s="3">
        <v>0</v>
      </c>
      <c r="BQ142" s="3">
        <v>0.192</v>
      </c>
      <c r="BR142" s="3">
        <v>0.221</v>
      </c>
      <c r="BS142" s="3">
        <v>0</v>
      </c>
      <c r="BT142" s="3">
        <v>0.36699999999999999</v>
      </c>
      <c r="BU142" s="3">
        <v>0.520416667</v>
      </c>
      <c r="BV142" s="3">
        <v>0</v>
      </c>
      <c r="BW142" s="3">
        <v>0.221</v>
      </c>
      <c r="BX142" s="3">
        <v>0.249</v>
      </c>
      <c r="BY142" s="3">
        <v>0</v>
      </c>
      <c r="BZ142" s="3">
        <v>0.14000000000000001</v>
      </c>
      <c r="CA142" s="3">
        <v>0.64400000000000002</v>
      </c>
      <c r="CB142" s="3">
        <v>0</v>
      </c>
      <c r="CC142" s="3">
        <v>0.44400000000000001</v>
      </c>
      <c r="CD142" s="3">
        <v>0.61333333300000004</v>
      </c>
      <c r="CE142" s="3">
        <v>0</v>
      </c>
      <c r="CF142" s="3">
        <v>0.41499999999999998</v>
      </c>
      <c r="CG142" s="3">
        <v>0.73550000000000004</v>
      </c>
      <c r="CH142" s="3">
        <v>0</v>
      </c>
      <c r="CI142" s="3">
        <v>0.41599999999999998</v>
      </c>
      <c r="CJ142" s="3">
        <v>0.48366666699999999</v>
      </c>
      <c r="CK142" s="3">
        <v>0</v>
      </c>
      <c r="CL142" s="3">
        <v>0.35899999999999999</v>
      </c>
      <c r="CM142" s="3">
        <v>0.1</v>
      </c>
      <c r="CN142" s="3">
        <v>0</v>
      </c>
      <c r="CO142" s="3">
        <v>0.13200000000000001</v>
      </c>
      <c r="CP142" s="3">
        <v>0.29699999999999999</v>
      </c>
      <c r="CQ142" s="3">
        <v>0</v>
      </c>
      <c r="CR142" s="3">
        <v>0.19700000000000001</v>
      </c>
      <c r="CS142" s="3">
        <v>0.30599999999999999</v>
      </c>
      <c r="CT142" s="48" t="s">
        <v>314</v>
      </c>
      <c r="CU142" s="49" t="s">
        <v>343</v>
      </c>
      <c r="CV142" s="3">
        <v>7.4450000000000003</v>
      </c>
      <c r="CW142" s="3">
        <v>8.1069999999999993</v>
      </c>
      <c r="CX142" s="3">
        <v>7.7549999999999999</v>
      </c>
      <c r="CY142" s="3">
        <v>7.3860000000000001</v>
      </c>
      <c r="CZ142" s="3">
        <v>8.2639999999999993</v>
      </c>
      <c r="DA142" s="3">
        <v>8.8930000000000007</v>
      </c>
      <c r="DB142" s="3">
        <v>7.2350000000000003</v>
      </c>
      <c r="DC142" s="3">
        <v>9.3070000000000004</v>
      </c>
      <c r="DD142" s="3">
        <v>9.1519999999999992</v>
      </c>
      <c r="DE142" s="3">
        <v>9.1549999999999994</v>
      </c>
      <c r="DF142" s="3">
        <v>10.324</v>
      </c>
      <c r="DG142" s="3">
        <v>8.8849999999999998</v>
      </c>
      <c r="DH142" s="3">
        <v>9.702</v>
      </c>
    </row>
    <row r="143" spans="1:112" x14ac:dyDescent="0.3">
      <c r="A143" s="48" t="s">
        <v>314</v>
      </c>
      <c r="B143" s="49" t="s">
        <v>344</v>
      </c>
      <c r="C143" s="3">
        <v>43.203907999999998</v>
      </c>
      <c r="D143" s="3">
        <v>30.840897999999999</v>
      </c>
      <c r="E143" s="3">
        <v>27.287458000000001</v>
      </c>
      <c r="F143" s="3">
        <v>37.778182000000001</v>
      </c>
      <c r="G143" s="3">
        <v>39.020539999999997</v>
      </c>
      <c r="H143" s="3">
        <v>32.232661999999998</v>
      </c>
      <c r="I143" s="48" t="s">
        <v>314</v>
      </c>
      <c r="J143" s="49" t="s">
        <v>344</v>
      </c>
      <c r="K143" s="3">
        <v>33387</v>
      </c>
      <c r="L143" s="48" t="s">
        <v>314</v>
      </c>
      <c r="M143" s="49" t="s">
        <v>344</v>
      </c>
      <c r="N143" s="3">
        <v>4733.5015649999996</v>
      </c>
      <c r="O143" s="3">
        <v>6241.4076420000001</v>
      </c>
      <c r="P143" s="3">
        <v>2668.486105</v>
      </c>
      <c r="Q143" s="3">
        <v>2825.796621</v>
      </c>
      <c r="R143" s="3">
        <v>6272.430515</v>
      </c>
      <c r="S143" s="3">
        <v>6585.0581570000004</v>
      </c>
      <c r="T143" s="3">
        <v>3806.7617799999998</v>
      </c>
      <c r="U143" s="3">
        <v>5835.1186129999996</v>
      </c>
      <c r="V143" s="3">
        <v>3250.8628600000002</v>
      </c>
      <c r="W143" s="3">
        <v>3438.0870580000001</v>
      </c>
      <c r="X143" s="3">
        <v>5139.8187379999999</v>
      </c>
      <c r="Y143" s="3">
        <v>676.76028199999996</v>
      </c>
      <c r="Z143" s="3">
        <v>2862.4370389999999</v>
      </c>
      <c r="AA143" s="48" t="s">
        <v>314</v>
      </c>
      <c r="AB143" s="49" t="s">
        <v>344</v>
      </c>
      <c r="AC143" s="3">
        <v>405.26978229999997</v>
      </c>
      <c r="AD143" s="3">
        <v>364.39782309999998</v>
      </c>
      <c r="AE143" s="3">
        <v>231.33084070000001</v>
      </c>
      <c r="AF143" s="3">
        <v>78.957289029999998</v>
      </c>
      <c r="AG143" s="3">
        <v>705.21785139999997</v>
      </c>
      <c r="AH143" s="3">
        <v>486.54281609999998</v>
      </c>
      <c r="AI143" s="3">
        <v>468.1614356</v>
      </c>
      <c r="AJ143" s="3">
        <v>487.58056349999998</v>
      </c>
      <c r="AK143" s="3">
        <v>203.66126159999999</v>
      </c>
      <c r="AL143" s="3">
        <v>300.59059780000001</v>
      </c>
      <c r="AM143" s="3">
        <v>497.00834270000001</v>
      </c>
      <c r="AN143" s="3">
        <v>60.811201599999997</v>
      </c>
      <c r="AO143" s="3">
        <v>200.900419</v>
      </c>
      <c r="AP143" s="48" t="s">
        <v>314</v>
      </c>
      <c r="AQ143" s="49" t="s">
        <v>344</v>
      </c>
      <c r="AR143" s="3">
        <v>824.1194352</v>
      </c>
      <c r="AS143" s="3">
        <v>1036.0419629999999</v>
      </c>
      <c r="AT143" s="3">
        <v>987.41050529999995</v>
      </c>
      <c r="AU143" s="3">
        <v>775.67902230000004</v>
      </c>
      <c r="AV143" s="3">
        <v>137.67880500000001</v>
      </c>
      <c r="AW143" s="3">
        <v>1406.634575</v>
      </c>
      <c r="AX143" s="3">
        <v>867.48952020000002</v>
      </c>
      <c r="AY143" s="3">
        <v>1370.0535</v>
      </c>
      <c r="AZ143" s="3">
        <v>491.01216240000002</v>
      </c>
      <c r="BA143" s="3">
        <v>308.98941059999999</v>
      </c>
      <c r="BB143" s="3">
        <v>422.77565850000002</v>
      </c>
      <c r="BC143" s="3">
        <v>145.2597399</v>
      </c>
      <c r="BD143" s="3">
        <v>744.11260589999995</v>
      </c>
      <c r="BE143" s="48" t="s">
        <v>314</v>
      </c>
      <c r="BF143" s="49" t="s">
        <v>344</v>
      </c>
      <c r="BG143" s="3">
        <v>0</v>
      </c>
      <c r="BH143" s="3">
        <v>0.313</v>
      </c>
      <c r="BI143" s="3">
        <v>0.42099999999999999</v>
      </c>
      <c r="BJ143" s="3">
        <v>0</v>
      </c>
      <c r="BK143" s="3">
        <v>0.23100000000000001</v>
      </c>
      <c r="BL143" s="3">
        <v>0.55500000000000005</v>
      </c>
      <c r="BM143" s="3">
        <v>0</v>
      </c>
      <c r="BN143" s="3">
        <v>0.16200000000000001</v>
      </c>
      <c r="BO143" s="3">
        <v>0.34300000000000003</v>
      </c>
      <c r="BP143" s="3">
        <v>0</v>
      </c>
      <c r="BQ143" s="3">
        <v>0.17899999999999999</v>
      </c>
      <c r="BR143" s="3">
        <v>0.222</v>
      </c>
      <c r="BS143" s="3">
        <v>0</v>
      </c>
      <c r="BT143" s="3">
        <v>0.32100000000000001</v>
      </c>
      <c r="BU143" s="3">
        <v>0.50016666700000001</v>
      </c>
      <c r="BV143" s="3">
        <v>0</v>
      </c>
      <c r="BW143" s="3">
        <v>0.20499999999999999</v>
      </c>
      <c r="BX143" s="3">
        <v>0.26900000000000002</v>
      </c>
      <c r="BY143" s="3">
        <v>0</v>
      </c>
      <c r="BZ143" s="3">
        <v>0.152</v>
      </c>
      <c r="CA143" s="3">
        <v>0.64749999999999996</v>
      </c>
      <c r="CB143" s="3">
        <v>0</v>
      </c>
      <c r="CC143" s="3">
        <v>0.40899999999999997</v>
      </c>
      <c r="CD143" s="3">
        <v>0.57933333300000001</v>
      </c>
      <c r="CE143" s="3">
        <v>0</v>
      </c>
      <c r="CF143" s="3">
        <v>0.36699999999999999</v>
      </c>
      <c r="CG143" s="3">
        <v>0.7</v>
      </c>
      <c r="CH143" s="3">
        <v>0</v>
      </c>
      <c r="CI143" s="3">
        <v>0.36699999999999999</v>
      </c>
      <c r="CJ143" s="3">
        <v>0.51133333299999995</v>
      </c>
      <c r="CK143" s="3">
        <v>0</v>
      </c>
      <c r="CL143" s="3">
        <v>0.33700000000000002</v>
      </c>
      <c r="CM143" s="3">
        <v>0.1</v>
      </c>
      <c r="CN143" s="3">
        <v>0</v>
      </c>
      <c r="CO143" s="3">
        <v>0.125</v>
      </c>
      <c r="CP143" s="3">
        <v>0.28433333300000002</v>
      </c>
      <c r="CQ143" s="3">
        <v>0</v>
      </c>
      <c r="CR143" s="3">
        <v>0.19</v>
      </c>
      <c r="CS143" s="3">
        <v>0.28899999999999998</v>
      </c>
      <c r="CT143" s="48" t="s">
        <v>314</v>
      </c>
      <c r="CU143" s="49" t="s">
        <v>344</v>
      </c>
      <c r="CV143" s="3">
        <v>7.32</v>
      </c>
      <c r="CW143" s="3">
        <v>7.702</v>
      </c>
      <c r="CX143" s="3">
        <v>7.4969999999999999</v>
      </c>
      <c r="CY143" s="3">
        <v>6.9139999999999997</v>
      </c>
      <c r="CZ143" s="3">
        <v>7.6710000000000003</v>
      </c>
      <c r="DA143" s="3">
        <v>8.3290000000000006</v>
      </c>
      <c r="DB143" s="3">
        <v>7.1920000000000002</v>
      </c>
      <c r="DC143" s="3">
        <v>9.0609999999999999</v>
      </c>
      <c r="DD143" s="3">
        <v>8.4619999999999997</v>
      </c>
      <c r="DE143" s="3">
        <v>8.4659999999999993</v>
      </c>
      <c r="DF143" s="3">
        <v>9.9260000000000002</v>
      </c>
      <c r="DG143" s="3">
        <v>8.1300000000000008</v>
      </c>
      <c r="DH143" s="3">
        <v>8.8979999999999997</v>
      </c>
    </row>
    <row r="144" spans="1:112" x14ac:dyDescent="0.3">
      <c r="A144" s="48" t="s">
        <v>314</v>
      </c>
      <c r="B144" s="49" t="s">
        <v>345</v>
      </c>
      <c r="C144" s="3">
        <v>36.563417000000001</v>
      </c>
      <c r="D144" s="3">
        <v>30.315284999999999</v>
      </c>
      <c r="E144" s="3">
        <v>22.80124</v>
      </c>
      <c r="F144" s="3">
        <v>36.850788000000001</v>
      </c>
      <c r="G144" s="3">
        <v>36.850788000000001</v>
      </c>
      <c r="H144" s="3">
        <v>30.826091999999999</v>
      </c>
      <c r="I144" s="48" t="s">
        <v>314</v>
      </c>
      <c r="J144" s="49" t="s">
        <v>345</v>
      </c>
      <c r="K144" s="3">
        <v>29798.5</v>
      </c>
      <c r="L144" s="48" t="s">
        <v>314</v>
      </c>
      <c r="M144" s="49" t="s">
        <v>345</v>
      </c>
      <c r="N144" s="3">
        <v>3948.984113</v>
      </c>
      <c r="O144" s="3">
        <v>5068.0273740000002</v>
      </c>
      <c r="P144" s="3">
        <v>1976.3706279999999</v>
      </c>
      <c r="Q144" s="3">
        <v>2235.459343</v>
      </c>
      <c r="R144" s="3">
        <v>5494.571508</v>
      </c>
      <c r="S144" s="3">
        <v>5384.9754229999999</v>
      </c>
      <c r="T144" s="3">
        <v>3121.902157</v>
      </c>
      <c r="U144" s="3">
        <v>4167.072709</v>
      </c>
      <c r="V144" s="3">
        <v>2564.31549</v>
      </c>
      <c r="W144" s="3">
        <v>2818.2631799999999</v>
      </c>
      <c r="X144" s="3">
        <v>4220.891713</v>
      </c>
      <c r="Y144" s="3">
        <v>554.25326089999999</v>
      </c>
      <c r="Z144" s="3">
        <v>2315.7934059999998</v>
      </c>
      <c r="AA144" s="48" t="s">
        <v>314</v>
      </c>
      <c r="AB144" s="49" t="s">
        <v>345</v>
      </c>
      <c r="AC144" s="3">
        <v>386.79243659999997</v>
      </c>
      <c r="AD144" s="3">
        <v>347.78394059999999</v>
      </c>
      <c r="AE144" s="3">
        <v>220.7838419</v>
      </c>
      <c r="AF144" s="3">
        <v>71.983853249999996</v>
      </c>
      <c r="AG144" s="3">
        <v>673.06506179999997</v>
      </c>
      <c r="AH144" s="3">
        <v>464.36001299999998</v>
      </c>
      <c r="AI144" s="3">
        <v>446.81668930000001</v>
      </c>
      <c r="AJ144" s="3">
        <v>465.3504466</v>
      </c>
      <c r="AK144" s="3">
        <v>194.3757938</v>
      </c>
      <c r="AL144" s="3">
        <v>286.88585929999999</v>
      </c>
      <c r="AM144" s="3">
        <v>474.34838780000001</v>
      </c>
      <c r="AN144" s="3">
        <v>58.038654409999999</v>
      </c>
      <c r="AO144" s="3">
        <v>191.74082540000001</v>
      </c>
      <c r="AP144" s="48" t="s">
        <v>314</v>
      </c>
      <c r="AQ144" s="49" t="s">
        <v>345</v>
      </c>
      <c r="AR144" s="3">
        <v>770.759184</v>
      </c>
      <c r="AS144" s="3">
        <v>968.96010899999999</v>
      </c>
      <c r="AT144" s="3">
        <v>923.47745099999997</v>
      </c>
      <c r="AU144" s="3">
        <v>738.74192600000003</v>
      </c>
      <c r="AV144" s="3">
        <v>128.76435000000001</v>
      </c>
      <c r="AW144" s="3">
        <v>1315.5575160000001</v>
      </c>
      <c r="AX144" s="3">
        <v>811.32113400000003</v>
      </c>
      <c r="AY144" s="3">
        <v>1281.345</v>
      </c>
      <c r="AZ144" s="3">
        <v>459.22000800000001</v>
      </c>
      <c r="BA144" s="3">
        <v>288.98290200000002</v>
      </c>
      <c r="BB144" s="3">
        <v>395.40169500000002</v>
      </c>
      <c r="BC144" s="3">
        <v>135.854433</v>
      </c>
      <c r="BD144" s="3">
        <v>695.93265299999996</v>
      </c>
      <c r="BE144" s="48" t="s">
        <v>314</v>
      </c>
      <c r="BF144" s="49" t="s">
        <v>345</v>
      </c>
      <c r="BG144" s="3">
        <v>0</v>
      </c>
      <c r="BH144" s="3">
        <v>0.26300000000000001</v>
      </c>
      <c r="BI144" s="3">
        <v>0.39050000000000001</v>
      </c>
      <c r="BJ144" s="3">
        <v>0</v>
      </c>
      <c r="BK144" s="3">
        <v>0.185</v>
      </c>
      <c r="BL144" s="3">
        <v>0.46700000000000003</v>
      </c>
      <c r="BM144" s="3">
        <v>0</v>
      </c>
      <c r="BN144" s="3">
        <v>0.129</v>
      </c>
      <c r="BO144" s="3">
        <v>0.28749999999999998</v>
      </c>
      <c r="BP144" s="3">
        <v>0</v>
      </c>
      <c r="BQ144" s="3">
        <v>0.16</v>
      </c>
      <c r="BR144" s="3">
        <v>0.212666667</v>
      </c>
      <c r="BS144" s="3">
        <v>0</v>
      </c>
      <c r="BT144" s="3">
        <v>0.27800000000000002</v>
      </c>
      <c r="BU144" s="3">
        <v>0.45658333400000001</v>
      </c>
      <c r="BV144" s="3">
        <v>0</v>
      </c>
      <c r="BW144" s="3">
        <v>0.184</v>
      </c>
      <c r="BX144" s="3">
        <v>0.26700000000000002</v>
      </c>
      <c r="BY144" s="3">
        <v>0</v>
      </c>
      <c r="BZ144" s="3">
        <v>0.16200000000000001</v>
      </c>
      <c r="CA144" s="3">
        <v>0.65500000000000003</v>
      </c>
      <c r="CB144" s="3">
        <v>0</v>
      </c>
      <c r="CC144" s="3">
        <v>0.34699999999999998</v>
      </c>
      <c r="CD144" s="3">
        <v>0.52266666699999997</v>
      </c>
      <c r="CE144" s="3">
        <v>0</v>
      </c>
      <c r="CF144" s="3">
        <v>0.312</v>
      </c>
      <c r="CG144" s="3">
        <v>0.61899999999999999</v>
      </c>
      <c r="CH144" s="3">
        <v>0</v>
      </c>
      <c r="CI144" s="3">
        <v>0.312</v>
      </c>
      <c r="CJ144" s="3">
        <v>0.53733333299999997</v>
      </c>
      <c r="CK144" s="3">
        <v>0</v>
      </c>
      <c r="CL144" s="3">
        <v>0.30199999999999999</v>
      </c>
      <c r="CM144" s="3">
        <v>0.1</v>
      </c>
      <c r="CN144" s="3">
        <v>0</v>
      </c>
      <c r="CO144" s="3">
        <v>0.11799999999999999</v>
      </c>
      <c r="CP144" s="3">
        <v>0.261333333</v>
      </c>
      <c r="CQ144" s="3">
        <v>0</v>
      </c>
      <c r="CR144" s="3">
        <v>0.185</v>
      </c>
      <c r="CS144" s="3">
        <v>0.26600000000000001</v>
      </c>
      <c r="CT144" s="48" t="s">
        <v>314</v>
      </c>
      <c r="CU144" s="49" t="s">
        <v>345</v>
      </c>
      <c r="CV144" s="3">
        <v>7.2619999999999996</v>
      </c>
      <c r="CW144" s="3">
        <v>7.4059999999999997</v>
      </c>
      <c r="CX144" s="3">
        <v>7.2859999999999996</v>
      </c>
      <c r="CY144" s="3">
        <v>6.2510000000000003</v>
      </c>
      <c r="CZ144" s="3">
        <v>7.23</v>
      </c>
      <c r="DA144" s="3">
        <v>7.71</v>
      </c>
      <c r="DB144" s="3">
        <v>7.1769999999999996</v>
      </c>
      <c r="DC144" s="3">
        <v>8.8759999999999994</v>
      </c>
      <c r="DD144" s="3">
        <v>8.0009999999999994</v>
      </c>
      <c r="DE144" s="3">
        <v>8.0009999999999994</v>
      </c>
      <c r="DF144" s="3">
        <v>9.4550000000000001</v>
      </c>
      <c r="DG144" s="3">
        <v>7.2729999999999997</v>
      </c>
      <c r="DH144" s="3">
        <v>8.0380000000000003</v>
      </c>
    </row>
    <row r="145" spans="1:112" x14ac:dyDescent="0.3">
      <c r="A145" s="48" t="s">
        <v>314</v>
      </c>
      <c r="B145" s="49" t="s">
        <v>346</v>
      </c>
      <c r="C145" s="3">
        <v>26.806263000000001</v>
      </c>
      <c r="D145" s="3">
        <v>24.962916</v>
      </c>
      <c r="E145" s="3">
        <v>37.318522999999999</v>
      </c>
      <c r="F145" s="3">
        <v>35.853402000000003</v>
      </c>
      <c r="G145" s="3">
        <v>15.118271999999999</v>
      </c>
      <c r="H145" s="3">
        <v>36.422759999999997</v>
      </c>
      <c r="I145" s="48" t="s">
        <v>314</v>
      </c>
      <c r="J145" s="49" t="s">
        <v>346</v>
      </c>
      <c r="K145" s="3">
        <v>25934</v>
      </c>
      <c r="L145" s="48" t="s">
        <v>314</v>
      </c>
      <c r="M145" s="49" t="s">
        <v>346</v>
      </c>
      <c r="N145" s="3">
        <v>3138.5476760000001</v>
      </c>
      <c r="O145" s="3">
        <v>3925.6875049999999</v>
      </c>
      <c r="P145" s="3">
        <v>1204.1535180000001</v>
      </c>
      <c r="Q145" s="3">
        <v>1664.498306</v>
      </c>
      <c r="R145" s="3">
        <v>4653.717431</v>
      </c>
      <c r="S145" s="3">
        <v>4158.6014910000004</v>
      </c>
      <c r="T145" s="3">
        <v>2208.0606149999999</v>
      </c>
      <c r="U145" s="3">
        <v>2928.9762930000002</v>
      </c>
      <c r="V145" s="3">
        <v>1667.3518079999999</v>
      </c>
      <c r="W145" s="3">
        <v>2162.4686799999999</v>
      </c>
      <c r="X145" s="3">
        <v>3314.952213</v>
      </c>
      <c r="Y145" s="3">
        <v>438.61783120000001</v>
      </c>
      <c r="Z145" s="3">
        <v>1750.2874899999999</v>
      </c>
      <c r="AA145" s="48" t="s">
        <v>314</v>
      </c>
      <c r="AB145" s="49" t="s">
        <v>346</v>
      </c>
      <c r="AC145" s="3">
        <v>346.14227599999998</v>
      </c>
      <c r="AD145" s="3">
        <v>311.23339900000002</v>
      </c>
      <c r="AE145" s="3">
        <v>197.5804445</v>
      </c>
      <c r="AF145" s="3">
        <v>62.535972510000001</v>
      </c>
      <c r="AG145" s="3">
        <v>602.32892479999998</v>
      </c>
      <c r="AH145" s="3">
        <v>415.55784599999998</v>
      </c>
      <c r="AI145" s="3">
        <v>399.85824739999998</v>
      </c>
      <c r="AJ145" s="3">
        <v>416.44418949999999</v>
      </c>
      <c r="AK145" s="3">
        <v>173.94776450000001</v>
      </c>
      <c r="AL145" s="3">
        <v>256.73543460000002</v>
      </c>
      <c r="AM145" s="3">
        <v>424.49648719999999</v>
      </c>
      <c r="AN145" s="3">
        <v>51.939050610000002</v>
      </c>
      <c r="AO145" s="3">
        <v>171.5897196</v>
      </c>
      <c r="AP145" s="48" t="s">
        <v>314</v>
      </c>
      <c r="AQ145" s="49" t="s">
        <v>346</v>
      </c>
      <c r="AR145" s="3">
        <v>666.01498719999995</v>
      </c>
      <c r="AS145" s="3">
        <v>837.28091470000004</v>
      </c>
      <c r="AT145" s="3">
        <v>797.97923330000003</v>
      </c>
      <c r="AU145" s="3">
        <v>647.37121409999997</v>
      </c>
      <c r="AV145" s="3">
        <v>111.26560499999999</v>
      </c>
      <c r="AW145" s="3">
        <v>1136.776623</v>
      </c>
      <c r="AX145" s="3">
        <v>701.06467220000002</v>
      </c>
      <c r="AY145" s="3">
        <v>1107.2135000000001</v>
      </c>
      <c r="AZ145" s="3">
        <v>396.81318640000001</v>
      </c>
      <c r="BA145" s="3">
        <v>249.7108666</v>
      </c>
      <c r="BB145" s="3">
        <v>341.6676185</v>
      </c>
      <c r="BC145" s="3">
        <v>117.3921639</v>
      </c>
      <c r="BD145" s="3">
        <v>601.35718989999998</v>
      </c>
      <c r="BE145" s="48" t="s">
        <v>314</v>
      </c>
      <c r="BF145" s="49" t="s">
        <v>346</v>
      </c>
      <c r="BG145" s="3">
        <v>0</v>
      </c>
      <c r="BH145" s="3">
        <v>0.214</v>
      </c>
      <c r="BI145" s="3">
        <v>0.33900000000000002</v>
      </c>
      <c r="BJ145" s="3">
        <v>0</v>
      </c>
      <c r="BK145" s="3">
        <v>0.151</v>
      </c>
      <c r="BL145" s="3">
        <v>0.36449999999999999</v>
      </c>
      <c r="BM145" s="3">
        <v>0</v>
      </c>
      <c r="BN145" s="3">
        <v>9.4E-2</v>
      </c>
      <c r="BO145" s="3">
        <v>0.2185</v>
      </c>
      <c r="BP145" s="3">
        <v>0</v>
      </c>
      <c r="BQ145" s="3">
        <v>0.13300000000000001</v>
      </c>
      <c r="BR145" s="3">
        <v>0.194333333</v>
      </c>
      <c r="BS145" s="3">
        <v>0</v>
      </c>
      <c r="BT145" s="3">
        <v>0.24099999999999999</v>
      </c>
      <c r="BU145" s="3">
        <v>0.38233333400000002</v>
      </c>
      <c r="BV145" s="3">
        <v>0</v>
      </c>
      <c r="BW145" s="3">
        <v>0.14399999999999999</v>
      </c>
      <c r="BX145" s="3">
        <v>0.23499999999999999</v>
      </c>
      <c r="BY145" s="3">
        <v>0</v>
      </c>
      <c r="BZ145" s="3">
        <v>0.16800000000000001</v>
      </c>
      <c r="CA145" s="3">
        <v>0.62749999999999995</v>
      </c>
      <c r="CB145" s="3">
        <v>0</v>
      </c>
      <c r="CC145" s="3">
        <v>0.27200000000000002</v>
      </c>
      <c r="CD145" s="3">
        <v>0.425666667</v>
      </c>
      <c r="CE145" s="3">
        <v>0</v>
      </c>
      <c r="CF145" s="3">
        <v>0.27400000000000002</v>
      </c>
      <c r="CG145" s="3">
        <v>0.4955</v>
      </c>
      <c r="CH145" s="3">
        <v>0</v>
      </c>
      <c r="CI145" s="3">
        <v>0.27300000000000002</v>
      </c>
      <c r="CJ145" s="3">
        <v>0.53833333299999997</v>
      </c>
      <c r="CK145" s="3">
        <v>0</v>
      </c>
      <c r="CL145" s="3">
        <v>0.26900000000000002</v>
      </c>
      <c r="CM145" s="3">
        <v>0.1</v>
      </c>
      <c r="CN145" s="3">
        <v>0</v>
      </c>
      <c r="CO145" s="3">
        <v>0.105</v>
      </c>
      <c r="CP145" s="3">
        <v>0.22866666699999999</v>
      </c>
      <c r="CQ145" s="3">
        <v>0</v>
      </c>
      <c r="CR145" s="3">
        <v>0.17399999999999999</v>
      </c>
      <c r="CS145" s="3">
        <v>0.23599999999999999</v>
      </c>
      <c r="CT145" s="48" t="s">
        <v>314</v>
      </c>
      <c r="CU145" s="49" t="s">
        <v>346</v>
      </c>
      <c r="CV145" s="3">
        <v>7.26</v>
      </c>
      <c r="CW145" s="3">
        <v>7.1669999999999998</v>
      </c>
      <c r="CX145" s="3">
        <v>7.0810000000000004</v>
      </c>
      <c r="CY145" s="3">
        <v>5.1740000000000004</v>
      </c>
      <c r="CZ145" s="3">
        <v>6.9340000000000002</v>
      </c>
      <c r="DA145" s="3">
        <v>6.6470000000000002</v>
      </c>
      <c r="DB145" s="3">
        <v>7.1710000000000003</v>
      </c>
      <c r="DC145" s="3">
        <v>8.76</v>
      </c>
      <c r="DD145" s="3">
        <v>7.6059999999999999</v>
      </c>
      <c r="DE145" s="3">
        <v>7.6040000000000001</v>
      </c>
      <c r="DF145" s="3">
        <v>8.6660000000000004</v>
      </c>
      <c r="DG145" s="3">
        <v>6.3959999999999999</v>
      </c>
      <c r="DH145" s="3">
        <v>7.2460000000000004</v>
      </c>
    </row>
    <row r="146" spans="1:112" x14ac:dyDescent="0.3">
      <c r="A146" s="48" t="s">
        <v>314</v>
      </c>
      <c r="B146" s="49" t="s">
        <v>347</v>
      </c>
      <c r="C146" s="3">
        <v>31.025973</v>
      </c>
      <c r="D146" s="3">
        <v>20.795027000000001</v>
      </c>
      <c r="E146" s="3">
        <v>31.418331999999999</v>
      </c>
      <c r="F146" s="3">
        <v>35.109737000000003</v>
      </c>
      <c r="G146" s="3">
        <v>35.109737000000003</v>
      </c>
      <c r="H146" s="3">
        <v>29.989553000000001</v>
      </c>
      <c r="I146" s="48" t="s">
        <v>314</v>
      </c>
      <c r="J146" s="49" t="s">
        <v>347</v>
      </c>
      <c r="K146" s="3">
        <v>24325</v>
      </c>
      <c r="L146" s="48" t="s">
        <v>314</v>
      </c>
      <c r="M146" s="49" t="s">
        <v>347</v>
      </c>
      <c r="N146" s="3">
        <v>2047.518112</v>
      </c>
      <c r="O146" s="3">
        <v>2555.3851169999998</v>
      </c>
      <c r="P146" s="3">
        <v>584.76387460000001</v>
      </c>
      <c r="Q146" s="3">
        <v>959.92071450000003</v>
      </c>
      <c r="R146" s="3">
        <v>3504.475398</v>
      </c>
      <c r="S146" s="3">
        <v>2729.5975389999999</v>
      </c>
      <c r="T146" s="3">
        <v>1384.871382</v>
      </c>
      <c r="U146" s="3">
        <v>1540.3433769999999</v>
      </c>
      <c r="V146" s="3">
        <v>978.41191990000004</v>
      </c>
      <c r="W146" s="3">
        <v>1382.1648049999999</v>
      </c>
      <c r="X146" s="3">
        <v>2263.2425659999999</v>
      </c>
      <c r="Y146" s="3">
        <v>317.72384620000003</v>
      </c>
      <c r="Z146" s="3">
        <v>1352.744463</v>
      </c>
      <c r="AA146" s="48" t="s">
        <v>314</v>
      </c>
      <c r="AB146" s="49" t="s">
        <v>347</v>
      </c>
      <c r="AC146" s="3">
        <v>316.5785229</v>
      </c>
      <c r="AD146" s="3">
        <v>284.65118699999999</v>
      </c>
      <c r="AE146" s="3">
        <v>180.70524639999999</v>
      </c>
      <c r="AF146" s="3">
        <v>64.785467920000002</v>
      </c>
      <c r="AG146" s="3">
        <v>550.88446139999996</v>
      </c>
      <c r="AH146" s="3">
        <v>380.06536089999997</v>
      </c>
      <c r="AI146" s="3">
        <v>365.70665330000003</v>
      </c>
      <c r="AJ146" s="3">
        <v>380.87600250000003</v>
      </c>
      <c r="AK146" s="3">
        <v>159.0910159</v>
      </c>
      <c r="AL146" s="3">
        <v>234.80785299999999</v>
      </c>
      <c r="AM146" s="3">
        <v>388.24055950000002</v>
      </c>
      <c r="AN146" s="3">
        <v>47.502975110000001</v>
      </c>
      <c r="AO146" s="3">
        <v>156.93436990000001</v>
      </c>
      <c r="AP146" s="48" t="s">
        <v>314</v>
      </c>
      <c r="AQ146" s="49" t="s">
        <v>347</v>
      </c>
      <c r="AR146" s="3">
        <v>583.01015199999995</v>
      </c>
      <c r="AS146" s="3">
        <v>732.93136449999997</v>
      </c>
      <c r="AT146" s="3">
        <v>698.52781549999997</v>
      </c>
      <c r="AU146" s="3">
        <v>587.10542539999994</v>
      </c>
      <c r="AV146" s="3">
        <v>97.398674999999997</v>
      </c>
      <c r="AW146" s="3">
        <v>995.10119799999995</v>
      </c>
      <c r="AX146" s="3">
        <v>613.69162700000004</v>
      </c>
      <c r="AY146" s="3">
        <v>969.22249999999997</v>
      </c>
      <c r="AZ146" s="3">
        <v>347.358724</v>
      </c>
      <c r="BA146" s="3">
        <v>218.589631</v>
      </c>
      <c r="BB146" s="3">
        <v>299.08589749999999</v>
      </c>
      <c r="BC146" s="3">
        <v>102.7616865</v>
      </c>
      <c r="BD146" s="3">
        <v>526.4105965</v>
      </c>
      <c r="BE146" s="48" t="s">
        <v>314</v>
      </c>
      <c r="BF146" s="49" t="s">
        <v>347</v>
      </c>
      <c r="BG146" s="3">
        <v>0</v>
      </c>
      <c r="BH146" s="3">
        <v>0.18099999999999999</v>
      </c>
      <c r="BI146" s="3">
        <v>0.28249999999999997</v>
      </c>
      <c r="BJ146" s="3">
        <v>0</v>
      </c>
      <c r="BK146" s="3">
        <v>0.123</v>
      </c>
      <c r="BL146" s="3">
        <v>0.28499999999999998</v>
      </c>
      <c r="BM146" s="3">
        <v>0</v>
      </c>
      <c r="BN146" s="3">
        <v>5.3999999999999999E-2</v>
      </c>
      <c r="BO146" s="3">
        <v>0.14899999999999999</v>
      </c>
      <c r="BP146" s="3">
        <v>0</v>
      </c>
      <c r="BQ146" s="3">
        <v>9.6000000000000002E-2</v>
      </c>
      <c r="BR146" s="3">
        <v>0.16033333299999999</v>
      </c>
      <c r="BS146" s="3">
        <v>0</v>
      </c>
      <c r="BT146" s="3">
        <v>0.22500000000000001</v>
      </c>
      <c r="BU146" s="3">
        <v>0.29091666700000002</v>
      </c>
      <c r="BV146" s="3">
        <v>0</v>
      </c>
      <c r="BW146" s="3">
        <v>9.2999999999999999E-2</v>
      </c>
      <c r="BX146" s="3">
        <v>0.18099999999999999</v>
      </c>
      <c r="BY146" s="3">
        <v>0</v>
      </c>
      <c r="BZ146" s="3">
        <v>0.16200000000000001</v>
      </c>
      <c r="CA146" s="3">
        <v>0.60199999999999998</v>
      </c>
      <c r="CB146" s="3">
        <v>0</v>
      </c>
      <c r="CC146" s="3">
        <v>0.20499999999999999</v>
      </c>
      <c r="CD146" s="3">
        <v>0.29933333299999998</v>
      </c>
      <c r="CE146" s="3">
        <v>0</v>
      </c>
      <c r="CF146" s="3">
        <v>0.26100000000000001</v>
      </c>
      <c r="CG146" s="3">
        <v>0.3765</v>
      </c>
      <c r="CH146" s="3">
        <v>0</v>
      </c>
      <c r="CI146" s="3">
        <v>0.25900000000000001</v>
      </c>
      <c r="CJ146" s="3">
        <v>0.52533333299999996</v>
      </c>
      <c r="CK146" s="3">
        <v>0</v>
      </c>
      <c r="CL146" s="3">
        <v>0.248</v>
      </c>
      <c r="CM146" s="3">
        <v>0.1</v>
      </c>
      <c r="CN146" s="3">
        <v>0</v>
      </c>
      <c r="CO146" s="3">
        <v>8.5999999999999993E-2</v>
      </c>
      <c r="CP146" s="3">
        <v>0.19166666700000001</v>
      </c>
      <c r="CQ146" s="3">
        <v>0</v>
      </c>
      <c r="CR146" s="3">
        <v>0.16300000000000001</v>
      </c>
      <c r="CS146" s="3">
        <v>0.20799999999999999</v>
      </c>
      <c r="CT146" s="48" t="s">
        <v>314</v>
      </c>
      <c r="CU146" s="49" t="s">
        <v>347</v>
      </c>
      <c r="CV146" s="3">
        <v>7.1950000000000003</v>
      </c>
      <c r="CW146" s="3">
        <v>6.9560000000000004</v>
      </c>
      <c r="CX146" s="3">
        <v>7.0279999999999996</v>
      </c>
      <c r="CY146" s="3">
        <v>4.5339999999999998</v>
      </c>
      <c r="CZ146" s="3">
        <v>6.8159999999999998</v>
      </c>
      <c r="DA146" s="3">
        <v>5.6379999999999999</v>
      </c>
      <c r="DB146" s="3">
        <v>7.1120000000000001</v>
      </c>
      <c r="DC146" s="3">
        <v>8.7799999999999994</v>
      </c>
      <c r="DD146" s="3">
        <v>7.3079999999999998</v>
      </c>
      <c r="DE146" s="3">
        <v>7.3010000000000002</v>
      </c>
      <c r="DF146" s="3">
        <v>7.8369999999999997</v>
      </c>
      <c r="DG146" s="3">
        <v>5.7530000000000001</v>
      </c>
      <c r="DH146" s="3">
        <v>6.5570000000000004</v>
      </c>
    </row>
  </sheetData>
  <hyperlinks>
    <hyperlink ref="P1" location="References!B2" display="Ref" xr:uid="{F483BCAB-6082-46E6-B5F7-2C8CCF8C48B5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D5FE-AB2F-4E34-8A04-275C74EFE0D6}">
  <sheetPr>
    <tabColor rgb="FFECB5ED"/>
  </sheetPr>
  <dimension ref="A2:S146"/>
  <sheetViews>
    <sheetView workbookViewId="0">
      <selection activeCell="G9" sqref="G9:S9"/>
    </sheetView>
  </sheetViews>
  <sheetFormatPr defaultRowHeight="14.4" x14ac:dyDescent="0.3"/>
  <cols>
    <col min="3" max="3" width="15" style="126" customWidth="1"/>
  </cols>
  <sheetData>
    <row r="2" spans="1:19" ht="15.6" x14ac:dyDescent="0.3">
      <c r="A2" s="122"/>
      <c r="B2" s="122"/>
      <c r="C2" s="125" t="s">
        <v>791</v>
      </c>
    </row>
    <row r="3" spans="1:19" ht="15.6" x14ac:dyDescent="0.3">
      <c r="A3" s="123" t="s">
        <v>309</v>
      </c>
      <c r="B3" s="124" t="s">
        <v>324</v>
      </c>
      <c r="C3" s="122">
        <v>0.53506291909468462</v>
      </c>
      <c r="D3" s="125">
        <v>0.74202899899999997</v>
      </c>
      <c r="F3">
        <v>1</v>
      </c>
      <c r="G3">
        <v>2</v>
      </c>
      <c r="H3">
        <v>3</v>
      </c>
      <c r="I3">
        <v>4</v>
      </c>
      <c r="J3">
        <v>5</v>
      </c>
      <c r="K3">
        <v>6</v>
      </c>
    </row>
    <row r="4" spans="1:19" ht="15.6" x14ac:dyDescent="0.3">
      <c r="A4" s="123" t="s">
        <v>309</v>
      </c>
      <c r="B4" s="124" t="s">
        <v>325</v>
      </c>
      <c r="C4" s="122">
        <v>0.48857375261582048</v>
      </c>
      <c r="D4" s="125">
        <v>0.72869808899999999</v>
      </c>
      <c r="F4">
        <v>0</v>
      </c>
      <c r="G4">
        <v>2.65</v>
      </c>
      <c r="H4">
        <f>(G4+I4)/2</f>
        <v>4.25</v>
      </c>
      <c r="I4">
        <v>5.85</v>
      </c>
      <c r="J4">
        <f>(I4+K4)/2</f>
        <v>6.7249999999999996</v>
      </c>
      <c r="K4">
        <v>7.6</v>
      </c>
    </row>
    <row r="5" spans="1:19" ht="15.6" x14ac:dyDescent="0.3">
      <c r="A5" s="123" t="s">
        <v>309</v>
      </c>
      <c r="B5" s="124" t="s">
        <v>326</v>
      </c>
      <c r="C5" s="122">
        <v>0.45364248832941628</v>
      </c>
      <c r="D5" s="125">
        <v>0.72869808899999999</v>
      </c>
    </row>
    <row r="6" spans="1:19" ht="15.6" x14ac:dyDescent="0.3">
      <c r="A6" s="123" t="s">
        <v>309</v>
      </c>
      <c r="B6" s="124" t="s">
        <v>327</v>
      </c>
      <c r="C6" s="122">
        <v>0.42923889539937538</v>
      </c>
      <c r="D6" s="125">
        <v>0.69768015000000005</v>
      </c>
    </row>
    <row r="7" spans="1:19" ht="15.6" x14ac:dyDescent="0.3">
      <c r="A7" s="123" t="s">
        <v>309</v>
      </c>
      <c r="B7" s="124" t="s">
        <v>328</v>
      </c>
      <c r="C7" s="122">
        <v>0.40654162229161972</v>
      </c>
      <c r="D7" s="125">
        <v>0.69402655300000005</v>
      </c>
      <c r="G7" s="127" t="s">
        <v>84</v>
      </c>
      <c r="H7" s="127" t="s">
        <v>85</v>
      </c>
      <c r="I7" s="127" t="s">
        <v>86</v>
      </c>
      <c r="J7" s="127" t="s">
        <v>87</v>
      </c>
      <c r="K7" s="127" t="s">
        <v>88</v>
      </c>
      <c r="L7" s="127" t="s">
        <v>89</v>
      </c>
      <c r="M7" s="127" t="s">
        <v>90</v>
      </c>
      <c r="N7" s="127" t="s">
        <v>91</v>
      </c>
      <c r="O7" s="127" t="s">
        <v>92</v>
      </c>
      <c r="P7" s="127" t="s">
        <v>93</v>
      </c>
      <c r="Q7" s="127" t="s">
        <v>94</v>
      </c>
      <c r="R7" s="127" t="s">
        <v>95</v>
      </c>
      <c r="S7" s="127" t="s">
        <v>96</v>
      </c>
    </row>
    <row r="8" spans="1:19" ht="15.6" x14ac:dyDescent="0.3">
      <c r="A8" s="123" t="s">
        <v>309</v>
      </c>
      <c r="B8" s="124" t="s">
        <v>329</v>
      </c>
      <c r="C8" s="122">
        <v>0.40087535269308783</v>
      </c>
      <c r="D8" s="125">
        <v>0.69309235800000002</v>
      </c>
      <c r="F8">
        <v>2</v>
      </c>
      <c r="G8" s="128">
        <v>1847</v>
      </c>
      <c r="H8" s="128">
        <v>20.96</v>
      </c>
      <c r="I8" s="128">
        <v>14.41</v>
      </c>
      <c r="J8" s="128">
        <v>15.72</v>
      </c>
      <c r="K8" s="128">
        <v>3882</v>
      </c>
      <c r="L8" s="128">
        <v>56.6</v>
      </c>
      <c r="M8" s="128">
        <v>19.649999999999999</v>
      </c>
      <c r="N8" s="128">
        <v>270</v>
      </c>
      <c r="O8" s="128">
        <v>2401</v>
      </c>
      <c r="P8" s="128">
        <v>66.819999999999993</v>
      </c>
      <c r="Q8" s="128">
        <v>20.96</v>
      </c>
      <c r="R8" s="128">
        <v>0</v>
      </c>
      <c r="S8" s="128">
        <v>298.14999999999998</v>
      </c>
    </row>
    <row r="9" spans="1:19" ht="15.6" x14ac:dyDescent="0.3">
      <c r="A9" s="123" t="s">
        <v>309</v>
      </c>
      <c r="B9" s="124" t="s">
        <v>330</v>
      </c>
      <c r="C9" s="122">
        <v>0.40032804256141141</v>
      </c>
      <c r="D9" s="125">
        <v>0.69309235800000002</v>
      </c>
      <c r="F9">
        <v>4</v>
      </c>
      <c r="G9" s="129">
        <v>3500.53</v>
      </c>
      <c r="H9" s="129">
        <v>36.67</v>
      </c>
      <c r="I9" s="129">
        <v>25.21</v>
      </c>
      <c r="J9" s="129">
        <v>27.5</v>
      </c>
      <c r="K9" s="129">
        <v>6791.48</v>
      </c>
      <c r="L9" s="129">
        <v>99.02</v>
      </c>
      <c r="M9" s="129">
        <v>34.380000000000003</v>
      </c>
      <c r="N9" s="129">
        <v>472.36</v>
      </c>
      <c r="O9" s="129">
        <v>4200.5</v>
      </c>
      <c r="P9" s="129">
        <v>116.9</v>
      </c>
      <c r="Q9" s="129">
        <v>36.67</v>
      </c>
      <c r="R9" s="129">
        <v>0</v>
      </c>
      <c r="S9" s="129">
        <v>521.61</v>
      </c>
    </row>
    <row r="10" spans="1:19" ht="15.6" x14ac:dyDescent="0.3">
      <c r="A10" s="123" t="s">
        <v>309</v>
      </c>
      <c r="B10" s="124" t="s">
        <v>331</v>
      </c>
      <c r="C10" s="122">
        <v>0.41120985576768299</v>
      </c>
      <c r="D10" s="125">
        <v>0.69309235800000002</v>
      </c>
      <c r="F10">
        <v>6</v>
      </c>
      <c r="G10" s="129">
        <v>5154.0600000000004</v>
      </c>
      <c r="H10" s="129">
        <v>52.38</v>
      </c>
      <c r="I10" s="129">
        <v>36.01</v>
      </c>
      <c r="J10" s="129">
        <v>39.28</v>
      </c>
      <c r="K10" s="129">
        <v>9700.9599999999991</v>
      </c>
      <c r="L10" s="129">
        <v>141.44</v>
      </c>
      <c r="M10" s="129">
        <v>49.1</v>
      </c>
      <c r="N10" s="129">
        <v>674.72</v>
      </c>
      <c r="O10" s="129">
        <v>6000</v>
      </c>
      <c r="P10" s="129">
        <v>166.98</v>
      </c>
      <c r="Q10" s="129">
        <v>52.38</v>
      </c>
      <c r="R10" s="129">
        <v>0</v>
      </c>
      <c r="S10" s="129">
        <v>745.06</v>
      </c>
    </row>
    <row r="11" spans="1:19" ht="15.6" x14ac:dyDescent="0.3">
      <c r="A11" s="123" t="s">
        <v>309</v>
      </c>
      <c r="B11" s="124" t="s">
        <v>332</v>
      </c>
      <c r="C11" s="122">
        <v>0.4340681024435788</v>
      </c>
      <c r="D11" s="125">
        <v>0.70941274300000001</v>
      </c>
    </row>
    <row r="12" spans="1:19" ht="15.6" x14ac:dyDescent="0.3">
      <c r="A12" s="123" t="s">
        <v>309</v>
      </c>
      <c r="B12" s="124" t="s">
        <v>333</v>
      </c>
      <c r="C12" s="122">
        <v>0.46632720549885709</v>
      </c>
      <c r="D12" s="125">
        <v>0.70941274300000001</v>
      </c>
    </row>
    <row r="13" spans="1:19" ht="15.6" x14ac:dyDescent="0.3">
      <c r="A13" s="123" t="s">
        <v>309</v>
      </c>
      <c r="B13" s="124" t="s">
        <v>334</v>
      </c>
      <c r="C13" s="122">
        <v>0.48999032001545351</v>
      </c>
      <c r="D13" s="125">
        <v>0.74264702900000001</v>
      </c>
      <c r="G13" s="28">
        <v>1</v>
      </c>
      <c r="H13">
        <v>1</v>
      </c>
      <c r="K13" t="s">
        <v>84</v>
      </c>
      <c r="L13">
        <v>134</v>
      </c>
    </row>
    <row r="14" spans="1:19" ht="15.6" x14ac:dyDescent="0.3">
      <c r="A14" s="123" t="s">
        <v>309</v>
      </c>
      <c r="B14" s="124" t="s">
        <v>335</v>
      </c>
      <c r="C14" s="122">
        <v>0.52192747593445155</v>
      </c>
      <c r="D14" s="125">
        <v>0.74264702900000001</v>
      </c>
      <c r="G14" s="28">
        <v>2</v>
      </c>
      <c r="H14">
        <v>2.65</v>
      </c>
      <c r="K14" t="s">
        <v>85</v>
      </c>
      <c r="L14">
        <v>15</v>
      </c>
    </row>
    <row r="15" spans="1:19" ht="15.6" x14ac:dyDescent="0.3">
      <c r="A15" s="123" t="s">
        <v>309</v>
      </c>
      <c r="B15" s="124" t="s">
        <v>336</v>
      </c>
      <c r="C15" s="122">
        <v>0.54955054022729466</v>
      </c>
      <c r="D15" s="125">
        <v>0.74264702900000001</v>
      </c>
      <c r="G15" s="28">
        <v>3</v>
      </c>
      <c r="H15">
        <v>4.25</v>
      </c>
      <c r="K15" t="s">
        <v>86</v>
      </c>
      <c r="L15">
        <v>11</v>
      </c>
    </row>
    <row r="16" spans="1:19" ht="15.6" x14ac:dyDescent="0.3">
      <c r="A16" s="123" t="s">
        <v>309</v>
      </c>
      <c r="B16" s="124" t="s">
        <v>337</v>
      </c>
      <c r="C16" s="122">
        <v>0.56551911818679368</v>
      </c>
      <c r="D16" s="125">
        <v>0.74264702900000001</v>
      </c>
      <c r="G16" s="28">
        <v>4</v>
      </c>
      <c r="H16">
        <v>5.85</v>
      </c>
      <c r="K16" t="s">
        <v>87</v>
      </c>
      <c r="L16">
        <v>12</v>
      </c>
    </row>
    <row r="17" spans="1:12" ht="15.6" x14ac:dyDescent="0.3">
      <c r="A17" s="123" t="s">
        <v>309</v>
      </c>
      <c r="B17" s="124" t="s">
        <v>338</v>
      </c>
      <c r="C17" s="122">
        <v>0.57208683976691022</v>
      </c>
      <c r="D17" s="125">
        <v>0.75055195399999997</v>
      </c>
      <c r="G17" s="28">
        <v>5</v>
      </c>
      <c r="H17">
        <v>6.72</v>
      </c>
      <c r="K17" t="s">
        <v>88</v>
      </c>
      <c r="L17">
        <v>706</v>
      </c>
    </row>
    <row r="18" spans="1:12" ht="15.6" x14ac:dyDescent="0.3">
      <c r="A18" s="123" t="s">
        <v>309</v>
      </c>
      <c r="B18" s="124" t="s">
        <v>339</v>
      </c>
      <c r="C18" s="122">
        <v>0.577527746370046</v>
      </c>
      <c r="D18" s="125">
        <v>0.75074237899999996</v>
      </c>
      <c r="G18" s="28">
        <v>6</v>
      </c>
      <c r="H18">
        <v>7.6</v>
      </c>
      <c r="K18" t="s">
        <v>89</v>
      </c>
      <c r="L18">
        <v>43</v>
      </c>
    </row>
    <row r="19" spans="1:12" ht="15.6" x14ac:dyDescent="0.3">
      <c r="A19" s="123" t="s">
        <v>309</v>
      </c>
      <c r="B19" s="124" t="s">
        <v>340</v>
      </c>
      <c r="C19" s="122">
        <v>0.57282731818035471</v>
      </c>
      <c r="D19" s="125">
        <v>0.75074237899999996</v>
      </c>
      <c r="K19" t="s">
        <v>90</v>
      </c>
      <c r="L19">
        <v>15</v>
      </c>
    </row>
    <row r="20" spans="1:12" ht="15.6" x14ac:dyDescent="0.3">
      <c r="A20" s="123" t="s">
        <v>309</v>
      </c>
      <c r="B20" s="124" t="s">
        <v>341</v>
      </c>
      <c r="C20" s="122">
        <v>0.57070246708090533</v>
      </c>
      <c r="D20" s="125">
        <v>0.75074237899999996</v>
      </c>
      <c r="K20" t="s">
        <v>91</v>
      </c>
      <c r="L20">
        <v>140</v>
      </c>
    </row>
    <row r="21" spans="1:12" ht="15.6" x14ac:dyDescent="0.3">
      <c r="A21" s="123" t="s">
        <v>309</v>
      </c>
      <c r="B21" s="124" t="s">
        <v>342</v>
      </c>
      <c r="C21" s="122">
        <v>0.57524192170245647</v>
      </c>
      <c r="D21" s="125">
        <v>0.75074237899999996</v>
      </c>
      <c r="K21" t="s">
        <v>92</v>
      </c>
      <c r="L21">
        <v>805</v>
      </c>
    </row>
    <row r="22" spans="1:12" ht="15.6" x14ac:dyDescent="0.3">
      <c r="A22" s="123" t="s">
        <v>309</v>
      </c>
      <c r="B22" s="124" t="s">
        <v>343</v>
      </c>
      <c r="C22" s="122">
        <v>0.58879589613985384</v>
      </c>
      <c r="D22" s="125">
        <v>0.74797271899999995</v>
      </c>
      <c r="K22" t="s">
        <v>93</v>
      </c>
      <c r="L22">
        <v>51</v>
      </c>
    </row>
    <row r="23" spans="1:12" ht="15.6" x14ac:dyDescent="0.3">
      <c r="A23" s="123" t="s">
        <v>309</v>
      </c>
      <c r="B23" s="124" t="s">
        <v>344</v>
      </c>
      <c r="C23" s="122">
        <v>0.5953958124335984</v>
      </c>
      <c r="D23" s="125">
        <v>0.74797271899999995</v>
      </c>
      <c r="K23" t="s">
        <v>94</v>
      </c>
      <c r="L23">
        <v>16</v>
      </c>
    </row>
    <row r="24" spans="1:12" ht="15.6" x14ac:dyDescent="0.3">
      <c r="A24" s="123" t="s">
        <v>309</v>
      </c>
      <c r="B24" s="124" t="s">
        <v>345</v>
      </c>
      <c r="C24" s="122">
        <v>0.61719163355976947</v>
      </c>
      <c r="D24" s="125">
        <v>0.70763226499999998</v>
      </c>
      <c r="K24" t="s">
        <v>95</v>
      </c>
      <c r="L24">
        <v>0</v>
      </c>
    </row>
    <row r="25" spans="1:12" ht="15.6" x14ac:dyDescent="0.3">
      <c r="A25" s="123" t="s">
        <v>309</v>
      </c>
      <c r="B25" s="124" t="s">
        <v>346</v>
      </c>
      <c r="C25" s="122">
        <v>0.60701810405331436</v>
      </c>
      <c r="D25" s="125">
        <v>0.74337958999999998</v>
      </c>
      <c r="K25" t="s">
        <v>96</v>
      </c>
      <c r="L25">
        <v>184</v>
      </c>
    </row>
    <row r="26" spans="1:12" ht="15.6" x14ac:dyDescent="0.3">
      <c r="A26" s="123" t="s">
        <v>309</v>
      </c>
      <c r="B26" s="124" t="s">
        <v>347</v>
      </c>
      <c r="C26" s="122">
        <v>0.5709922195035575</v>
      </c>
      <c r="D26" s="125">
        <v>0.74337958999999998</v>
      </c>
    </row>
    <row r="27" spans="1:12" ht="15.6" x14ac:dyDescent="0.3">
      <c r="A27" s="123" t="s">
        <v>310</v>
      </c>
      <c r="B27" s="124" t="s">
        <v>324</v>
      </c>
      <c r="C27" s="122">
        <v>0.71229481761694724</v>
      </c>
      <c r="D27" s="125">
        <v>0.65658027399999996</v>
      </c>
    </row>
    <row r="28" spans="1:12" ht="15.6" x14ac:dyDescent="0.3">
      <c r="A28" s="123" t="s">
        <v>310</v>
      </c>
      <c r="B28" s="124" t="s">
        <v>325</v>
      </c>
      <c r="C28" s="122">
        <v>0.64584492868870924</v>
      </c>
      <c r="D28" s="125">
        <v>0.65173290699999997</v>
      </c>
    </row>
    <row r="29" spans="1:12" ht="15.6" x14ac:dyDescent="0.3">
      <c r="A29" s="123" t="s">
        <v>310</v>
      </c>
      <c r="B29" s="124" t="s">
        <v>326</v>
      </c>
      <c r="C29" s="122">
        <v>0.59253048292070443</v>
      </c>
      <c r="D29" s="125">
        <v>0.64714346899999997</v>
      </c>
    </row>
    <row r="30" spans="1:12" ht="15.6" x14ac:dyDescent="0.3">
      <c r="A30" s="123" t="s">
        <v>310</v>
      </c>
      <c r="B30" s="124" t="s">
        <v>327</v>
      </c>
      <c r="C30" s="122">
        <v>0.55737385563890407</v>
      </c>
      <c r="D30" s="125">
        <v>0.64714346899999997</v>
      </c>
    </row>
    <row r="31" spans="1:12" ht="15.6" x14ac:dyDescent="0.3">
      <c r="A31" s="123" t="s">
        <v>310</v>
      </c>
      <c r="B31" s="124" t="s">
        <v>328</v>
      </c>
      <c r="C31" s="122">
        <v>0.54340134992434241</v>
      </c>
      <c r="D31" s="125">
        <v>0.64714346899999997</v>
      </c>
    </row>
    <row r="32" spans="1:12" ht="15.6" x14ac:dyDescent="0.3">
      <c r="A32" s="123" t="s">
        <v>310</v>
      </c>
      <c r="B32" s="124" t="s">
        <v>329</v>
      </c>
      <c r="C32" s="122">
        <v>0.53847555873925501</v>
      </c>
      <c r="D32" s="125">
        <v>0.64714346899999997</v>
      </c>
    </row>
    <row r="33" spans="1:4" ht="15.6" x14ac:dyDescent="0.3">
      <c r="A33" s="123" t="s">
        <v>310</v>
      </c>
      <c r="B33" s="124" t="s">
        <v>330</v>
      </c>
      <c r="C33" s="122">
        <v>0.5481017781140336</v>
      </c>
      <c r="D33" s="125">
        <v>0.64059871800000001</v>
      </c>
    </row>
    <row r="34" spans="1:4" ht="15.6" x14ac:dyDescent="0.3">
      <c r="A34" s="123" t="s">
        <v>310</v>
      </c>
      <c r="B34" s="124" t="s">
        <v>331</v>
      </c>
      <c r="C34" s="122">
        <v>0.57572484240687671</v>
      </c>
      <c r="D34" s="125">
        <v>0.63347619899999996</v>
      </c>
    </row>
    <row r="35" spans="1:4" ht="15.6" x14ac:dyDescent="0.3">
      <c r="A35" s="123" t="s">
        <v>310</v>
      </c>
      <c r="B35" s="124" t="s">
        <v>332</v>
      </c>
      <c r="C35" s="122">
        <v>0.64214253662148668</v>
      </c>
      <c r="D35" s="125">
        <v>0.63347619899999996</v>
      </c>
    </row>
    <row r="36" spans="1:4" ht="15.6" x14ac:dyDescent="0.3">
      <c r="A36" s="123" t="s">
        <v>310</v>
      </c>
      <c r="B36" s="124" t="s">
        <v>333</v>
      </c>
      <c r="C36" s="122">
        <v>0.73682718940150027</v>
      </c>
      <c r="D36" s="125">
        <v>0.63347619899999996</v>
      </c>
    </row>
    <row r="37" spans="1:4" ht="15.6" x14ac:dyDescent="0.3">
      <c r="A37" s="123" t="s">
        <v>310</v>
      </c>
      <c r="B37" s="124" t="s">
        <v>334</v>
      </c>
      <c r="C37" s="122">
        <v>0.7910108924374617</v>
      </c>
      <c r="D37" s="125">
        <v>0.300766268</v>
      </c>
    </row>
    <row r="38" spans="1:4" ht="15.6" x14ac:dyDescent="0.3">
      <c r="A38" s="123" t="s">
        <v>310</v>
      </c>
      <c r="B38" s="124" t="s">
        <v>335</v>
      </c>
      <c r="C38" s="122">
        <v>0.78528023341167374</v>
      </c>
      <c r="D38" s="125">
        <v>0.300766268</v>
      </c>
    </row>
    <row r="39" spans="1:4" ht="15.6" x14ac:dyDescent="0.3">
      <c r="A39" s="123" t="s">
        <v>310</v>
      </c>
      <c r="B39" s="124" t="s">
        <v>336</v>
      </c>
      <c r="C39" s="122">
        <v>0.76786289333891367</v>
      </c>
      <c r="D39" s="125">
        <v>0.300766268</v>
      </c>
    </row>
    <row r="40" spans="1:4" ht="15.6" x14ac:dyDescent="0.3">
      <c r="A40" s="123" t="s">
        <v>310</v>
      </c>
      <c r="B40" s="124" t="s">
        <v>337</v>
      </c>
      <c r="C40" s="122">
        <v>0.7592347100866037</v>
      </c>
      <c r="D40" s="125">
        <v>0.300766268</v>
      </c>
    </row>
    <row r="41" spans="1:4" ht="15.6" x14ac:dyDescent="0.3">
      <c r="A41" s="123" t="s">
        <v>310</v>
      </c>
      <c r="B41" s="124" t="s">
        <v>338</v>
      </c>
      <c r="C41" s="122">
        <v>0.74819192331219209</v>
      </c>
      <c r="D41" s="125">
        <v>0.300766268</v>
      </c>
    </row>
    <row r="42" spans="1:4" ht="15.6" x14ac:dyDescent="0.3">
      <c r="A42" s="123" t="s">
        <v>310</v>
      </c>
      <c r="B42" s="124" t="s">
        <v>339</v>
      </c>
      <c r="C42" s="122">
        <v>0.73653743697884799</v>
      </c>
      <c r="D42" s="125">
        <v>0.301882818</v>
      </c>
    </row>
    <row r="43" spans="1:4" ht="15.6" x14ac:dyDescent="0.3">
      <c r="A43" s="123" t="s">
        <v>310</v>
      </c>
      <c r="B43" s="124" t="s">
        <v>340</v>
      </c>
      <c r="C43" s="122">
        <v>0.73009849425324358</v>
      </c>
      <c r="D43" s="125">
        <v>0.300766268</v>
      </c>
    </row>
    <row r="44" spans="1:4" ht="15.6" x14ac:dyDescent="0.3">
      <c r="A44" s="123" t="s">
        <v>310</v>
      </c>
      <c r="B44" s="124" t="s">
        <v>341</v>
      </c>
      <c r="C44" s="122">
        <v>0.73805058851936511</v>
      </c>
      <c r="D44" s="125">
        <v>0.30072683300000003</v>
      </c>
    </row>
    <row r="45" spans="1:4" ht="15.6" x14ac:dyDescent="0.3">
      <c r="A45" s="123" t="s">
        <v>310</v>
      </c>
      <c r="B45" s="124" t="s">
        <v>342</v>
      </c>
      <c r="C45" s="122">
        <v>0.77381891536009784</v>
      </c>
      <c r="D45" s="125">
        <v>0.66132132899999996</v>
      </c>
    </row>
    <row r="46" spans="1:4" ht="15.6" x14ac:dyDescent="0.3">
      <c r="A46" s="123" t="s">
        <v>310</v>
      </c>
      <c r="B46" s="124" t="s">
        <v>343</v>
      </c>
      <c r="C46" s="122">
        <v>0.8511506174946073</v>
      </c>
      <c r="D46" s="125">
        <v>0.63900456299999997</v>
      </c>
    </row>
    <row r="47" spans="1:4" ht="15.6" x14ac:dyDescent="0.3">
      <c r="A47" s="123" t="s">
        <v>310</v>
      </c>
      <c r="B47" s="124" t="s">
        <v>344</v>
      </c>
      <c r="C47" s="122">
        <v>0.90250118573130289</v>
      </c>
      <c r="D47" s="125">
        <v>0.64927738700000004</v>
      </c>
    </row>
    <row r="48" spans="1:4" ht="15.6" x14ac:dyDescent="0.3">
      <c r="A48" s="123" t="s">
        <v>310</v>
      </c>
      <c r="B48" s="124" t="s">
        <v>345</v>
      </c>
      <c r="C48" s="122">
        <v>0.85169792762628371</v>
      </c>
      <c r="D48" s="125">
        <v>0.64927738700000004</v>
      </c>
    </row>
    <row r="49" spans="1:4" ht="15.6" x14ac:dyDescent="0.3">
      <c r="A49" s="123" t="s">
        <v>310</v>
      </c>
      <c r="B49" s="124" t="s">
        <v>346</v>
      </c>
      <c r="C49" s="122">
        <v>0.78367049773027264</v>
      </c>
      <c r="D49" s="125">
        <v>0.63982945400000002</v>
      </c>
    </row>
    <row r="50" spans="1:4" ht="15.6" x14ac:dyDescent="0.3">
      <c r="A50" s="123" t="s">
        <v>310</v>
      </c>
      <c r="B50" s="124" t="s">
        <v>347</v>
      </c>
      <c r="C50" s="122">
        <v>0.75492061846044878</v>
      </c>
      <c r="D50" s="125">
        <v>0.63982945400000002</v>
      </c>
    </row>
    <row r="51" spans="1:4" ht="15.6" x14ac:dyDescent="0.3">
      <c r="A51" s="123" t="s">
        <v>311</v>
      </c>
      <c r="B51" s="124" t="s">
        <v>324</v>
      </c>
      <c r="C51" s="122">
        <v>0.65250923440970987</v>
      </c>
      <c r="D51" s="125">
        <v>0.67432828899999997</v>
      </c>
    </row>
    <row r="52" spans="1:4" ht="15.6" x14ac:dyDescent="0.3">
      <c r="A52" s="123" t="s">
        <v>311</v>
      </c>
      <c r="B52" s="124" t="s">
        <v>325</v>
      </c>
      <c r="C52" s="122">
        <v>0.5914358626573516</v>
      </c>
      <c r="D52" s="125">
        <v>0.68533256300000001</v>
      </c>
    </row>
    <row r="53" spans="1:4" ht="15.6" x14ac:dyDescent="0.3">
      <c r="A53" s="123" t="s">
        <v>311</v>
      </c>
      <c r="B53" s="124" t="s">
        <v>326</v>
      </c>
      <c r="C53" s="122">
        <v>0.54481791732397533</v>
      </c>
      <c r="D53" s="125">
        <v>0.68331399199999998</v>
      </c>
    </row>
    <row r="54" spans="1:4" ht="15.6" x14ac:dyDescent="0.3">
      <c r="A54" s="123" t="s">
        <v>311</v>
      </c>
      <c r="B54" s="124" t="s">
        <v>327</v>
      </c>
      <c r="C54" s="122">
        <v>0.51638998519043178</v>
      </c>
      <c r="D54" s="125">
        <v>0.68680556299999995</v>
      </c>
    </row>
    <row r="55" spans="1:4" ht="15.6" x14ac:dyDescent="0.3">
      <c r="A55" s="123" t="s">
        <v>311</v>
      </c>
      <c r="B55" s="124" t="s">
        <v>328</v>
      </c>
      <c r="C55" s="122">
        <v>0.50525061427513607</v>
      </c>
      <c r="D55" s="125">
        <v>0.68680556299999995</v>
      </c>
    </row>
    <row r="56" spans="1:4" ht="15.6" x14ac:dyDescent="0.3">
      <c r="A56" s="123" t="s">
        <v>311</v>
      </c>
      <c r="B56" s="124" t="s">
        <v>329</v>
      </c>
      <c r="C56" s="122">
        <v>0.50380185216187501</v>
      </c>
      <c r="D56" s="125">
        <v>0.68680556299999995</v>
      </c>
    </row>
    <row r="57" spans="1:4" ht="15.6" x14ac:dyDescent="0.3">
      <c r="A57" s="123" t="s">
        <v>311</v>
      </c>
      <c r="B57" s="124" t="s">
        <v>330</v>
      </c>
      <c r="C57" s="122">
        <v>0.51162516757348442</v>
      </c>
      <c r="D57" s="125">
        <v>0.68258280900000001</v>
      </c>
    </row>
    <row r="58" spans="1:4" ht="15.6" x14ac:dyDescent="0.3">
      <c r="A58" s="123" t="s">
        <v>311</v>
      </c>
      <c r="B58" s="124" t="s">
        <v>331</v>
      </c>
      <c r="C58" s="122">
        <v>0.53908725829818738</v>
      </c>
      <c r="D58" s="125">
        <v>0.68258280900000001</v>
      </c>
    </row>
    <row r="59" spans="1:4" ht="15.6" x14ac:dyDescent="0.3">
      <c r="A59" s="123" t="s">
        <v>311</v>
      </c>
      <c r="B59" s="124" t="s">
        <v>332</v>
      </c>
      <c r="C59" s="122">
        <v>0.60373424326325609</v>
      </c>
      <c r="D59" s="125">
        <v>0.68920073900000001</v>
      </c>
    </row>
    <row r="60" spans="1:4" ht="15.6" x14ac:dyDescent="0.3">
      <c r="A60" s="123" t="s">
        <v>311</v>
      </c>
      <c r="B60" s="124" t="s">
        <v>333</v>
      </c>
      <c r="C60" s="122">
        <v>0.69890181674769003</v>
      </c>
      <c r="D60" s="125">
        <v>0.68955929800000004</v>
      </c>
    </row>
    <row r="61" spans="1:4" ht="15.6" x14ac:dyDescent="0.3">
      <c r="A61" s="123" t="s">
        <v>311</v>
      </c>
      <c r="B61" s="124" t="s">
        <v>334</v>
      </c>
      <c r="C61" s="122">
        <v>0.74658218763079098</v>
      </c>
      <c r="D61" s="125">
        <v>0.68955929800000004</v>
      </c>
    </row>
    <row r="62" spans="1:4" ht="15.6" x14ac:dyDescent="0.3">
      <c r="A62" s="123" t="s">
        <v>311</v>
      </c>
      <c r="B62" s="124" t="s">
        <v>335</v>
      </c>
      <c r="C62" s="122">
        <v>0.73489550658381886</v>
      </c>
      <c r="D62" s="125">
        <v>0.69396988900000001</v>
      </c>
    </row>
    <row r="63" spans="1:4" ht="15.6" x14ac:dyDescent="0.3">
      <c r="A63" s="123" t="s">
        <v>311</v>
      </c>
      <c r="B63" s="124" t="s">
        <v>336</v>
      </c>
      <c r="C63" s="122">
        <v>0.71551428897974945</v>
      </c>
      <c r="D63" s="125">
        <v>0.70076623199999999</v>
      </c>
    </row>
    <row r="64" spans="1:4" ht="15.6" x14ac:dyDescent="0.3">
      <c r="A64" s="123" t="s">
        <v>311</v>
      </c>
      <c r="B64" s="124" t="s">
        <v>337</v>
      </c>
      <c r="C64" s="122">
        <v>0.71103922378545437</v>
      </c>
      <c r="D64" s="125">
        <v>0.70261652799999996</v>
      </c>
    </row>
    <row r="65" spans="1:4" ht="15.6" x14ac:dyDescent="0.3">
      <c r="A65" s="123" t="s">
        <v>311</v>
      </c>
      <c r="B65" s="124" t="s">
        <v>338</v>
      </c>
      <c r="C65" s="122">
        <v>0.70527637004603838</v>
      </c>
      <c r="D65" s="125">
        <v>0.71105095299999999</v>
      </c>
    </row>
    <row r="66" spans="1:4" ht="15.6" x14ac:dyDescent="0.3">
      <c r="A66" s="123" t="s">
        <v>311</v>
      </c>
      <c r="B66" s="124" t="s">
        <v>339</v>
      </c>
      <c r="C66" s="122">
        <v>0.69857986961140972</v>
      </c>
      <c r="D66" s="125">
        <v>0.71105095299999999</v>
      </c>
    </row>
    <row r="67" spans="1:4" ht="15.6" x14ac:dyDescent="0.3">
      <c r="A67" s="123" t="s">
        <v>311</v>
      </c>
      <c r="B67" s="124" t="s">
        <v>340</v>
      </c>
      <c r="C67" s="122">
        <v>0.69156142204050086</v>
      </c>
      <c r="D67" s="125">
        <v>0.72336683199999996</v>
      </c>
    </row>
    <row r="68" spans="1:4" ht="15.6" x14ac:dyDescent="0.3">
      <c r="A68" s="123" t="s">
        <v>311</v>
      </c>
      <c r="B68" s="124" t="s">
        <v>341</v>
      </c>
      <c r="C68" s="122">
        <v>0.69111069604970865</v>
      </c>
      <c r="D68" s="125">
        <v>0.71729581099999995</v>
      </c>
    </row>
    <row r="69" spans="1:4" ht="15.6" x14ac:dyDescent="0.3">
      <c r="A69" s="123" t="s">
        <v>311</v>
      </c>
      <c r="B69" s="124" t="s">
        <v>342</v>
      </c>
      <c r="C69" s="122">
        <v>0.71541770483886546</v>
      </c>
      <c r="D69" s="125">
        <v>0.71123264600000002</v>
      </c>
    </row>
    <row r="70" spans="1:4" ht="15.6" x14ac:dyDescent="0.3">
      <c r="A70" s="123" t="s">
        <v>311</v>
      </c>
      <c r="B70" s="124" t="s">
        <v>343</v>
      </c>
      <c r="C70" s="122">
        <v>0.75553231801938114</v>
      </c>
      <c r="D70" s="125">
        <v>0.702601425</v>
      </c>
    </row>
    <row r="71" spans="1:4" ht="15.6" x14ac:dyDescent="0.3">
      <c r="A71" s="123" t="s">
        <v>311</v>
      </c>
      <c r="B71" s="124" t="s">
        <v>344</v>
      </c>
      <c r="C71" s="122">
        <v>0.80771994881040532</v>
      </c>
      <c r="D71" s="125">
        <v>0.69930657100000004</v>
      </c>
    </row>
    <row r="72" spans="1:4" ht="15.6" x14ac:dyDescent="0.3">
      <c r="A72" s="123" t="s">
        <v>311</v>
      </c>
      <c r="B72" s="124" t="s">
        <v>345</v>
      </c>
      <c r="C72" s="122">
        <v>0.78566656997521001</v>
      </c>
      <c r="D72" s="125">
        <v>0.69012753999999998</v>
      </c>
    </row>
    <row r="73" spans="1:4" ht="15.6" x14ac:dyDescent="0.3">
      <c r="A73" s="123" t="s">
        <v>311</v>
      </c>
      <c r="B73" s="124" t="s">
        <v>346</v>
      </c>
      <c r="C73" s="122">
        <v>0.72504392421364405</v>
      </c>
      <c r="D73" s="125">
        <v>0.686641952</v>
      </c>
    </row>
    <row r="74" spans="1:4" ht="15.6" x14ac:dyDescent="0.3">
      <c r="A74" s="123" t="s">
        <v>311</v>
      </c>
      <c r="B74" s="124" t="s">
        <v>347</v>
      </c>
      <c r="C74" s="122">
        <v>0.69082094362705637</v>
      </c>
      <c r="D74" s="125">
        <v>0.686641952</v>
      </c>
    </row>
    <row r="75" spans="1:4" ht="15.6" x14ac:dyDescent="0.3">
      <c r="A75" s="123" t="s">
        <v>312</v>
      </c>
      <c r="B75" s="124" t="s">
        <v>324</v>
      </c>
      <c r="C75" s="122">
        <v>0.60457130581758467</v>
      </c>
      <c r="D75" s="125">
        <v>0.67450229100000003</v>
      </c>
    </row>
    <row r="76" spans="1:4" ht="15.6" x14ac:dyDescent="0.3">
      <c r="A76" s="123" t="s">
        <v>312</v>
      </c>
      <c r="B76" s="124" t="s">
        <v>325</v>
      </c>
      <c r="C76" s="122">
        <v>0.54881006181385017</v>
      </c>
      <c r="D76" s="125">
        <v>0.67450229100000003</v>
      </c>
    </row>
    <row r="77" spans="1:4" ht="15.6" x14ac:dyDescent="0.3">
      <c r="A77" s="123" t="s">
        <v>312</v>
      </c>
      <c r="B77" s="124" t="s">
        <v>326</v>
      </c>
      <c r="C77" s="122">
        <v>0.50541158784327611</v>
      </c>
      <c r="D77" s="125">
        <v>0.67450229100000003</v>
      </c>
    </row>
    <row r="78" spans="1:4" ht="15.6" x14ac:dyDescent="0.3">
      <c r="A78" s="123" t="s">
        <v>312</v>
      </c>
      <c r="B78" s="124" t="s">
        <v>327</v>
      </c>
      <c r="C78" s="122">
        <v>0.47778852355043311</v>
      </c>
      <c r="D78" s="125">
        <v>0.67450229100000003</v>
      </c>
    </row>
    <row r="79" spans="1:4" ht="15.6" x14ac:dyDescent="0.3">
      <c r="A79" s="123" t="s">
        <v>312</v>
      </c>
      <c r="B79" s="124" t="s">
        <v>328</v>
      </c>
      <c r="C79" s="122">
        <v>0.46658476320788128</v>
      </c>
      <c r="D79" s="125">
        <v>0.67450229100000003</v>
      </c>
    </row>
    <row r="80" spans="1:4" ht="15.6" x14ac:dyDescent="0.3">
      <c r="A80" s="123" t="s">
        <v>312</v>
      </c>
      <c r="B80" s="124" t="s">
        <v>329</v>
      </c>
      <c r="C80" s="122">
        <v>0.46423454911303569</v>
      </c>
      <c r="D80" s="125">
        <v>0.67450229100000003</v>
      </c>
    </row>
    <row r="81" spans="1:4" ht="15.6" x14ac:dyDescent="0.3">
      <c r="A81" s="123" t="s">
        <v>312</v>
      </c>
      <c r="B81" s="124" t="s">
        <v>330</v>
      </c>
      <c r="C81" s="122">
        <v>0.47695146099610453</v>
      </c>
      <c r="D81" s="125">
        <v>0.67340199099999998</v>
      </c>
    </row>
    <row r="82" spans="1:4" ht="15.6" x14ac:dyDescent="0.3">
      <c r="A82" s="123" t="s">
        <v>312</v>
      </c>
      <c r="B82" s="124" t="s">
        <v>331</v>
      </c>
      <c r="C82" s="122">
        <v>0.50943592704677898</v>
      </c>
      <c r="D82" s="125">
        <v>0.67340199099999998</v>
      </c>
    </row>
    <row r="83" spans="1:4" ht="15.6" x14ac:dyDescent="0.3">
      <c r="A83" s="123" t="s">
        <v>312</v>
      </c>
      <c r="B83" s="124" t="s">
        <v>332</v>
      </c>
      <c r="C83" s="122">
        <v>0.57411510672547561</v>
      </c>
      <c r="D83" s="125">
        <v>0.67636075799999995</v>
      </c>
    </row>
    <row r="84" spans="1:4" ht="15.6" x14ac:dyDescent="0.3">
      <c r="A84" s="123" t="s">
        <v>312</v>
      </c>
      <c r="B84" s="124" t="s">
        <v>333</v>
      </c>
      <c r="C84" s="122">
        <v>0.64384885644377188</v>
      </c>
      <c r="D84" s="125">
        <v>0.67636075799999995</v>
      </c>
    </row>
    <row r="85" spans="1:4" ht="15.6" x14ac:dyDescent="0.3">
      <c r="A85" s="123" t="s">
        <v>312</v>
      </c>
      <c r="B85" s="124" t="s">
        <v>334</v>
      </c>
      <c r="C85" s="122">
        <v>0.67720257976240295</v>
      </c>
      <c r="D85" s="125">
        <v>0.68350762399999998</v>
      </c>
    </row>
    <row r="86" spans="1:4" ht="15.6" x14ac:dyDescent="0.3">
      <c r="A86" s="123" t="s">
        <v>312</v>
      </c>
      <c r="B86" s="124" t="s">
        <v>335</v>
      </c>
      <c r="C86" s="122">
        <v>0.68077619297511349</v>
      </c>
      <c r="D86" s="125">
        <v>0.67891784099999997</v>
      </c>
    </row>
    <row r="87" spans="1:4" ht="15.6" x14ac:dyDescent="0.3">
      <c r="A87" s="123" t="s">
        <v>312</v>
      </c>
      <c r="B87" s="124" t="s">
        <v>336</v>
      </c>
      <c r="C87" s="122">
        <v>0.66986218505521389</v>
      </c>
      <c r="D87" s="125">
        <v>0.68884924300000006</v>
      </c>
    </row>
    <row r="88" spans="1:4" ht="15.6" x14ac:dyDescent="0.3">
      <c r="A88" s="123" t="s">
        <v>312</v>
      </c>
      <c r="B88" s="124" t="s">
        <v>337</v>
      </c>
      <c r="C88" s="122">
        <v>0.67581820707639806</v>
      </c>
      <c r="D88" s="125">
        <v>0.68884924300000006</v>
      </c>
    </row>
    <row r="89" spans="1:4" ht="15.6" x14ac:dyDescent="0.3">
      <c r="A89" s="123" t="s">
        <v>312</v>
      </c>
      <c r="B89" s="124" t="s">
        <v>338</v>
      </c>
      <c r="C89" s="122">
        <v>0.66828464408744082</v>
      </c>
      <c r="D89" s="125">
        <v>0.688094914</v>
      </c>
    </row>
    <row r="90" spans="1:4" ht="15.6" x14ac:dyDescent="0.3">
      <c r="A90" s="123" t="s">
        <v>312</v>
      </c>
      <c r="B90" s="124" t="s">
        <v>339</v>
      </c>
      <c r="C90" s="122">
        <v>0.66747977624674026</v>
      </c>
      <c r="D90" s="125">
        <v>0.69564536499999996</v>
      </c>
    </row>
    <row r="91" spans="1:4" ht="15.6" x14ac:dyDescent="0.3">
      <c r="A91" s="123" t="s">
        <v>312</v>
      </c>
      <c r="B91" s="124" t="s">
        <v>340</v>
      </c>
      <c r="C91" s="122">
        <v>0.66187789607546432</v>
      </c>
      <c r="D91" s="125">
        <v>0.69216050900000003</v>
      </c>
    </row>
    <row r="92" spans="1:4" ht="15.6" x14ac:dyDescent="0.3">
      <c r="A92" s="123" t="s">
        <v>312</v>
      </c>
      <c r="B92" s="124" t="s">
        <v>341</v>
      </c>
      <c r="C92" s="122">
        <v>0.66429249959756609</v>
      </c>
      <c r="D92" s="125">
        <v>0.69216050900000003</v>
      </c>
    </row>
    <row r="93" spans="1:4" ht="15.6" x14ac:dyDescent="0.3">
      <c r="A93" s="123" t="s">
        <v>312</v>
      </c>
      <c r="B93" s="124" t="s">
        <v>342</v>
      </c>
      <c r="C93" s="122">
        <v>0.68547662116480468</v>
      </c>
      <c r="D93" s="125">
        <v>0.68792072100000001</v>
      </c>
    </row>
    <row r="94" spans="1:4" ht="15.6" x14ac:dyDescent="0.3">
      <c r="A94" s="123" t="s">
        <v>312</v>
      </c>
      <c r="B94" s="124" t="s">
        <v>343</v>
      </c>
      <c r="C94" s="122">
        <v>0.7156752625478896</v>
      </c>
      <c r="D94" s="125">
        <v>0.68333134799999995</v>
      </c>
    </row>
    <row r="95" spans="1:4" ht="15.6" x14ac:dyDescent="0.3">
      <c r="A95" s="123" t="s">
        <v>312</v>
      </c>
      <c r="B95" s="124" t="s">
        <v>344</v>
      </c>
      <c r="C95" s="122">
        <v>0.74226809600463606</v>
      </c>
      <c r="D95" s="125">
        <v>0.67853618000000004</v>
      </c>
    </row>
    <row r="96" spans="1:4" ht="15.6" x14ac:dyDescent="0.3">
      <c r="A96" s="123" t="s">
        <v>312</v>
      </c>
      <c r="B96" s="124" t="s">
        <v>345</v>
      </c>
      <c r="C96" s="122">
        <v>0.71165092334438684</v>
      </c>
      <c r="D96" s="125">
        <v>0.67853618000000004</v>
      </c>
    </row>
    <row r="97" spans="1:4" ht="15.6" x14ac:dyDescent="0.3">
      <c r="A97" s="123" t="s">
        <v>312</v>
      </c>
      <c r="B97" s="124" t="s">
        <v>346</v>
      </c>
      <c r="C97" s="122">
        <v>0.67498114452206948</v>
      </c>
      <c r="D97" s="125">
        <v>0.67322492300000003</v>
      </c>
    </row>
    <row r="98" spans="1:4" ht="15.6" x14ac:dyDescent="0.3">
      <c r="A98" s="123" t="s">
        <v>312</v>
      </c>
      <c r="B98" s="124" t="s">
        <v>347</v>
      </c>
      <c r="C98" s="122">
        <v>0.64883903705611534</v>
      </c>
      <c r="D98" s="125">
        <v>0.67671136099999996</v>
      </c>
    </row>
    <row r="99" spans="1:4" ht="15.6" x14ac:dyDescent="0.3">
      <c r="A99" s="123" t="s">
        <v>313</v>
      </c>
      <c r="B99" s="124" t="s">
        <v>324</v>
      </c>
      <c r="C99" s="122">
        <v>0.61023757541611667</v>
      </c>
      <c r="D99" s="125">
        <v>0.643608395</v>
      </c>
    </row>
    <row r="100" spans="1:4" ht="15.6" x14ac:dyDescent="0.3">
      <c r="A100" s="123" t="s">
        <v>313</v>
      </c>
      <c r="B100" s="124" t="s">
        <v>325</v>
      </c>
      <c r="C100" s="122">
        <v>0.54913200895013037</v>
      </c>
      <c r="D100" s="125">
        <v>0.64227153000000003</v>
      </c>
    </row>
    <row r="101" spans="1:4" ht="15.6" x14ac:dyDescent="0.3">
      <c r="A101" s="123" t="s">
        <v>313</v>
      </c>
      <c r="B101" s="124" t="s">
        <v>326</v>
      </c>
      <c r="C101" s="122">
        <v>0.49816777727697109</v>
      </c>
      <c r="D101" s="125">
        <v>0.64438574100000001</v>
      </c>
    </row>
    <row r="102" spans="1:4" ht="15.6" x14ac:dyDescent="0.3">
      <c r="A102" s="123" t="s">
        <v>313</v>
      </c>
      <c r="B102" s="124" t="s">
        <v>327</v>
      </c>
      <c r="C102" s="122">
        <v>0.46516819580824831</v>
      </c>
      <c r="D102" s="125">
        <v>0.64438574100000001</v>
      </c>
    </row>
    <row r="103" spans="1:4" ht="15.6" x14ac:dyDescent="0.3">
      <c r="A103" s="123" t="s">
        <v>313</v>
      </c>
      <c r="B103" s="124" t="s">
        <v>328</v>
      </c>
      <c r="C103" s="122">
        <v>0.44543283635427072</v>
      </c>
      <c r="D103" s="125">
        <v>0.64438574100000001</v>
      </c>
    </row>
    <row r="104" spans="1:4" ht="15.6" x14ac:dyDescent="0.3">
      <c r="A104" s="123" t="s">
        <v>313</v>
      </c>
      <c r="B104" s="124" t="s">
        <v>329</v>
      </c>
      <c r="C104" s="122">
        <v>0.43490516499790738</v>
      </c>
      <c r="D104" s="125">
        <v>0.63660192299999996</v>
      </c>
    </row>
    <row r="105" spans="1:4" ht="15.6" x14ac:dyDescent="0.3">
      <c r="A105" s="123" t="s">
        <v>313</v>
      </c>
      <c r="B105" s="124" t="s">
        <v>330</v>
      </c>
      <c r="C105" s="122">
        <v>0.43645051125205242</v>
      </c>
      <c r="D105" s="125">
        <v>0.63660192299999996</v>
      </c>
    </row>
    <row r="106" spans="1:4" ht="15.6" x14ac:dyDescent="0.3">
      <c r="A106" s="123" t="s">
        <v>313</v>
      </c>
      <c r="B106" s="124" t="s">
        <v>331</v>
      </c>
      <c r="C106" s="122">
        <v>0.45457613502462901</v>
      </c>
      <c r="D106" s="125">
        <v>0.64495216600000005</v>
      </c>
    </row>
    <row r="107" spans="1:4" ht="15.6" x14ac:dyDescent="0.3">
      <c r="A107" s="123" t="s">
        <v>313</v>
      </c>
      <c r="B107" s="124" t="s">
        <v>332</v>
      </c>
      <c r="C107" s="122">
        <v>0.4918576134058788</v>
      </c>
      <c r="D107" s="125">
        <v>0.64483504899999999</v>
      </c>
    </row>
    <row r="108" spans="1:4" ht="15.6" x14ac:dyDescent="0.3">
      <c r="A108" s="123" t="s">
        <v>313</v>
      </c>
      <c r="B108" s="124" t="s">
        <v>333</v>
      </c>
      <c r="C108" s="122">
        <v>0.54278965036540994</v>
      </c>
      <c r="D108" s="125">
        <v>0.64483504899999999</v>
      </c>
    </row>
    <row r="109" spans="1:4" ht="15.6" x14ac:dyDescent="0.3">
      <c r="A109" s="123" t="s">
        <v>313</v>
      </c>
      <c r="B109" s="124" t="s">
        <v>334</v>
      </c>
      <c r="C109" s="122">
        <v>0.58551203534979557</v>
      </c>
      <c r="D109" s="125">
        <v>0.64939658600000005</v>
      </c>
    </row>
    <row r="110" spans="1:4" ht="15.6" x14ac:dyDescent="0.3">
      <c r="A110" s="123" t="s">
        <v>313</v>
      </c>
      <c r="B110" s="124" t="s">
        <v>335</v>
      </c>
      <c r="C110" s="122">
        <v>0.60830589259843526</v>
      </c>
      <c r="D110" s="125">
        <v>0.64939658600000005</v>
      </c>
    </row>
    <row r="111" spans="1:4" ht="15.6" x14ac:dyDescent="0.3">
      <c r="A111" s="123" t="s">
        <v>313</v>
      </c>
      <c r="B111" s="124" t="s">
        <v>336</v>
      </c>
      <c r="C111" s="122">
        <v>0.62382374456714207</v>
      </c>
      <c r="D111" s="125">
        <v>0.65185644499999995</v>
      </c>
    </row>
    <row r="112" spans="1:4" ht="15.6" x14ac:dyDescent="0.3">
      <c r="A112" s="123" t="s">
        <v>313</v>
      </c>
      <c r="B112" s="124" t="s">
        <v>337</v>
      </c>
      <c r="C112" s="122">
        <v>0.64275423618041916</v>
      </c>
      <c r="D112" s="125">
        <v>0.65185644499999995</v>
      </c>
    </row>
    <row r="113" spans="1:4" ht="15.6" x14ac:dyDescent="0.3">
      <c r="A113" s="123" t="s">
        <v>313</v>
      </c>
      <c r="B113" s="124" t="s">
        <v>338</v>
      </c>
      <c r="C113" s="122">
        <v>0.66223203792537266</v>
      </c>
      <c r="D113" s="125">
        <v>0.65185644499999995</v>
      </c>
    </row>
    <row r="114" spans="1:4" ht="15.6" x14ac:dyDescent="0.3">
      <c r="A114" s="123" t="s">
        <v>313</v>
      </c>
      <c r="B114" s="124" t="s">
        <v>339</v>
      </c>
      <c r="C114" s="122">
        <v>0.67549625994011775</v>
      </c>
      <c r="D114" s="125">
        <v>0.64905334699999995</v>
      </c>
    </row>
    <row r="115" spans="1:4" ht="15.6" x14ac:dyDescent="0.3">
      <c r="A115" s="123" t="s">
        <v>313</v>
      </c>
      <c r="B115" s="124" t="s">
        <v>340</v>
      </c>
      <c r="C115" s="122">
        <v>0.68470394803773216</v>
      </c>
      <c r="D115" s="125">
        <v>0.64905334699999995</v>
      </c>
    </row>
    <row r="116" spans="1:4" ht="15.6" x14ac:dyDescent="0.3">
      <c r="A116" s="123" t="s">
        <v>313</v>
      </c>
      <c r="B116" s="124" t="s">
        <v>341</v>
      </c>
      <c r="C116" s="122">
        <v>0.69284921058562177</v>
      </c>
      <c r="D116" s="125">
        <v>0.64905334699999995</v>
      </c>
    </row>
    <row r="117" spans="1:4" ht="15.6" x14ac:dyDescent="0.3">
      <c r="A117" s="123" t="s">
        <v>313</v>
      </c>
      <c r="B117" s="124" t="s">
        <v>342</v>
      </c>
      <c r="C117" s="122">
        <v>0.71957082289688035</v>
      </c>
      <c r="D117" s="125">
        <v>0.64905334699999995</v>
      </c>
    </row>
    <row r="118" spans="1:4" ht="15.6" x14ac:dyDescent="0.3">
      <c r="A118" s="123" t="s">
        <v>313</v>
      </c>
      <c r="B118" s="124" t="s">
        <v>343</v>
      </c>
      <c r="C118" s="122">
        <v>0.74700071890795527</v>
      </c>
      <c r="D118" s="125">
        <v>0.64905334699999995</v>
      </c>
    </row>
    <row r="119" spans="1:4" ht="15.6" x14ac:dyDescent="0.3">
      <c r="A119" s="123" t="s">
        <v>313</v>
      </c>
      <c r="B119" s="124" t="s">
        <v>344</v>
      </c>
      <c r="C119" s="122">
        <v>0.75987860435916421</v>
      </c>
      <c r="D119" s="125">
        <v>0.64905334699999995</v>
      </c>
    </row>
    <row r="120" spans="1:4" ht="15.6" x14ac:dyDescent="0.3">
      <c r="A120" s="123" t="s">
        <v>313</v>
      </c>
      <c r="B120" s="124" t="s">
        <v>345</v>
      </c>
      <c r="C120" s="122">
        <v>0.71731719294291874</v>
      </c>
      <c r="D120" s="125">
        <v>0.64905334699999995</v>
      </c>
    </row>
    <row r="121" spans="1:4" ht="15.6" x14ac:dyDescent="0.3">
      <c r="A121" s="123" t="s">
        <v>313</v>
      </c>
      <c r="B121" s="124" t="s">
        <v>346</v>
      </c>
      <c r="C121" s="122">
        <v>0.66925048549628152</v>
      </c>
      <c r="D121" s="125">
        <v>0.64905334699999995</v>
      </c>
    </row>
    <row r="122" spans="1:4" ht="15.6" x14ac:dyDescent="0.3">
      <c r="A122" s="123" t="s">
        <v>313</v>
      </c>
      <c r="B122" s="124" t="s">
        <v>347</v>
      </c>
      <c r="C122" s="122">
        <v>0.64407421943916809</v>
      </c>
      <c r="D122" s="125">
        <v>0.64905334699999995</v>
      </c>
    </row>
    <row r="123" spans="1:4" ht="15.6" x14ac:dyDescent="0.3">
      <c r="A123" s="123" t="s">
        <v>314</v>
      </c>
      <c r="B123" s="124" t="s">
        <v>324</v>
      </c>
      <c r="C123" s="122">
        <v>0.55466949969415014</v>
      </c>
      <c r="D123" s="125">
        <v>0.66573897999999998</v>
      </c>
    </row>
    <row r="124" spans="1:4" ht="15.6" x14ac:dyDescent="0.3">
      <c r="A124" s="123" t="s">
        <v>314</v>
      </c>
      <c r="B124" s="124" t="s">
        <v>325</v>
      </c>
      <c r="C124" s="122">
        <v>0.4954956160458453</v>
      </c>
      <c r="D124" s="125">
        <v>0.65894322500000002</v>
      </c>
    </row>
    <row r="125" spans="1:4" ht="15.6" x14ac:dyDescent="0.3">
      <c r="A125" s="123" t="s">
        <v>314</v>
      </c>
      <c r="B125" s="124" t="s">
        <v>326</v>
      </c>
      <c r="C125" s="122">
        <v>0.45196836322075917</v>
      </c>
      <c r="D125" s="125">
        <v>0.66353006800000003</v>
      </c>
    </row>
    <row r="126" spans="1:4" ht="15.6" x14ac:dyDescent="0.3">
      <c r="A126" s="123" t="s">
        <v>314</v>
      </c>
      <c r="B126" s="124" t="s">
        <v>327</v>
      </c>
      <c r="C126" s="122">
        <v>0.42515016676861661</v>
      </c>
      <c r="D126" s="125">
        <v>0.66353006800000003</v>
      </c>
    </row>
    <row r="127" spans="1:4" ht="15.6" x14ac:dyDescent="0.3">
      <c r="A127" s="123" t="s">
        <v>314</v>
      </c>
      <c r="B127" s="124" t="s">
        <v>328</v>
      </c>
      <c r="C127" s="122">
        <v>0.41030840378609829</v>
      </c>
      <c r="D127" s="125">
        <v>0.65945739400000003</v>
      </c>
    </row>
    <row r="128" spans="1:4" ht="15.6" x14ac:dyDescent="0.3">
      <c r="A128" s="123" t="s">
        <v>314</v>
      </c>
      <c r="B128" s="124" t="s">
        <v>329</v>
      </c>
      <c r="C128" s="122">
        <v>0.4056079755964071</v>
      </c>
      <c r="D128" s="125">
        <v>0.66404632600000002</v>
      </c>
    </row>
    <row r="129" spans="1:4" ht="15.6" x14ac:dyDescent="0.3">
      <c r="A129" s="123" t="s">
        <v>314</v>
      </c>
      <c r="B129" s="124" t="s">
        <v>330</v>
      </c>
      <c r="C129" s="122">
        <v>0.41491224783490549</v>
      </c>
      <c r="D129" s="125">
        <v>0.65988036000000005</v>
      </c>
    </row>
    <row r="130" spans="1:4" ht="15.6" x14ac:dyDescent="0.3">
      <c r="A130" s="123" t="s">
        <v>314</v>
      </c>
      <c r="B130" s="124" t="s">
        <v>331</v>
      </c>
      <c r="C130" s="122">
        <v>0.44430602137728992</v>
      </c>
      <c r="D130" s="125">
        <v>0.65988036000000005</v>
      </c>
    </row>
    <row r="131" spans="1:4" ht="15.6" x14ac:dyDescent="0.3">
      <c r="A131" s="123" t="s">
        <v>314</v>
      </c>
      <c r="B131" s="124" t="s">
        <v>332</v>
      </c>
      <c r="C131" s="122">
        <v>0.50373746273461895</v>
      </c>
      <c r="D131" s="125">
        <v>0.65988036000000005</v>
      </c>
    </row>
    <row r="132" spans="1:4" ht="15.6" x14ac:dyDescent="0.3">
      <c r="A132" s="123" t="s">
        <v>314</v>
      </c>
      <c r="B132" s="124" t="s">
        <v>333</v>
      </c>
      <c r="C132" s="122">
        <v>0.56848103184057175</v>
      </c>
      <c r="D132" s="125">
        <v>0.669981253</v>
      </c>
    </row>
    <row r="133" spans="1:4" ht="15.6" x14ac:dyDescent="0.3">
      <c r="A133" s="123" t="s">
        <v>314</v>
      </c>
      <c r="B133" s="124" t="s">
        <v>334</v>
      </c>
      <c r="C133" s="122">
        <v>0.60144841859566656</v>
      </c>
      <c r="D133" s="125">
        <v>0.669981253</v>
      </c>
    </row>
    <row r="134" spans="1:4" ht="15.6" x14ac:dyDescent="0.3">
      <c r="A134" s="123" t="s">
        <v>314</v>
      </c>
      <c r="B134" s="124" t="s">
        <v>335</v>
      </c>
      <c r="C134" s="122">
        <v>0.60553714722642538</v>
      </c>
      <c r="D134" s="125">
        <v>0.672876213</v>
      </c>
    </row>
    <row r="135" spans="1:4" ht="15.6" x14ac:dyDescent="0.3">
      <c r="A135" s="123" t="s">
        <v>314</v>
      </c>
      <c r="B135" s="124" t="s">
        <v>336</v>
      </c>
      <c r="C135" s="122">
        <v>0.60186694987283085</v>
      </c>
      <c r="D135" s="125">
        <v>0.67380879299999996</v>
      </c>
    </row>
    <row r="136" spans="1:4" ht="15.6" x14ac:dyDescent="0.3">
      <c r="A136" s="123" t="s">
        <v>314</v>
      </c>
      <c r="B136" s="124" t="s">
        <v>337</v>
      </c>
      <c r="C136" s="122">
        <v>0.60624543092624184</v>
      </c>
      <c r="D136" s="125">
        <v>0.67380879299999996</v>
      </c>
    </row>
    <row r="137" spans="1:4" ht="15.6" x14ac:dyDescent="0.3">
      <c r="A137" s="123" t="s">
        <v>314</v>
      </c>
      <c r="B137" s="124" t="s">
        <v>338</v>
      </c>
      <c r="C137" s="122">
        <v>0.6115575586748655</v>
      </c>
      <c r="D137" s="125">
        <v>0.67380879299999996</v>
      </c>
    </row>
    <row r="138" spans="1:4" ht="15.6" x14ac:dyDescent="0.3">
      <c r="A138" s="123" t="s">
        <v>314</v>
      </c>
      <c r="B138" s="124" t="s">
        <v>339</v>
      </c>
      <c r="C138" s="122">
        <v>0.61793211197321396</v>
      </c>
      <c r="D138" s="125">
        <v>0.67220053800000001</v>
      </c>
    </row>
    <row r="139" spans="1:4" ht="15.6" x14ac:dyDescent="0.3">
      <c r="A139" s="123" t="s">
        <v>314</v>
      </c>
      <c r="B139" s="124" t="s">
        <v>340</v>
      </c>
      <c r="C139" s="122">
        <v>0.61657993400083699</v>
      </c>
      <c r="D139" s="125">
        <v>0.67363924500000005</v>
      </c>
    </row>
    <row r="140" spans="1:4" ht="15.6" x14ac:dyDescent="0.3">
      <c r="A140" s="123" t="s">
        <v>314</v>
      </c>
      <c r="B140" s="124" t="s">
        <v>341</v>
      </c>
      <c r="C140" s="122">
        <v>0.6241778864170503</v>
      </c>
      <c r="D140" s="125">
        <v>0.67551579399999995</v>
      </c>
    </row>
    <row r="141" spans="1:4" ht="15.6" x14ac:dyDescent="0.3">
      <c r="A141" s="123" t="s">
        <v>314</v>
      </c>
      <c r="B141" s="124" t="s">
        <v>342</v>
      </c>
      <c r="C141" s="122">
        <v>0.64619907053861747</v>
      </c>
      <c r="D141" s="125">
        <v>0.67551579399999995</v>
      </c>
    </row>
    <row r="142" spans="1:4" ht="15.6" x14ac:dyDescent="0.3">
      <c r="A142" s="123" t="s">
        <v>314</v>
      </c>
      <c r="B142" s="124" t="s">
        <v>343</v>
      </c>
      <c r="C142" s="122">
        <v>0.67974596213901672</v>
      </c>
      <c r="D142" s="125">
        <v>0.67015731499999998</v>
      </c>
    </row>
    <row r="143" spans="1:4" ht="15.6" x14ac:dyDescent="0.3">
      <c r="A143" s="123" t="s">
        <v>314</v>
      </c>
      <c r="B143" s="124" t="s">
        <v>344</v>
      </c>
      <c r="C143" s="122">
        <v>0.70208909339686421</v>
      </c>
      <c r="D143" s="125">
        <v>0.66634627099999999</v>
      </c>
    </row>
    <row r="144" spans="1:4" ht="15.6" x14ac:dyDescent="0.3">
      <c r="A144" s="123" t="s">
        <v>314</v>
      </c>
      <c r="B144" s="124" t="s">
        <v>345</v>
      </c>
      <c r="C144" s="122">
        <v>0.66844561765558097</v>
      </c>
      <c r="D144" s="125">
        <v>0.66507857800000003</v>
      </c>
    </row>
    <row r="145" spans="1:4" ht="15.6" x14ac:dyDescent="0.3">
      <c r="A145" s="123" t="s">
        <v>314</v>
      </c>
      <c r="B145" s="124" t="s">
        <v>346</v>
      </c>
      <c r="C145" s="122">
        <v>0.62817003090692503</v>
      </c>
      <c r="D145" s="125">
        <v>0.66413562000000004</v>
      </c>
    </row>
    <row r="146" spans="1:4" ht="15.6" x14ac:dyDescent="0.3">
      <c r="A146" s="123" t="s">
        <v>314</v>
      </c>
      <c r="B146" s="124" t="s">
        <v>347</v>
      </c>
      <c r="C146" s="122">
        <v>0.60270401242715943</v>
      </c>
      <c r="D146" s="125">
        <v>0.66413562000000004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4620-F53A-4FE5-BDBD-F4D78B03213A}">
  <sheetPr>
    <tabColor rgb="FFECB5ED"/>
  </sheetPr>
  <dimension ref="A1:CH146"/>
  <sheetViews>
    <sheetView zoomScale="69" zoomScaleNormal="69" workbookViewId="0">
      <selection activeCell="O1" sqref="O1:P1"/>
    </sheetView>
  </sheetViews>
  <sheetFormatPr defaultRowHeight="14.4" x14ac:dyDescent="0.3"/>
  <sheetData>
    <row r="1" spans="1:86" ht="18" x14ac:dyDescent="0.35">
      <c r="A1" s="51"/>
      <c r="B1" s="53" t="s">
        <v>492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3" t="s">
        <v>491</v>
      </c>
      <c r="N1" s="51"/>
      <c r="O1" s="145" t="s">
        <v>826</v>
      </c>
      <c r="P1" s="146" t="s">
        <v>815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9"/>
      <c r="AB1" s="49"/>
      <c r="AC1" s="50" t="s">
        <v>84</v>
      </c>
      <c r="AD1" s="50" t="s">
        <v>84</v>
      </c>
      <c r="AE1" s="50" t="s">
        <v>591</v>
      </c>
      <c r="AF1" s="50" t="s">
        <v>85</v>
      </c>
      <c r="AG1" s="50" t="s">
        <v>86</v>
      </c>
      <c r="AH1" s="50" t="s">
        <v>86</v>
      </c>
      <c r="AI1" s="50" t="s">
        <v>87</v>
      </c>
      <c r="AJ1" s="50" t="s">
        <v>87</v>
      </c>
      <c r="AK1" s="50" t="s">
        <v>88</v>
      </c>
      <c r="AL1" s="50" t="s">
        <v>88</v>
      </c>
      <c r="AM1" s="50" t="s">
        <v>89</v>
      </c>
      <c r="AN1" s="50" t="s">
        <v>89</v>
      </c>
      <c r="AO1" s="50" t="s">
        <v>90</v>
      </c>
      <c r="AP1" s="50" t="s">
        <v>90</v>
      </c>
      <c r="AQ1" s="50" t="s">
        <v>91</v>
      </c>
      <c r="AR1" s="50" t="s">
        <v>91</v>
      </c>
      <c r="AS1" s="50" t="s">
        <v>92</v>
      </c>
      <c r="AT1" s="50" t="s">
        <v>92</v>
      </c>
      <c r="AU1" s="50" t="s">
        <v>93</v>
      </c>
      <c r="AV1" s="50" t="s">
        <v>93</v>
      </c>
      <c r="AW1" s="50" t="s">
        <v>94</v>
      </c>
      <c r="AX1" s="50" t="s">
        <v>94</v>
      </c>
      <c r="AY1" s="50" t="s">
        <v>95</v>
      </c>
      <c r="AZ1" s="50" t="s">
        <v>95</v>
      </c>
      <c r="BA1" s="50" t="s">
        <v>96</v>
      </c>
      <c r="BB1" s="50" t="s">
        <v>96</v>
      </c>
      <c r="BC1" s="50" t="s">
        <v>84</v>
      </c>
      <c r="BD1" s="50" t="s">
        <v>85</v>
      </c>
      <c r="BE1" s="50" t="s">
        <v>86</v>
      </c>
      <c r="BF1" s="50" t="s">
        <v>87</v>
      </c>
      <c r="BG1" s="50" t="s">
        <v>88</v>
      </c>
      <c r="BH1" s="50" t="s">
        <v>89</v>
      </c>
      <c r="BI1" s="50" t="s">
        <v>90</v>
      </c>
      <c r="BJ1" s="50" t="s">
        <v>91</v>
      </c>
      <c r="BK1" s="50" t="s">
        <v>92</v>
      </c>
      <c r="BL1" s="50" t="s">
        <v>93</v>
      </c>
      <c r="BM1" s="50" t="s">
        <v>94</v>
      </c>
      <c r="BN1" s="50" t="s">
        <v>95</v>
      </c>
      <c r="BO1" s="50" t="s">
        <v>96</v>
      </c>
      <c r="BP1" s="51"/>
      <c r="BQ1" s="52" t="s">
        <v>490</v>
      </c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</row>
    <row r="2" spans="1:86" x14ac:dyDescent="0.3">
      <c r="A2" s="51"/>
      <c r="B2" s="51"/>
      <c r="C2" s="49" t="s">
        <v>201</v>
      </c>
      <c r="D2" s="49" t="s">
        <v>197</v>
      </c>
      <c r="E2" s="49" t="s">
        <v>192</v>
      </c>
      <c r="F2" s="49" t="s">
        <v>489</v>
      </c>
      <c r="G2" s="49" t="s">
        <v>433</v>
      </c>
      <c r="H2" s="49" t="s">
        <v>199</v>
      </c>
      <c r="I2" s="49"/>
      <c r="J2" s="49"/>
      <c r="K2" s="49" t="s">
        <v>186</v>
      </c>
      <c r="L2" s="49"/>
      <c r="M2" s="49"/>
      <c r="N2" s="49" t="s">
        <v>84</v>
      </c>
      <c r="O2" s="49" t="s">
        <v>85</v>
      </c>
      <c r="P2" s="49" t="s">
        <v>86</v>
      </c>
      <c r="Q2" s="49" t="s">
        <v>87</v>
      </c>
      <c r="R2" s="49" t="s">
        <v>88</v>
      </c>
      <c r="S2" s="49" t="s">
        <v>89</v>
      </c>
      <c r="T2" s="49" t="s">
        <v>90</v>
      </c>
      <c r="U2" s="49" t="s">
        <v>91</v>
      </c>
      <c r="V2" s="49" t="s">
        <v>92</v>
      </c>
      <c r="W2" s="49" t="s">
        <v>93</v>
      </c>
      <c r="X2" s="49" t="s">
        <v>94</v>
      </c>
      <c r="Y2" s="49" t="s">
        <v>95</v>
      </c>
      <c r="Z2" s="49" t="s">
        <v>96</v>
      </c>
      <c r="AA2" s="51"/>
      <c r="AB2" s="51"/>
      <c r="AC2" s="50" t="s">
        <v>97</v>
      </c>
      <c r="AD2" s="50" t="s">
        <v>98</v>
      </c>
      <c r="AE2" s="50" t="s">
        <v>97</v>
      </c>
      <c r="AF2" s="50" t="s">
        <v>98</v>
      </c>
      <c r="AG2" s="50" t="s">
        <v>97</v>
      </c>
      <c r="AH2" s="50" t="s">
        <v>98</v>
      </c>
      <c r="AI2" s="50" t="s">
        <v>97</v>
      </c>
      <c r="AJ2" s="50" t="s">
        <v>98</v>
      </c>
      <c r="AK2" s="50" t="s">
        <v>97</v>
      </c>
      <c r="AL2" s="50" t="s">
        <v>98</v>
      </c>
      <c r="AM2" s="50" t="s">
        <v>97</v>
      </c>
      <c r="AN2" s="50" t="s">
        <v>98</v>
      </c>
      <c r="AO2" s="50" t="s">
        <v>97</v>
      </c>
      <c r="AP2" s="50" t="s">
        <v>98</v>
      </c>
      <c r="AQ2" s="50" t="s">
        <v>97</v>
      </c>
      <c r="AR2" s="50" t="s">
        <v>98</v>
      </c>
      <c r="AS2" s="50" t="s">
        <v>97</v>
      </c>
      <c r="AT2" s="50" t="s">
        <v>98</v>
      </c>
      <c r="AU2" s="50" t="s">
        <v>97</v>
      </c>
      <c r="AV2" s="50" t="s">
        <v>98</v>
      </c>
      <c r="AW2" s="50" t="s">
        <v>97</v>
      </c>
      <c r="AX2" s="50" t="s">
        <v>98</v>
      </c>
      <c r="AY2" s="50" t="s">
        <v>97</v>
      </c>
      <c r="AZ2" s="50" t="s">
        <v>98</v>
      </c>
      <c r="BA2" s="50" t="s">
        <v>97</v>
      </c>
      <c r="BB2" s="50" t="s">
        <v>98</v>
      </c>
      <c r="BC2" s="50" t="s">
        <v>99</v>
      </c>
      <c r="BD2" s="50" t="s">
        <v>99</v>
      </c>
      <c r="BE2" s="50" t="s">
        <v>99</v>
      </c>
      <c r="BF2" s="50" t="s">
        <v>99</v>
      </c>
      <c r="BG2" s="50" t="s">
        <v>99</v>
      </c>
      <c r="BH2" s="50" t="s">
        <v>99</v>
      </c>
      <c r="BI2" s="50" t="s">
        <v>99</v>
      </c>
      <c r="BJ2" s="50" t="s">
        <v>99</v>
      </c>
      <c r="BK2" s="50" t="s">
        <v>99</v>
      </c>
      <c r="BL2" s="50" t="s">
        <v>99</v>
      </c>
      <c r="BM2" s="50" t="s">
        <v>99</v>
      </c>
      <c r="BN2" s="50" t="s">
        <v>99</v>
      </c>
      <c r="BO2" s="50" t="s">
        <v>99</v>
      </c>
      <c r="BP2" s="50"/>
      <c r="BQ2" s="51"/>
      <c r="BR2" s="49" t="s">
        <v>84</v>
      </c>
      <c r="BS2" s="49" t="s">
        <v>85</v>
      </c>
      <c r="BT2" s="49" t="s">
        <v>86</v>
      </c>
      <c r="BU2" s="49" t="s">
        <v>87</v>
      </c>
      <c r="BV2" s="49" t="s">
        <v>88</v>
      </c>
      <c r="BW2" s="49" t="s">
        <v>89</v>
      </c>
      <c r="BX2" s="49" t="s">
        <v>90</v>
      </c>
      <c r="BY2" s="49" t="s">
        <v>91</v>
      </c>
      <c r="BZ2" s="49" t="s">
        <v>92</v>
      </c>
      <c r="CA2" s="49" t="s">
        <v>93</v>
      </c>
      <c r="CB2" s="49" t="s">
        <v>94</v>
      </c>
      <c r="CC2" s="49" t="s">
        <v>95</v>
      </c>
      <c r="CD2" s="49" t="s">
        <v>96</v>
      </c>
    </row>
    <row r="3" spans="1:86" x14ac:dyDescent="0.3">
      <c r="A3" s="48" t="s">
        <v>309</v>
      </c>
      <c r="B3" s="49" t="s">
        <v>324</v>
      </c>
      <c r="C3" s="3">
        <v>33.256855799999997</v>
      </c>
      <c r="D3" s="3">
        <v>77.880302099999994</v>
      </c>
      <c r="E3" s="3">
        <v>35.811145799999998</v>
      </c>
      <c r="F3" s="3">
        <v>23.5164966</v>
      </c>
      <c r="G3" s="3">
        <v>23.5164966</v>
      </c>
      <c r="H3" s="3">
        <v>77.880302099999994</v>
      </c>
      <c r="I3" s="48" t="s">
        <v>309</v>
      </c>
      <c r="J3" s="49" t="s">
        <v>324</v>
      </c>
      <c r="K3" s="3">
        <v>33185.5</v>
      </c>
      <c r="L3" s="48" t="s">
        <v>309</v>
      </c>
      <c r="M3" s="49" t="s">
        <v>324</v>
      </c>
      <c r="N3" s="3">
        <v>3592.3891549999998</v>
      </c>
      <c r="O3" s="3">
        <v>4488.2456620000003</v>
      </c>
      <c r="P3" s="3">
        <v>1894.752115</v>
      </c>
      <c r="Q3" s="3">
        <v>1929.1605970000001</v>
      </c>
      <c r="R3" s="3">
        <v>5692.7082119999995</v>
      </c>
      <c r="S3" s="3">
        <v>5022.7006719999999</v>
      </c>
      <c r="T3" s="3">
        <v>2395.5709660000002</v>
      </c>
      <c r="U3" s="3">
        <v>4374.7270980000003</v>
      </c>
      <c r="V3" s="3">
        <v>2554.9185309999998</v>
      </c>
      <c r="W3" s="3">
        <v>1316.5664420000001</v>
      </c>
      <c r="X3" s="3">
        <v>3467.8816539999998</v>
      </c>
      <c r="Y3" s="3">
        <v>219.2112875</v>
      </c>
      <c r="Z3" s="3">
        <v>1608.867094</v>
      </c>
      <c r="AA3" s="48" t="s">
        <v>309</v>
      </c>
      <c r="AB3" s="49" t="s">
        <v>324</v>
      </c>
      <c r="AC3" s="3">
        <v>0</v>
      </c>
      <c r="AD3" s="3">
        <v>0.318</v>
      </c>
      <c r="AE3" s="3">
        <v>0</v>
      </c>
      <c r="AF3" s="3">
        <v>0.33</v>
      </c>
      <c r="AG3" s="3">
        <v>0</v>
      </c>
      <c r="AH3" s="3">
        <v>0.45700000000000002</v>
      </c>
      <c r="AI3" s="3">
        <v>0</v>
      </c>
      <c r="AJ3" s="3">
        <v>0.25900000000000001</v>
      </c>
      <c r="AK3" s="3">
        <v>0</v>
      </c>
      <c r="AL3" s="3">
        <v>0.70599999999999996</v>
      </c>
      <c r="AM3" s="3">
        <v>0</v>
      </c>
      <c r="AN3" s="3">
        <v>0.80300000000000005</v>
      </c>
      <c r="AO3" s="3">
        <v>0</v>
      </c>
      <c r="AP3" s="3">
        <v>0.80300000000000005</v>
      </c>
      <c r="AQ3" s="3">
        <v>0</v>
      </c>
      <c r="AR3" s="3">
        <v>0.34300000000000003</v>
      </c>
      <c r="AS3" s="3">
        <v>0</v>
      </c>
      <c r="AT3" s="3">
        <v>0.34300000000000003</v>
      </c>
      <c r="AU3" s="3">
        <v>0</v>
      </c>
      <c r="AV3" s="3">
        <v>0.56599999999999995</v>
      </c>
      <c r="AW3" s="3">
        <v>0</v>
      </c>
      <c r="AX3" s="3">
        <v>0.39300000000000002</v>
      </c>
      <c r="AY3" s="3">
        <v>0</v>
      </c>
      <c r="AZ3" s="3">
        <v>0.66400000000000003</v>
      </c>
      <c r="BA3" s="3">
        <v>0</v>
      </c>
      <c r="BB3" s="3">
        <v>0.64300000000000002</v>
      </c>
      <c r="BC3" s="3">
        <v>0.87050000000000005</v>
      </c>
      <c r="BD3" s="3">
        <v>0.79</v>
      </c>
      <c r="BE3" s="3">
        <v>0.77800000000000002</v>
      </c>
      <c r="BF3" s="3">
        <v>0.84366666700000004</v>
      </c>
      <c r="BG3" s="3">
        <v>0.79925000000000002</v>
      </c>
      <c r="BH3" s="3">
        <v>0.86799999999999999</v>
      </c>
      <c r="BI3" s="3">
        <v>0.76749999999999996</v>
      </c>
      <c r="BJ3" s="3">
        <v>0.72799999999999998</v>
      </c>
      <c r="BK3" s="3">
        <v>0.80549999999999999</v>
      </c>
      <c r="BL3" s="3">
        <v>0.81599999999999995</v>
      </c>
      <c r="BM3" s="3">
        <v>0.01</v>
      </c>
      <c r="BN3" s="3">
        <v>0.81066666700000001</v>
      </c>
      <c r="BO3" s="3">
        <v>0.89</v>
      </c>
      <c r="BP3" s="48" t="s">
        <v>309</v>
      </c>
      <c r="BQ3" s="49" t="s">
        <v>324</v>
      </c>
      <c r="BR3" s="3">
        <v>-0.58199999999999996</v>
      </c>
      <c r="BS3" s="3">
        <v>-0.193</v>
      </c>
      <c r="BT3" s="3">
        <v>0.13800000000000001</v>
      </c>
      <c r="BU3" s="3">
        <v>0.89900000000000002</v>
      </c>
      <c r="BV3" s="3">
        <v>-1.026</v>
      </c>
      <c r="BW3" s="3">
        <v>3.706</v>
      </c>
      <c r="BX3" s="3">
        <v>1.994</v>
      </c>
      <c r="BY3" s="3">
        <v>0.17499999999999999</v>
      </c>
      <c r="BZ3" s="3">
        <v>0.61799999999999999</v>
      </c>
      <c r="CA3" s="3">
        <v>2.3940000000000001</v>
      </c>
      <c r="CB3" s="3">
        <v>-0.23499999999999999</v>
      </c>
      <c r="CC3" s="3">
        <v>1.9630000000000001</v>
      </c>
      <c r="CD3" s="3">
        <v>0.69299999999999995</v>
      </c>
      <c r="CF3" s="53" t="s">
        <v>496</v>
      </c>
      <c r="CG3" s="51"/>
      <c r="CH3" s="51"/>
    </row>
    <row r="4" spans="1:86" x14ac:dyDescent="0.3">
      <c r="A4" s="48" t="s">
        <v>309</v>
      </c>
      <c r="B4" s="49" t="s">
        <v>325</v>
      </c>
      <c r="C4" s="3">
        <v>33.256855799999997</v>
      </c>
      <c r="D4" s="3">
        <v>75.777270000000001</v>
      </c>
      <c r="E4" s="3">
        <v>34.074228599999998</v>
      </c>
      <c r="F4" s="3">
        <v>23.3887821</v>
      </c>
      <c r="G4" s="3">
        <v>23.3887821</v>
      </c>
      <c r="H4" s="3">
        <v>70.702747200000005</v>
      </c>
      <c r="I4" s="48" t="s">
        <v>309</v>
      </c>
      <c r="J4" s="49" t="s">
        <v>325</v>
      </c>
      <c r="K4" s="3">
        <v>33098</v>
      </c>
      <c r="L4" s="48" t="s">
        <v>309</v>
      </c>
      <c r="M4" s="49" t="s">
        <v>325</v>
      </c>
      <c r="N4" s="3">
        <v>2695.9148420000001</v>
      </c>
      <c r="O4" s="3">
        <v>3624.6301410000001</v>
      </c>
      <c r="P4" s="3">
        <v>1369.5276100000001</v>
      </c>
      <c r="Q4" s="3">
        <v>1500.1300650000001</v>
      </c>
      <c r="R4" s="3">
        <v>4168.4391329999999</v>
      </c>
      <c r="S4" s="3">
        <v>3664.9406880000001</v>
      </c>
      <c r="T4" s="3">
        <v>1116.2165849999999</v>
      </c>
      <c r="U4" s="3">
        <v>2778.3363650000001</v>
      </c>
      <c r="V4" s="3">
        <v>2088.7094320000001</v>
      </c>
      <c r="W4" s="3">
        <v>874.92630650000001</v>
      </c>
      <c r="X4" s="3">
        <v>2498.9283999999998</v>
      </c>
      <c r="Y4" s="3">
        <v>202.75289409999999</v>
      </c>
      <c r="Z4" s="3">
        <v>958.16664349999996</v>
      </c>
      <c r="AA4" s="48" t="s">
        <v>309</v>
      </c>
      <c r="AB4" s="49" t="s">
        <v>325</v>
      </c>
      <c r="AC4" s="3">
        <v>0</v>
      </c>
      <c r="AD4" s="3">
        <v>0.314</v>
      </c>
      <c r="AE4" s="3">
        <v>0</v>
      </c>
      <c r="AF4" s="3">
        <v>0.34200000000000003</v>
      </c>
      <c r="AG4" s="3">
        <v>0</v>
      </c>
      <c r="AH4" s="3">
        <v>0.46300000000000002</v>
      </c>
      <c r="AI4" s="3">
        <v>0</v>
      </c>
      <c r="AJ4" s="3">
        <v>0.27</v>
      </c>
      <c r="AK4" s="3">
        <v>0</v>
      </c>
      <c r="AL4" s="3">
        <v>0.70199999999999996</v>
      </c>
      <c r="AM4" s="3">
        <v>0</v>
      </c>
      <c r="AN4" s="3">
        <v>0.79600000000000004</v>
      </c>
      <c r="AO4" s="3">
        <v>0</v>
      </c>
      <c r="AP4" s="3">
        <v>0.79600000000000004</v>
      </c>
      <c r="AQ4" s="3">
        <v>0</v>
      </c>
      <c r="AR4" s="3">
        <v>0.36699999999999999</v>
      </c>
      <c r="AS4" s="3">
        <v>0</v>
      </c>
      <c r="AT4" s="3">
        <v>0.371</v>
      </c>
      <c r="AU4" s="3">
        <v>0</v>
      </c>
      <c r="AV4" s="3">
        <v>0.58799999999999997</v>
      </c>
      <c r="AW4" s="3">
        <v>0</v>
      </c>
      <c r="AX4" s="3">
        <v>0.40500000000000003</v>
      </c>
      <c r="AY4" s="3">
        <v>0</v>
      </c>
      <c r="AZ4" s="3">
        <v>0.67900000000000005</v>
      </c>
      <c r="BA4" s="3">
        <v>0</v>
      </c>
      <c r="BB4" s="3">
        <v>0.65100000000000002</v>
      </c>
      <c r="BC4" s="3">
        <v>0.85750000000000004</v>
      </c>
      <c r="BD4" s="3">
        <v>0.80449999999999999</v>
      </c>
      <c r="BE4" s="3">
        <v>0.78500000000000003</v>
      </c>
      <c r="BF4" s="3">
        <v>0.81499999999999995</v>
      </c>
      <c r="BG4" s="3">
        <v>0.79691666699999997</v>
      </c>
      <c r="BH4" s="3">
        <v>0.86</v>
      </c>
      <c r="BI4" s="3">
        <v>0.78149999999999997</v>
      </c>
      <c r="BJ4" s="3">
        <v>0.73633333300000003</v>
      </c>
      <c r="BK4" s="3">
        <v>0.81299999999999994</v>
      </c>
      <c r="BL4" s="3">
        <v>0.84833333300000002</v>
      </c>
      <c r="BM4" s="3">
        <v>0.01</v>
      </c>
      <c r="BN4" s="3">
        <v>0.81</v>
      </c>
      <c r="BO4" s="3">
        <v>0.89300000000000002</v>
      </c>
      <c r="BP4" s="48" t="s">
        <v>309</v>
      </c>
      <c r="BQ4" s="49" t="s">
        <v>325</v>
      </c>
      <c r="BR4" s="3">
        <v>-0.59399999999999997</v>
      </c>
      <c r="BS4" s="3">
        <v>-0.39700000000000002</v>
      </c>
      <c r="BT4" s="3">
        <v>-0.182</v>
      </c>
      <c r="BU4" s="3">
        <v>0.50600000000000001</v>
      </c>
      <c r="BV4" s="3">
        <v>-1.1830000000000001</v>
      </c>
      <c r="BW4" s="3">
        <v>3.5649999999999999</v>
      </c>
      <c r="BX4" s="3">
        <v>1.6839999999999999</v>
      </c>
      <c r="BY4" s="3">
        <v>-2.7E-2</v>
      </c>
      <c r="BZ4" s="3">
        <v>0.41599999999999998</v>
      </c>
      <c r="CA4" s="3">
        <v>2.2130000000000001</v>
      </c>
      <c r="CB4" s="3">
        <v>-0.58699999999999997</v>
      </c>
      <c r="CC4" s="3">
        <v>1.98</v>
      </c>
      <c r="CD4" s="3">
        <v>0.13700000000000001</v>
      </c>
      <c r="CF4" s="53" t="s">
        <v>309</v>
      </c>
      <c r="CG4">
        <v>1</v>
      </c>
    </row>
    <row r="5" spans="1:86" x14ac:dyDescent="0.3">
      <c r="A5" s="48" t="s">
        <v>309</v>
      </c>
      <c r="B5" s="49" t="s">
        <v>326</v>
      </c>
      <c r="C5" s="3">
        <v>30.447136799999999</v>
      </c>
      <c r="D5" s="3">
        <v>71.034804899999997</v>
      </c>
      <c r="E5" s="3">
        <v>32.286225600000002</v>
      </c>
      <c r="F5" s="3">
        <v>23.192953200000002</v>
      </c>
      <c r="G5" s="3">
        <v>23.192953200000002</v>
      </c>
      <c r="H5" s="3">
        <v>66.309368399999997</v>
      </c>
      <c r="I5" s="48" t="s">
        <v>309</v>
      </c>
      <c r="J5" s="49" t="s">
        <v>326</v>
      </c>
      <c r="K5" s="3">
        <v>32264</v>
      </c>
      <c r="L5" s="48" t="s">
        <v>309</v>
      </c>
      <c r="M5" s="49" t="s">
        <v>326</v>
      </c>
      <c r="N5" s="3">
        <v>2610.7892069999998</v>
      </c>
      <c r="O5" s="3">
        <v>3392.085853</v>
      </c>
      <c r="P5" s="3">
        <v>1278.301099</v>
      </c>
      <c r="Q5" s="3">
        <v>1476.5674710000001</v>
      </c>
      <c r="R5" s="3">
        <v>3735.9132439999998</v>
      </c>
      <c r="S5" s="3">
        <v>3252.798542</v>
      </c>
      <c r="T5" s="3">
        <v>986.60289769999997</v>
      </c>
      <c r="U5" s="3">
        <v>2404.3032130000001</v>
      </c>
      <c r="V5" s="3">
        <v>2019.2685019999999</v>
      </c>
      <c r="W5" s="3">
        <v>821.78680139999994</v>
      </c>
      <c r="X5" s="3">
        <v>2295.0909390000002</v>
      </c>
      <c r="Y5" s="3">
        <v>186.29450069999999</v>
      </c>
      <c r="Z5" s="3">
        <v>784.2409791</v>
      </c>
      <c r="AA5" s="48" t="s">
        <v>309</v>
      </c>
      <c r="AB5" s="49" t="s">
        <v>326</v>
      </c>
      <c r="AC5" s="3">
        <v>0</v>
      </c>
      <c r="AD5" s="3">
        <v>0.33300000000000002</v>
      </c>
      <c r="AE5" s="3">
        <v>0</v>
      </c>
      <c r="AF5" s="3">
        <v>0.34899999999999998</v>
      </c>
      <c r="AG5" s="3">
        <v>0</v>
      </c>
      <c r="AH5" s="3">
        <v>0.45800000000000002</v>
      </c>
      <c r="AI5" s="3">
        <v>0</v>
      </c>
      <c r="AJ5" s="3">
        <v>0.28899999999999998</v>
      </c>
      <c r="AK5" s="3">
        <v>0</v>
      </c>
      <c r="AL5" s="3">
        <v>0.69599999999999995</v>
      </c>
      <c r="AM5" s="3">
        <v>0</v>
      </c>
      <c r="AN5" s="3">
        <v>0.77900000000000003</v>
      </c>
      <c r="AO5" s="3">
        <v>0</v>
      </c>
      <c r="AP5" s="3">
        <v>0.77900000000000003</v>
      </c>
      <c r="AQ5" s="3">
        <v>0</v>
      </c>
      <c r="AR5" s="3">
        <v>0.39700000000000002</v>
      </c>
      <c r="AS5" s="3">
        <v>0</v>
      </c>
      <c r="AT5" s="3">
        <v>0.40899999999999997</v>
      </c>
      <c r="AU5" s="3">
        <v>0</v>
      </c>
      <c r="AV5" s="3">
        <v>0.61599999999999999</v>
      </c>
      <c r="AW5" s="3">
        <v>0</v>
      </c>
      <c r="AX5" s="3">
        <v>0.41299999999999998</v>
      </c>
      <c r="AY5" s="3">
        <v>0</v>
      </c>
      <c r="AZ5" s="3">
        <v>0.69699999999999995</v>
      </c>
      <c r="BA5" s="3">
        <v>0</v>
      </c>
      <c r="BB5" s="3">
        <v>0.65500000000000003</v>
      </c>
      <c r="BC5" s="3">
        <v>0.83350000000000002</v>
      </c>
      <c r="BD5" s="3">
        <v>0.82499999999999996</v>
      </c>
      <c r="BE5" s="3">
        <v>0.70650000000000002</v>
      </c>
      <c r="BF5" s="3">
        <v>0.75466666699999996</v>
      </c>
      <c r="BG5" s="3">
        <v>0.78658333400000002</v>
      </c>
      <c r="BH5" s="3">
        <v>0.83099999999999996</v>
      </c>
      <c r="BI5" s="3">
        <v>0.80600000000000005</v>
      </c>
      <c r="BJ5" s="3">
        <v>0.73966666700000006</v>
      </c>
      <c r="BK5" s="3">
        <v>0.82899999999999996</v>
      </c>
      <c r="BL5" s="3">
        <v>0.875</v>
      </c>
      <c r="BM5" s="3">
        <v>0.01</v>
      </c>
      <c r="BN5" s="3">
        <v>0.77233333299999996</v>
      </c>
      <c r="BO5" s="3">
        <v>0.89800000000000002</v>
      </c>
      <c r="BP5" s="48" t="s">
        <v>309</v>
      </c>
      <c r="BQ5" s="49" t="s">
        <v>326</v>
      </c>
      <c r="BR5" s="3">
        <v>-0.68600000000000005</v>
      </c>
      <c r="BS5" s="3">
        <v>-0.61499999999999999</v>
      </c>
      <c r="BT5" s="3">
        <v>-0.41099999999999998</v>
      </c>
      <c r="BU5" s="3">
        <v>5.3999999999999999E-2</v>
      </c>
      <c r="BV5" s="3">
        <v>-1.3759999999999999</v>
      </c>
      <c r="BW5" s="3">
        <v>3.5390000000000001</v>
      </c>
      <c r="BX5" s="3">
        <v>1.3720000000000001</v>
      </c>
      <c r="BY5" s="3">
        <v>-0.376</v>
      </c>
      <c r="BZ5" s="3">
        <v>0.215</v>
      </c>
      <c r="CA5" s="3">
        <v>1.9730000000000001</v>
      </c>
      <c r="CB5" s="3">
        <v>-0.86099999999999999</v>
      </c>
      <c r="CC5" s="3">
        <v>1.966</v>
      </c>
      <c r="CD5" s="3">
        <v>-0.246</v>
      </c>
      <c r="CF5" s="53" t="s">
        <v>310</v>
      </c>
      <c r="CG5">
        <v>98</v>
      </c>
    </row>
    <row r="6" spans="1:86" x14ac:dyDescent="0.3">
      <c r="A6" s="48" t="s">
        <v>309</v>
      </c>
      <c r="B6" s="49" t="s">
        <v>327</v>
      </c>
      <c r="C6" s="3">
        <v>30.404565300000002</v>
      </c>
      <c r="D6" s="3">
        <v>68.999887200000003</v>
      </c>
      <c r="E6" s="3">
        <v>32.771540700000003</v>
      </c>
      <c r="F6" s="3">
        <v>23.380267799999999</v>
      </c>
      <c r="G6" s="3">
        <v>23.380267799999999</v>
      </c>
      <c r="H6" s="3">
        <v>64.5554226</v>
      </c>
      <c r="I6" s="48" t="s">
        <v>309</v>
      </c>
      <c r="J6" s="49" t="s">
        <v>327</v>
      </c>
      <c r="K6" s="3">
        <v>31558.5</v>
      </c>
      <c r="L6" s="48" t="s">
        <v>309</v>
      </c>
      <c r="M6" s="49" t="s">
        <v>327</v>
      </c>
      <c r="N6" s="3">
        <v>2329.028828</v>
      </c>
      <c r="O6" s="3">
        <v>3270.007333</v>
      </c>
      <c r="P6" s="3">
        <v>1188.4227550000001</v>
      </c>
      <c r="Q6" s="3">
        <v>1485.426708</v>
      </c>
      <c r="R6" s="3">
        <v>3200.9756750000001</v>
      </c>
      <c r="S6" s="3">
        <v>2915.132396</v>
      </c>
      <c r="T6" s="3">
        <v>881.28814650000004</v>
      </c>
      <c r="U6" s="3">
        <v>2275.0958009999999</v>
      </c>
      <c r="V6" s="3">
        <v>1974.6434690000001</v>
      </c>
      <c r="W6" s="3">
        <v>696.56167240000002</v>
      </c>
      <c r="X6" s="3">
        <v>1894.317528</v>
      </c>
      <c r="Y6" s="3">
        <v>67.341697319999994</v>
      </c>
      <c r="Z6" s="3">
        <v>721.65392139999994</v>
      </c>
      <c r="AA6" s="48" t="s">
        <v>309</v>
      </c>
      <c r="AB6" s="49" t="s">
        <v>327</v>
      </c>
      <c r="AC6" s="3">
        <v>0</v>
      </c>
      <c r="AD6" s="3">
        <v>0.35099999999999998</v>
      </c>
      <c r="AE6" s="3">
        <v>0</v>
      </c>
      <c r="AF6" s="3">
        <v>0.33300000000000002</v>
      </c>
      <c r="AG6" s="3">
        <v>0</v>
      </c>
      <c r="AH6" s="3">
        <v>0.46</v>
      </c>
      <c r="AI6" s="3">
        <v>0</v>
      </c>
      <c r="AJ6" s="3">
        <v>0.313</v>
      </c>
      <c r="AK6" s="3">
        <v>0</v>
      </c>
      <c r="AL6" s="3">
        <v>0.70199999999999996</v>
      </c>
      <c r="AM6" s="3">
        <v>0</v>
      </c>
      <c r="AN6" s="3">
        <v>0.75</v>
      </c>
      <c r="AO6" s="3">
        <v>0</v>
      </c>
      <c r="AP6" s="3">
        <v>0.75</v>
      </c>
      <c r="AQ6" s="3">
        <v>0</v>
      </c>
      <c r="AR6" s="3">
        <v>0.42299999999999999</v>
      </c>
      <c r="AS6" s="3">
        <v>0</v>
      </c>
      <c r="AT6" s="3">
        <v>0.436</v>
      </c>
      <c r="AU6" s="3">
        <v>0</v>
      </c>
      <c r="AV6" s="3">
        <v>0.61299999999999999</v>
      </c>
      <c r="AW6" s="3">
        <v>0</v>
      </c>
      <c r="AX6" s="3">
        <v>0.41599999999999998</v>
      </c>
      <c r="AY6" s="3">
        <v>0</v>
      </c>
      <c r="AZ6" s="3">
        <v>0.72099999999999997</v>
      </c>
      <c r="BA6" s="3">
        <v>0</v>
      </c>
      <c r="BB6" s="3">
        <v>0.65800000000000003</v>
      </c>
      <c r="BC6" s="3">
        <v>0.82350000000000001</v>
      </c>
      <c r="BD6" s="3">
        <v>0.85599999999999998</v>
      </c>
      <c r="BE6" s="3">
        <v>0.69099999999999995</v>
      </c>
      <c r="BF6" s="3">
        <v>0.755</v>
      </c>
      <c r="BG6" s="3">
        <v>0.79325000000000001</v>
      </c>
      <c r="BH6" s="3">
        <v>0.80300000000000005</v>
      </c>
      <c r="BI6" s="3">
        <v>0.82099999999999995</v>
      </c>
      <c r="BJ6" s="3">
        <v>0.76300000000000001</v>
      </c>
      <c r="BK6" s="3">
        <v>0.84550000000000003</v>
      </c>
      <c r="BL6" s="3">
        <v>0.90233333299999996</v>
      </c>
      <c r="BM6" s="3">
        <v>0.01</v>
      </c>
      <c r="BN6" s="3">
        <v>0.74466666699999995</v>
      </c>
      <c r="BO6" s="3">
        <v>0.86199999999999999</v>
      </c>
      <c r="BP6" s="48" t="s">
        <v>309</v>
      </c>
      <c r="BQ6" s="49" t="s">
        <v>327</v>
      </c>
      <c r="BR6" s="3">
        <v>-0.79500000000000004</v>
      </c>
      <c r="BS6" s="3">
        <v>-0.85199999999999998</v>
      </c>
      <c r="BT6" s="3">
        <v>-0.63700000000000001</v>
      </c>
      <c r="BU6" s="3">
        <v>-0.54</v>
      </c>
      <c r="BV6" s="3">
        <v>-1.577</v>
      </c>
      <c r="BW6" s="3">
        <v>3.629</v>
      </c>
      <c r="BX6" s="3">
        <v>1.042</v>
      </c>
      <c r="BY6" s="3">
        <v>-0.75600000000000001</v>
      </c>
      <c r="BZ6" s="3">
        <v>-5.0000000000000001E-3</v>
      </c>
      <c r="CA6" s="3">
        <v>1.6739999999999999</v>
      </c>
      <c r="CB6" s="3">
        <v>-1.0760000000000001</v>
      </c>
      <c r="CC6" s="3">
        <v>1.8260000000000001</v>
      </c>
      <c r="CD6" s="3">
        <v>-0.48599999999999999</v>
      </c>
      <c r="CF6" s="53" t="s">
        <v>311</v>
      </c>
      <c r="CG6">
        <v>42</v>
      </c>
    </row>
    <row r="7" spans="1:86" x14ac:dyDescent="0.3">
      <c r="A7" s="48" t="s">
        <v>309</v>
      </c>
      <c r="B7" s="49" t="s">
        <v>328</v>
      </c>
      <c r="C7" s="3">
        <v>30.404565300000002</v>
      </c>
      <c r="D7" s="3">
        <v>75.751727099999997</v>
      </c>
      <c r="E7" s="3">
        <v>35.257716299999998</v>
      </c>
      <c r="F7" s="3">
        <v>24.138040499999999</v>
      </c>
      <c r="G7" s="3">
        <v>24.138040499999999</v>
      </c>
      <c r="H7" s="3">
        <v>72.0820638</v>
      </c>
      <c r="I7" s="48" t="s">
        <v>309</v>
      </c>
      <c r="J7" s="49" t="s">
        <v>328</v>
      </c>
      <c r="K7" s="3">
        <v>31102</v>
      </c>
      <c r="L7" s="48" t="s">
        <v>309</v>
      </c>
      <c r="M7" s="49" t="s">
        <v>328</v>
      </c>
      <c r="N7" s="3">
        <v>2382.6218880000001</v>
      </c>
      <c r="O7" s="3">
        <v>3347.8932460000001</v>
      </c>
      <c r="P7" s="3">
        <v>1215.8019959999999</v>
      </c>
      <c r="Q7" s="3">
        <v>1600.094758</v>
      </c>
      <c r="R7" s="3">
        <v>3147.5651779999998</v>
      </c>
      <c r="S7" s="3">
        <v>3026.8668290000001</v>
      </c>
      <c r="T7" s="3">
        <v>651.71768699999996</v>
      </c>
      <c r="U7" s="3">
        <v>2384.8146919999999</v>
      </c>
      <c r="V7" s="3">
        <v>1990.5102199999999</v>
      </c>
      <c r="W7" s="3">
        <v>568.50596250000001</v>
      </c>
      <c r="X7" s="3">
        <v>1679.270767</v>
      </c>
      <c r="Y7" s="3">
        <v>65.462001659999999</v>
      </c>
      <c r="Z7" s="3">
        <v>576.20280979999995</v>
      </c>
      <c r="AA7" s="48" t="s">
        <v>309</v>
      </c>
      <c r="AB7" s="49" t="s">
        <v>328</v>
      </c>
      <c r="AC7" s="3">
        <v>0</v>
      </c>
      <c r="AD7" s="3">
        <v>0.38</v>
      </c>
      <c r="AE7" s="3">
        <v>0</v>
      </c>
      <c r="AF7" s="3">
        <v>0.32100000000000001</v>
      </c>
      <c r="AG7" s="3">
        <v>0</v>
      </c>
      <c r="AH7" s="3">
        <v>0.45500000000000002</v>
      </c>
      <c r="AI7" s="3">
        <v>0</v>
      </c>
      <c r="AJ7" s="3">
        <v>0.33800000000000002</v>
      </c>
      <c r="AK7" s="3">
        <v>0</v>
      </c>
      <c r="AL7" s="3">
        <v>0.73799999999999999</v>
      </c>
      <c r="AM7" s="3">
        <v>0</v>
      </c>
      <c r="AN7" s="3">
        <v>0.70399999999999996</v>
      </c>
      <c r="AO7" s="3">
        <v>0</v>
      </c>
      <c r="AP7" s="3">
        <v>0.70399999999999996</v>
      </c>
      <c r="AQ7" s="3">
        <v>0</v>
      </c>
      <c r="AR7" s="3">
        <v>0.44900000000000001</v>
      </c>
      <c r="AS7" s="3">
        <v>0</v>
      </c>
      <c r="AT7" s="3">
        <v>0.45700000000000002</v>
      </c>
      <c r="AU7" s="3">
        <v>0</v>
      </c>
      <c r="AV7" s="3">
        <v>0.63200000000000001</v>
      </c>
      <c r="AW7" s="3">
        <v>0</v>
      </c>
      <c r="AX7" s="3">
        <v>0.40300000000000002</v>
      </c>
      <c r="AY7" s="3">
        <v>0</v>
      </c>
      <c r="AZ7" s="3">
        <v>0.748</v>
      </c>
      <c r="BA7" s="3">
        <v>0</v>
      </c>
      <c r="BB7" s="3">
        <v>0.65200000000000002</v>
      </c>
      <c r="BC7" s="3">
        <v>0.84850000000000003</v>
      </c>
      <c r="BD7" s="3">
        <v>0.86050000000000004</v>
      </c>
      <c r="BE7" s="3">
        <v>0.72950000000000004</v>
      </c>
      <c r="BF7" s="3">
        <v>0.79033333299999997</v>
      </c>
      <c r="BG7" s="3">
        <v>0.83574999999999999</v>
      </c>
      <c r="BH7" s="3">
        <v>0.83599999999999997</v>
      </c>
      <c r="BI7" s="3">
        <v>0.82299999999999995</v>
      </c>
      <c r="BJ7" s="3">
        <v>0.82299999999999995</v>
      </c>
      <c r="BK7" s="3">
        <v>0.86550000000000005</v>
      </c>
      <c r="BL7" s="3">
        <v>0.91833333299999997</v>
      </c>
      <c r="BM7" s="3">
        <v>0.01</v>
      </c>
      <c r="BN7" s="3">
        <v>0.77700000000000002</v>
      </c>
      <c r="BO7" s="3">
        <v>0.83199999999999996</v>
      </c>
      <c r="BP7" s="48" t="s">
        <v>309</v>
      </c>
      <c r="BQ7" s="49" t="s">
        <v>328</v>
      </c>
      <c r="BR7" s="3">
        <v>-0.94299999999999995</v>
      </c>
      <c r="BS7" s="3">
        <v>-0.98199999999999998</v>
      </c>
      <c r="BT7" s="3">
        <v>-0.77800000000000002</v>
      </c>
      <c r="BU7" s="3">
        <v>-0.84799999999999998</v>
      </c>
      <c r="BV7" s="3">
        <v>-1.7789999999999999</v>
      </c>
      <c r="BW7" s="3">
        <v>3.7749999999999999</v>
      </c>
      <c r="BX7" s="3">
        <v>0.55400000000000005</v>
      </c>
      <c r="BY7" s="3">
        <v>-1.06</v>
      </c>
      <c r="BZ7" s="3">
        <v>-0.23</v>
      </c>
      <c r="CA7" s="3">
        <v>1.3440000000000001</v>
      </c>
      <c r="CB7" s="3">
        <v>-1.262</v>
      </c>
      <c r="CC7" s="3">
        <v>1.64</v>
      </c>
      <c r="CD7" s="3">
        <v>-0.61499999999999999</v>
      </c>
      <c r="CF7" s="53" t="s">
        <v>312</v>
      </c>
      <c r="CG7">
        <v>71</v>
      </c>
    </row>
    <row r="8" spans="1:86" x14ac:dyDescent="0.3">
      <c r="A8" s="48" t="s">
        <v>309</v>
      </c>
      <c r="B8" s="49" t="s">
        <v>329</v>
      </c>
      <c r="C8" s="3">
        <v>30.4130796</v>
      </c>
      <c r="D8" s="3">
        <v>92.124725999999995</v>
      </c>
      <c r="E8" s="3">
        <v>38.0674353</v>
      </c>
      <c r="F8" s="3">
        <v>24.904327500000001</v>
      </c>
      <c r="G8" s="3">
        <v>24.904327500000001</v>
      </c>
      <c r="H8" s="3">
        <v>85.543172100000007</v>
      </c>
      <c r="I8" s="48" t="s">
        <v>309</v>
      </c>
      <c r="J8" s="49" t="s">
        <v>329</v>
      </c>
      <c r="K8" s="3">
        <v>32000.5</v>
      </c>
      <c r="L8" s="48" t="s">
        <v>309</v>
      </c>
      <c r="M8" s="49" t="s">
        <v>329</v>
      </c>
      <c r="N8" s="3">
        <v>3155.1254949999998</v>
      </c>
      <c r="O8" s="3">
        <v>4277.0539930000004</v>
      </c>
      <c r="P8" s="3">
        <v>1736.2212340000001</v>
      </c>
      <c r="Q8" s="3">
        <v>1952.6837270000001</v>
      </c>
      <c r="R8" s="3">
        <v>3847.64311</v>
      </c>
      <c r="S8" s="3">
        <v>3690.5437230000002</v>
      </c>
      <c r="T8" s="3">
        <v>1288.802459</v>
      </c>
      <c r="U8" s="3">
        <v>3431.8907690000001</v>
      </c>
      <c r="V8" s="3">
        <v>2709.61978</v>
      </c>
      <c r="W8" s="3">
        <v>1058.5443230000001</v>
      </c>
      <c r="X8" s="3">
        <v>2473.8060449999998</v>
      </c>
      <c r="Y8" s="3">
        <v>135.0585169</v>
      </c>
      <c r="Z8" s="3">
        <v>697.27353860000005</v>
      </c>
      <c r="AA8" s="48" t="s">
        <v>309</v>
      </c>
      <c r="AB8" s="49" t="s">
        <v>329</v>
      </c>
      <c r="AC8" s="3">
        <v>0</v>
      </c>
      <c r="AD8" s="3">
        <v>0.41799999999999998</v>
      </c>
      <c r="AE8" s="3">
        <v>0</v>
      </c>
      <c r="AF8" s="3">
        <v>0.34100000000000003</v>
      </c>
      <c r="AG8" s="3">
        <v>0</v>
      </c>
      <c r="AH8" s="3">
        <v>0.45400000000000001</v>
      </c>
      <c r="AI8" s="3">
        <v>0</v>
      </c>
      <c r="AJ8" s="3">
        <v>0.36099999999999999</v>
      </c>
      <c r="AK8" s="3">
        <v>0</v>
      </c>
      <c r="AL8" s="3">
        <v>0.77800000000000002</v>
      </c>
      <c r="AM8" s="3">
        <v>0</v>
      </c>
      <c r="AN8" s="3">
        <v>0.65700000000000003</v>
      </c>
      <c r="AO8" s="3">
        <v>0</v>
      </c>
      <c r="AP8" s="3">
        <v>0.65700000000000003</v>
      </c>
      <c r="AQ8" s="3">
        <v>0</v>
      </c>
      <c r="AR8" s="3">
        <v>0.46600000000000003</v>
      </c>
      <c r="AS8" s="3">
        <v>0</v>
      </c>
      <c r="AT8" s="3">
        <v>0.47</v>
      </c>
      <c r="AU8" s="3">
        <v>0</v>
      </c>
      <c r="AV8" s="3">
        <v>0.66500000000000004</v>
      </c>
      <c r="AW8" s="3">
        <v>0</v>
      </c>
      <c r="AX8" s="3">
        <v>0.41599999999999998</v>
      </c>
      <c r="AY8" s="3">
        <v>0</v>
      </c>
      <c r="AZ8" s="3">
        <v>0.755</v>
      </c>
      <c r="BA8" s="3">
        <v>0</v>
      </c>
      <c r="BB8" s="3">
        <v>0.65</v>
      </c>
      <c r="BC8" s="3">
        <v>0.87</v>
      </c>
      <c r="BD8" s="3">
        <v>0.86399999999999999</v>
      </c>
      <c r="BE8" s="3">
        <v>0.76449999999999996</v>
      </c>
      <c r="BF8" s="3">
        <v>0.79566666699999999</v>
      </c>
      <c r="BG8" s="3">
        <v>0.85750000000000004</v>
      </c>
      <c r="BH8" s="3">
        <v>0.84599999999999997</v>
      </c>
      <c r="BI8" s="3">
        <v>0.87450000000000006</v>
      </c>
      <c r="BJ8" s="3">
        <v>0.84499999999999997</v>
      </c>
      <c r="BK8" s="3">
        <v>0.87</v>
      </c>
      <c r="BL8" s="3">
        <v>0.924666667</v>
      </c>
      <c r="BM8" s="3">
        <v>0.01</v>
      </c>
      <c r="BN8" s="3">
        <v>0.80300000000000005</v>
      </c>
      <c r="BO8" s="3">
        <v>0.83699999999999997</v>
      </c>
      <c r="BP8" s="48" t="s">
        <v>309</v>
      </c>
      <c r="BQ8" s="49" t="s">
        <v>329</v>
      </c>
      <c r="BR8" s="3">
        <v>-1.119</v>
      </c>
      <c r="BS8" s="3">
        <v>-1.026</v>
      </c>
      <c r="BT8" s="3">
        <v>-0.83599999999999997</v>
      </c>
      <c r="BU8" s="3">
        <v>-1.4059999999999999</v>
      </c>
      <c r="BV8" s="3">
        <v>-1.9890000000000001</v>
      </c>
      <c r="BW8" s="3">
        <v>3.8530000000000002</v>
      </c>
      <c r="BX8" s="3">
        <v>-4.7E-2</v>
      </c>
      <c r="BY8" s="3">
        <v>-1.294</v>
      </c>
      <c r="BZ8" s="3">
        <v>-0.48199999999999998</v>
      </c>
      <c r="CA8" s="3">
        <v>1.1479999999999999</v>
      </c>
      <c r="CB8" s="3">
        <v>-1.4279999999999999</v>
      </c>
      <c r="CC8" s="3">
        <v>1.389</v>
      </c>
      <c r="CD8" s="3">
        <v>-0.68200000000000005</v>
      </c>
      <c r="CF8" s="53" t="s">
        <v>313</v>
      </c>
      <c r="CG8">
        <v>85</v>
      </c>
    </row>
    <row r="9" spans="1:86" x14ac:dyDescent="0.3">
      <c r="A9" s="48" t="s">
        <v>309</v>
      </c>
      <c r="B9" s="49" t="s">
        <v>330</v>
      </c>
      <c r="C9" s="3">
        <v>25.3044996</v>
      </c>
      <c r="D9" s="3">
        <v>127.7145</v>
      </c>
      <c r="E9" s="3">
        <v>50.259912900000003</v>
      </c>
      <c r="F9" s="3">
        <v>26.513530200000002</v>
      </c>
      <c r="G9" s="3">
        <v>26.513530200000002</v>
      </c>
      <c r="H9" s="3">
        <v>114.6705924</v>
      </c>
      <c r="I9" s="48" t="s">
        <v>309</v>
      </c>
      <c r="J9" s="49" t="s">
        <v>330</v>
      </c>
      <c r="K9" s="3">
        <v>36740</v>
      </c>
      <c r="L9" s="48" t="s">
        <v>309</v>
      </c>
      <c r="M9" s="49" t="s">
        <v>330</v>
      </c>
      <c r="N9" s="3">
        <v>5067.1490100000001</v>
      </c>
      <c r="O9" s="3">
        <v>6042.9469209999997</v>
      </c>
      <c r="P9" s="3">
        <v>3254.6791760000001</v>
      </c>
      <c r="Q9" s="3">
        <v>3146.3824920000002</v>
      </c>
      <c r="R9" s="3">
        <v>6053.0342979999996</v>
      </c>
      <c r="S9" s="3">
        <v>5082.5480269999998</v>
      </c>
      <c r="T9" s="3">
        <v>3010.4226800000001</v>
      </c>
      <c r="U9" s="3">
        <v>6934.6746590000002</v>
      </c>
      <c r="V9" s="3">
        <v>5303.4945950000001</v>
      </c>
      <c r="W9" s="3">
        <v>2568.8629099999998</v>
      </c>
      <c r="X9" s="3">
        <v>3557.22786</v>
      </c>
      <c r="Y9" s="3">
        <v>301.26770909999999</v>
      </c>
      <c r="Z9" s="3">
        <v>1003.275393</v>
      </c>
      <c r="AA9" s="48" t="s">
        <v>309</v>
      </c>
      <c r="AB9" s="49" t="s">
        <v>330</v>
      </c>
      <c r="AC9" s="3">
        <v>0</v>
      </c>
      <c r="AD9" s="3">
        <v>0.44500000000000001</v>
      </c>
      <c r="AE9" s="3">
        <v>0</v>
      </c>
      <c r="AF9" s="3">
        <v>0.374</v>
      </c>
      <c r="AG9" s="3">
        <v>0</v>
      </c>
      <c r="AH9" s="3">
        <v>0.46899999999999997</v>
      </c>
      <c r="AI9" s="3">
        <v>0</v>
      </c>
      <c r="AJ9" s="3">
        <v>0.37</v>
      </c>
      <c r="AK9" s="3">
        <v>0</v>
      </c>
      <c r="AL9" s="3">
        <v>0.80500000000000005</v>
      </c>
      <c r="AM9" s="3">
        <v>0</v>
      </c>
      <c r="AN9" s="3">
        <v>0.61199999999999999</v>
      </c>
      <c r="AO9" s="3">
        <v>0</v>
      </c>
      <c r="AP9" s="3">
        <v>0.61199999999999999</v>
      </c>
      <c r="AQ9" s="3">
        <v>0</v>
      </c>
      <c r="AR9" s="3">
        <v>0.47799999999999998</v>
      </c>
      <c r="AS9" s="3">
        <v>0</v>
      </c>
      <c r="AT9" s="3">
        <v>0.47599999999999998</v>
      </c>
      <c r="AU9" s="3">
        <v>0</v>
      </c>
      <c r="AV9" s="3">
        <v>0.68400000000000005</v>
      </c>
      <c r="AW9" s="3">
        <v>0</v>
      </c>
      <c r="AX9" s="3">
        <v>0.45800000000000002</v>
      </c>
      <c r="AY9" s="3">
        <v>0</v>
      </c>
      <c r="AZ9" s="3">
        <v>0.75</v>
      </c>
      <c r="BA9" s="3">
        <v>0</v>
      </c>
      <c r="BB9" s="3">
        <v>0.66900000000000004</v>
      </c>
      <c r="BC9" s="3">
        <v>0.88400000000000001</v>
      </c>
      <c r="BD9" s="3">
        <v>0.872</v>
      </c>
      <c r="BE9" s="3">
        <v>0.76249999999999996</v>
      </c>
      <c r="BF9" s="3">
        <v>0.80433333299999998</v>
      </c>
      <c r="BG9" s="3">
        <v>0.87583333399999996</v>
      </c>
      <c r="BH9" s="3">
        <v>0.83899999999999997</v>
      </c>
      <c r="BI9" s="3">
        <v>0.9345</v>
      </c>
      <c r="BJ9" s="3">
        <v>0.86766666699999995</v>
      </c>
      <c r="BK9" s="3">
        <v>0.86050000000000004</v>
      </c>
      <c r="BL9" s="3">
        <v>0.90766666699999998</v>
      </c>
      <c r="BM9" s="3">
        <v>0.01</v>
      </c>
      <c r="BN9" s="3">
        <v>0.82699999999999996</v>
      </c>
      <c r="BO9" s="3">
        <v>0.86499999999999999</v>
      </c>
      <c r="BP9" s="48" t="s">
        <v>309</v>
      </c>
      <c r="BQ9" s="49" t="s">
        <v>330</v>
      </c>
      <c r="BR9" s="3">
        <v>-1.3149999999999999</v>
      </c>
      <c r="BS9" s="3">
        <v>-1.008</v>
      </c>
      <c r="BT9" s="3">
        <v>-0.79800000000000004</v>
      </c>
      <c r="BU9" s="3">
        <v>-1.571</v>
      </c>
      <c r="BV9" s="3">
        <v>-2.1840000000000002</v>
      </c>
      <c r="BW9" s="3">
        <v>3.7989999999999999</v>
      </c>
      <c r="BX9" s="3">
        <v>-0.72699999999999998</v>
      </c>
      <c r="BY9" s="3">
        <v>-1.4590000000000001</v>
      </c>
      <c r="BZ9" s="3">
        <v>-0.65800000000000003</v>
      </c>
      <c r="CA9" s="3">
        <v>0.88</v>
      </c>
      <c r="CB9" s="3">
        <v>-1.5469999999999999</v>
      </c>
      <c r="CC9" s="3">
        <v>1.056</v>
      </c>
      <c r="CD9" s="3">
        <v>-0.755</v>
      </c>
      <c r="CF9" s="53" t="s">
        <v>314</v>
      </c>
      <c r="CG9">
        <v>68</v>
      </c>
    </row>
    <row r="10" spans="1:86" x14ac:dyDescent="0.3">
      <c r="A10" s="48" t="s">
        <v>309</v>
      </c>
      <c r="B10" s="49" t="s">
        <v>331</v>
      </c>
      <c r="C10" s="3">
        <v>33.699599399999997</v>
      </c>
      <c r="D10" s="3">
        <v>140.41783559999999</v>
      </c>
      <c r="E10" s="3">
        <v>51.477457800000003</v>
      </c>
      <c r="F10" s="3">
        <v>26.785987800000001</v>
      </c>
      <c r="G10" s="3">
        <v>26.785987800000001</v>
      </c>
      <c r="H10" s="3">
        <v>140.41783559999999</v>
      </c>
      <c r="I10" s="48" t="s">
        <v>309</v>
      </c>
      <c r="J10" s="49" t="s">
        <v>331</v>
      </c>
      <c r="K10" s="3">
        <v>43796.5</v>
      </c>
      <c r="L10" s="48" t="s">
        <v>309</v>
      </c>
      <c r="M10" s="49" t="s">
        <v>331</v>
      </c>
      <c r="N10" s="3">
        <v>10283.49437</v>
      </c>
      <c r="O10" s="3">
        <v>12062.84274</v>
      </c>
      <c r="P10" s="3">
        <v>6821.0110649999997</v>
      </c>
      <c r="Q10" s="3">
        <v>5804.2254720000001</v>
      </c>
      <c r="R10" s="3">
        <v>11208.474539999999</v>
      </c>
      <c r="S10" s="3">
        <v>11017.01187</v>
      </c>
      <c r="T10" s="3">
        <v>7104.627547</v>
      </c>
      <c r="U10" s="3">
        <v>14110.05552</v>
      </c>
      <c r="V10" s="3">
        <v>10485.59901</v>
      </c>
      <c r="W10" s="3">
        <v>6709.6142620000001</v>
      </c>
      <c r="X10" s="3">
        <v>8501.8575340000007</v>
      </c>
      <c r="Y10" s="3">
        <v>863.04464499999995</v>
      </c>
      <c r="Z10" s="3">
        <v>1970.0760069999999</v>
      </c>
      <c r="AA10" s="48" t="s">
        <v>309</v>
      </c>
      <c r="AB10" s="49" t="s">
        <v>331</v>
      </c>
      <c r="AC10" s="3">
        <v>0</v>
      </c>
      <c r="AD10" s="3">
        <v>0.44700000000000001</v>
      </c>
      <c r="AE10" s="3">
        <v>0</v>
      </c>
      <c r="AF10" s="3">
        <v>0.4</v>
      </c>
      <c r="AG10" s="3">
        <v>0</v>
      </c>
      <c r="AH10" s="3">
        <v>0.47699999999999998</v>
      </c>
      <c r="AI10" s="3">
        <v>0</v>
      </c>
      <c r="AJ10" s="3">
        <v>0.35499999999999998</v>
      </c>
      <c r="AK10" s="3">
        <v>0</v>
      </c>
      <c r="AL10" s="3">
        <v>0.82</v>
      </c>
      <c r="AM10" s="3">
        <v>0</v>
      </c>
      <c r="AN10" s="3">
        <v>0.59299999999999997</v>
      </c>
      <c r="AO10" s="3">
        <v>0</v>
      </c>
      <c r="AP10" s="3">
        <v>0.59299999999999997</v>
      </c>
      <c r="AQ10" s="3">
        <v>0</v>
      </c>
      <c r="AR10" s="3">
        <v>0.47199999999999998</v>
      </c>
      <c r="AS10" s="3">
        <v>0</v>
      </c>
      <c r="AT10" s="3">
        <v>0.47299999999999998</v>
      </c>
      <c r="AU10" s="3">
        <v>0</v>
      </c>
      <c r="AV10" s="3">
        <v>0.7</v>
      </c>
      <c r="AW10" s="3">
        <v>0</v>
      </c>
      <c r="AX10" s="3">
        <v>0.47899999999999998</v>
      </c>
      <c r="AY10" s="3">
        <v>0</v>
      </c>
      <c r="AZ10" s="3">
        <v>0.755</v>
      </c>
      <c r="BA10" s="3">
        <v>0</v>
      </c>
      <c r="BB10" s="3">
        <v>0.68300000000000005</v>
      </c>
      <c r="BC10" s="3">
        <v>0.87450000000000006</v>
      </c>
      <c r="BD10" s="3">
        <v>0.89</v>
      </c>
      <c r="BE10" s="3">
        <v>0.77749999999999997</v>
      </c>
      <c r="BF10" s="3">
        <v>0.83766666700000003</v>
      </c>
      <c r="BG10" s="3">
        <v>0.87275000000000003</v>
      </c>
      <c r="BH10" s="3">
        <v>0.84599999999999997</v>
      </c>
      <c r="BI10" s="3">
        <v>0.96099999999999997</v>
      </c>
      <c r="BJ10" s="3">
        <v>0.871</v>
      </c>
      <c r="BK10" s="3">
        <v>0.85450000000000004</v>
      </c>
      <c r="BL10" s="3">
        <v>0.87133333300000004</v>
      </c>
      <c r="BM10" s="3">
        <v>0.01</v>
      </c>
      <c r="BN10" s="3">
        <v>0.82666666700000002</v>
      </c>
      <c r="BO10" s="3">
        <v>0.85599999999999998</v>
      </c>
      <c r="BP10" s="48" t="s">
        <v>309</v>
      </c>
      <c r="BQ10" s="49" t="s">
        <v>331</v>
      </c>
      <c r="BR10" s="3">
        <v>-1.5580000000000001</v>
      </c>
      <c r="BS10" s="3">
        <v>-1.05</v>
      </c>
      <c r="BT10" s="3">
        <v>-0.754</v>
      </c>
      <c r="BU10" s="3">
        <v>-1.798</v>
      </c>
      <c r="BV10" s="3">
        <v>-2.2389999999999999</v>
      </c>
      <c r="BW10" s="3">
        <v>3.5779999999999998</v>
      </c>
      <c r="BX10" s="3">
        <v>-1.5389999999999999</v>
      </c>
      <c r="BY10" s="3">
        <v>-1.452</v>
      </c>
      <c r="BZ10" s="3">
        <v>-0.72499999999999998</v>
      </c>
      <c r="CA10" s="3">
        <v>0.63700000000000001</v>
      </c>
      <c r="CB10" s="3">
        <v>-1.716</v>
      </c>
      <c r="CC10" s="3">
        <v>0.79900000000000004</v>
      </c>
      <c r="CD10" s="3">
        <v>-0.92500000000000004</v>
      </c>
    </row>
    <row r="11" spans="1:86" x14ac:dyDescent="0.3">
      <c r="A11" s="48" t="s">
        <v>309</v>
      </c>
      <c r="B11" s="49" t="s">
        <v>332</v>
      </c>
      <c r="C11" s="3">
        <v>52.184144699999997</v>
      </c>
      <c r="D11" s="3">
        <v>127.7145</v>
      </c>
      <c r="E11" s="3">
        <v>58.271869199999998</v>
      </c>
      <c r="F11" s="3">
        <v>26.683816199999999</v>
      </c>
      <c r="G11" s="3">
        <v>26.683816199999999</v>
      </c>
      <c r="H11" s="3">
        <v>110.4474996</v>
      </c>
      <c r="I11" s="48" t="s">
        <v>309</v>
      </c>
      <c r="J11" s="49" t="s">
        <v>332</v>
      </c>
      <c r="K11" s="3">
        <v>45913</v>
      </c>
      <c r="L11" s="48" t="s">
        <v>309</v>
      </c>
      <c r="M11" s="49" t="s">
        <v>332</v>
      </c>
      <c r="N11" s="3">
        <v>12199.570949999999</v>
      </c>
      <c r="O11" s="3">
        <v>14659.04795</v>
      </c>
      <c r="P11" s="3">
        <v>8468.7594520000002</v>
      </c>
      <c r="Q11" s="3">
        <v>7254.200801</v>
      </c>
      <c r="R11" s="3">
        <v>13306.25668</v>
      </c>
      <c r="S11" s="3">
        <v>14330.943579999999</v>
      </c>
      <c r="T11" s="3">
        <v>9186.3719600000004</v>
      </c>
      <c r="U11" s="3">
        <v>16015.137360000001</v>
      </c>
      <c r="V11" s="3">
        <v>12178.303449999999</v>
      </c>
      <c r="W11" s="3">
        <v>8602.7416030000004</v>
      </c>
      <c r="X11" s="3">
        <v>11142.62112</v>
      </c>
      <c r="Y11" s="3">
        <v>1257.517059</v>
      </c>
      <c r="Z11" s="3">
        <v>3172.318323</v>
      </c>
      <c r="AA11" s="48" t="s">
        <v>309</v>
      </c>
      <c r="AB11" s="49" t="s">
        <v>332</v>
      </c>
      <c r="AC11" s="3">
        <v>6.0000000000000001E-3</v>
      </c>
      <c r="AD11" s="3">
        <v>0.432</v>
      </c>
      <c r="AE11" s="3">
        <v>6.6000000000000003E-2</v>
      </c>
      <c r="AF11" s="3">
        <v>0.40799999999999997</v>
      </c>
      <c r="AG11" s="3">
        <v>7.9000000000000001E-2</v>
      </c>
      <c r="AH11" s="3">
        <v>0.48499999999999999</v>
      </c>
      <c r="AI11" s="3">
        <v>6.0000000000000001E-3</v>
      </c>
      <c r="AJ11" s="3">
        <v>0.35499999999999998</v>
      </c>
      <c r="AK11" s="3">
        <v>5.0000000000000001E-3</v>
      </c>
      <c r="AL11" s="3">
        <v>0.82799999999999996</v>
      </c>
      <c r="AM11" s="3">
        <v>4.8000000000000001E-2</v>
      </c>
      <c r="AN11" s="3">
        <v>0.59</v>
      </c>
      <c r="AO11" s="3">
        <v>0</v>
      </c>
      <c r="AP11" s="3">
        <v>0.59</v>
      </c>
      <c r="AQ11" s="3">
        <v>7.0000000000000001E-3</v>
      </c>
      <c r="AR11" s="3">
        <v>0.46400000000000002</v>
      </c>
      <c r="AS11" s="3">
        <v>8.0000000000000002E-3</v>
      </c>
      <c r="AT11" s="3">
        <v>0.46300000000000002</v>
      </c>
      <c r="AU11" s="3">
        <v>8.9999999999999993E-3</v>
      </c>
      <c r="AV11" s="3">
        <v>0.70399999999999996</v>
      </c>
      <c r="AW11" s="3">
        <v>2.3E-2</v>
      </c>
      <c r="AX11" s="3">
        <v>0.47399999999999998</v>
      </c>
      <c r="AY11" s="3">
        <v>0.04</v>
      </c>
      <c r="AZ11" s="3">
        <v>0.78200000000000003</v>
      </c>
      <c r="BA11" s="3">
        <v>0.04</v>
      </c>
      <c r="BB11" s="3">
        <v>0.73099999999999998</v>
      </c>
      <c r="BC11" s="3">
        <v>0.87450000000000006</v>
      </c>
      <c r="BD11" s="3">
        <v>0.878</v>
      </c>
      <c r="BE11" s="3">
        <v>0.78849999999999998</v>
      </c>
      <c r="BF11" s="3">
        <v>0.85733333300000003</v>
      </c>
      <c r="BG11" s="3">
        <v>0.85824999999999996</v>
      </c>
      <c r="BH11" s="3">
        <v>0.85099999999999998</v>
      </c>
      <c r="BI11" s="3">
        <v>0.96899999999999997</v>
      </c>
      <c r="BJ11" s="3">
        <v>0.84199999999999997</v>
      </c>
      <c r="BK11" s="3">
        <v>0.83550000000000002</v>
      </c>
      <c r="BL11" s="3">
        <v>0.89300000000000002</v>
      </c>
      <c r="BM11" s="3">
        <v>0.01</v>
      </c>
      <c r="BN11" s="3">
        <v>0.80866666700000001</v>
      </c>
      <c r="BO11" s="3">
        <v>0.82599999999999996</v>
      </c>
      <c r="BP11" s="48" t="s">
        <v>309</v>
      </c>
      <c r="BQ11" s="49" t="s">
        <v>332</v>
      </c>
      <c r="BR11" s="3">
        <v>-1.4450000000000001</v>
      </c>
      <c r="BS11" s="3">
        <v>-0.93</v>
      </c>
      <c r="BT11" s="3">
        <v>-0.70699999999999996</v>
      </c>
      <c r="BU11" s="3">
        <v>-1.653</v>
      </c>
      <c r="BV11" s="3">
        <v>-1.905</v>
      </c>
      <c r="BW11" s="3">
        <v>3.2669999999999999</v>
      </c>
      <c r="BX11" s="3">
        <v>-2.0230000000000001</v>
      </c>
      <c r="BY11" s="3">
        <v>-1.1779999999999999</v>
      </c>
      <c r="BZ11" s="3">
        <v>-0.42399999999999999</v>
      </c>
      <c r="CA11" s="3">
        <v>0.79</v>
      </c>
      <c r="CB11" s="3">
        <v>-1.6160000000000001</v>
      </c>
      <c r="CC11" s="3">
        <v>0.68899999999999995</v>
      </c>
      <c r="CD11" s="3">
        <v>-0.94599999999999995</v>
      </c>
    </row>
    <row r="12" spans="1:86" x14ac:dyDescent="0.3">
      <c r="A12" s="48" t="s">
        <v>309</v>
      </c>
      <c r="B12" s="49" t="s">
        <v>333</v>
      </c>
      <c r="C12" s="3">
        <v>51.7924869</v>
      </c>
      <c r="D12" s="3">
        <v>107.3568087</v>
      </c>
      <c r="E12" s="3">
        <v>59.557528499999997</v>
      </c>
      <c r="F12" s="3">
        <v>26.666787599999999</v>
      </c>
      <c r="G12" s="3">
        <v>26.666787599999999</v>
      </c>
      <c r="H12" s="3">
        <v>141.91635239999999</v>
      </c>
      <c r="I12" s="48" t="s">
        <v>309</v>
      </c>
      <c r="J12" s="49" t="s">
        <v>333</v>
      </c>
      <c r="K12" s="3">
        <v>47380</v>
      </c>
      <c r="L12" s="48" t="s">
        <v>309</v>
      </c>
      <c r="M12" s="49" t="s">
        <v>333</v>
      </c>
      <c r="N12" s="3">
        <v>10286.25215</v>
      </c>
      <c r="O12" s="3">
        <v>12993.151830000001</v>
      </c>
      <c r="P12" s="3">
        <v>7560.5589819999996</v>
      </c>
      <c r="Q12" s="3">
        <v>6667.9538759999996</v>
      </c>
      <c r="R12" s="3">
        <v>11743.00359</v>
      </c>
      <c r="S12" s="3">
        <v>13130.784019999999</v>
      </c>
      <c r="T12" s="3">
        <v>8195.6592619999992</v>
      </c>
      <c r="U12" s="3">
        <v>13132.69836</v>
      </c>
      <c r="V12" s="3">
        <v>10139.145039999999</v>
      </c>
      <c r="W12" s="3">
        <v>7024.6638000000003</v>
      </c>
      <c r="X12" s="3">
        <v>9894.5593640000006</v>
      </c>
      <c r="Y12" s="3">
        <v>1148.0820289999999</v>
      </c>
      <c r="Z12" s="3">
        <v>3602.975974</v>
      </c>
      <c r="AA12" s="48" t="s">
        <v>309</v>
      </c>
      <c r="AB12" s="49" t="s">
        <v>333</v>
      </c>
      <c r="AC12" s="3">
        <v>0.13600000000000001</v>
      </c>
      <c r="AD12" s="3">
        <v>0.46</v>
      </c>
      <c r="AE12" s="3">
        <v>0.26900000000000002</v>
      </c>
      <c r="AF12" s="3">
        <v>0.433</v>
      </c>
      <c r="AG12" s="3">
        <v>0.24</v>
      </c>
      <c r="AH12" s="3">
        <v>0.54500000000000004</v>
      </c>
      <c r="AI12" s="3">
        <v>3.9E-2</v>
      </c>
      <c r="AJ12" s="3">
        <v>0.38700000000000001</v>
      </c>
      <c r="AK12" s="3">
        <v>6.5000000000000002E-2</v>
      </c>
      <c r="AL12" s="3">
        <v>0.83299999999999996</v>
      </c>
      <c r="AM12" s="3">
        <v>0.13200000000000001</v>
      </c>
      <c r="AN12" s="3">
        <v>0.58599999999999997</v>
      </c>
      <c r="AO12" s="3">
        <v>3.2000000000000001E-2</v>
      </c>
      <c r="AP12" s="3">
        <v>0.58599999999999997</v>
      </c>
      <c r="AQ12" s="3">
        <v>2.5999999999999999E-2</v>
      </c>
      <c r="AR12" s="3">
        <v>0.44800000000000001</v>
      </c>
      <c r="AS12" s="3">
        <v>9.1999999999999998E-2</v>
      </c>
      <c r="AT12" s="3">
        <v>0.45700000000000002</v>
      </c>
      <c r="AU12" s="3">
        <v>9.2999999999999999E-2</v>
      </c>
      <c r="AV12" s="3">
        <v>0.70399999999999996</v>
      </c>
      <c r="AW12" s="3">
        <v>0.125</v>
      </c>
      <c r="AX12" s="3">
        <v>0.54600000000000004</v>
      </c>
      <c r="AY12" s="3">
        <v>0.217</v>
      </c>
      <c r="AZ12" s="3">
        <v>0.80300000000000005</v>
      </c>
      <c r="BA12" s="3">
        <v>0.14599999999999999</v>
      </c>
      <c r="BB12" s="3">
        <v>0.76300000000000001</v>
      </c>
      <c r="BC12" s="3">
        <v>0.88049999999999995</v>
      </c>
      <c r="BD12" s="3">
        <v>0.80649999999999999</v>
      </c>
      <c r="BE12" s="3">
        <v>0.80449999999999999</v>
      </c>
      <c r="BF12" s="3">
        <v>0.87833333300000005</v>
      </c>
      <c r="BG12" s="3">
        <v>0.82725000000000004</v>
      </c>
      <c r="BH12" s="3">
        <v>0.85799999999999998</v>
      </c>
      <c r="BI12" s="3">
        <v>0.96499999999999997</v>
      </c>
      <c r="BJ12" s="3">
        <v>0.77400000000000002</v>
      </c>
      <c r="BK12" s="3">
        <v>0.79649999999999999</v>
      </c>
      <c r="BL12" s="3">
        <v>0.92533333299999998</v>
      </c>
      <c r="BM12" s="3">
        <v>0.01</v>
      </c>
      <c r="BN12" s="3">
        <v>0.81299999999999994</v>
      </c>
      <c r="BO12" s="3">
        <v>0.751</v>
      </c>
      <c r="BP12" s="48" t="s">
        <v>309</v>
      </c>
      <c r="BQ12" s="49" t="s">
        <v>333</v>
      </c>
      <c r="BR12" s="3">
        <v>-1.224</v>
      </c>
      <c r="BS12" s="3">
        <v>-0.64200000000000002</v>
      </c>
      <c r="BT12" s="3">
        <v>-0.28199999999999997</v>
      </c>
      <c r="BU12" s="3">
        <v>-1.0840000000000001</v>
      </c>
      <c r="BV12" s="3">
        <v>-1.4219999999999999</v>
      </c>
      <c r="BW12" s="3">
        <v>3.0409999999999999</v>
      </c>
      <c r="BX12" s="3">
        <v>-1.3140000000000001</v>
      </c>
      <c r="BY12" s="3">
        <v>-0.80800000000000005</v>
      </c>
      <c r="BZ12" s="3">
        <v>0.124</v>
      </c>
      <c r="CA12" s="3">
        <v>1.409</v>
      </c>
      <c r="CB12" s="3">
        <v>-1.1339999999999999</v>
      </c>
      <c r="CC12" s="3">
        <v>0.92700000000000005</v>
      </c>
      <c r="CD12" s="3">
        <v>-0.65300000000000002</v>
      </c>
    </row>
    <row r="13" spans="1:86" x14ac:dyDescent="0.3">
      <c r="A13" s="48" t="s">
        <v>309</v>
      </c>
      <c r="B13" s="49" t="s">
        <v>334</v>
      </c>
      <c r="C13" s="3">
        <v>48.795453299999998</v>
      </c>
      <c r="D13" s="3">
        <v>102.1716</v>
      </c>
      <c r="E13" s="3">
        <v>51.085799999999999</v>
      </c>
      <c r="F13" s="3">
        <v>26.564616000000001</v>
      </c>
      <c r="G13" s="3">
        <v>26.564616000000001</v>
      </c>
      <c r="H13" s="3">
        <v>102.1716</v>
      </c>
      <c r="I13" s="48" t="s">
        <v>309</v>
      </c>
      <c r="J13" s="49" t="s">
        <v>334</v>
      </c>
      <c r="K13" s="3">
        <v>47637.5</v>
      </c>
      <c r="L13" s="48" t="s">
        <v>309</v>
      </c>
      <c r="M13" s="49" t="s">
        <v>334</v>
      </c>
      <c r="N13" s="3">
        <v>8401.8167300000005</v>
      </c>
      <c r="O13" s="3">
        <v>11180.99662</v>
      </c>
      <c r="P13" s="3">
        <v>6490.4022999999997</v>
      </c>
      <c r="Q13" s="3">
        <v>5923.3049950000004</v>
      </c>
      <c r="R13" s="3">
        <v>9527.2131530000006</v>
      </c>
      <c r="S13" s="3">
        <v>11017.11384</v>
      </c>
      <c r="T13" s="3">
        <v>6456.1169060000002</v>
      </c>
      <c r="U13" s="3">
        <v>10878.319890000001</v>
      </c>
      <c r="V13" s="3">
        <v>8245.2735209999992</v>
      </c>
      <c r="W13" s="3">
        <v>5663.7628640000003</v>
      </c>
      <c r="X13" s="3">
        <v>8428.6358529999998</v>
      </c>
      <c r="Y13" s="3">
        <v>919.36364470000001</v>
      </c>
      <c r="Z13" s="3">
        <v>3270.4554659999999</v>
      </c>
      <c r="AA13" s="48" t="s">
        <v>309</v>
      </c>
      <c r="AB13" s="49" t="s">
        <v>334</v>
      </c>
      <c r="AC13" s="3">
        <v>0.38600000000000001</v>
      </c>
      <c r="AD13" s="3">
        <v>0.46600000000000003</v>
      </c>
      <c r="AE13" s="3">
        <v>0.33500000000000002</v>
      </c>
      <c r="AF13" s="3">
        <v>0.46300000000000002</v>
      </c>
      <c r="AG13" s="3">
        <v>0.249</v>
      </c>
      <c r="AH13" s="3">
        <v>0.57199999999999995</v>
      </c>
      <c r="AI13" s="3">
        <v>9.7000000000000003E-2</v>
      </c>
      <c r="AJ13" s="3">
        <v>0.38400000000000001</v>
      </c>
      <c r="AK13" s="3">
        <v>0.18</v>
      </c>
      <c r="AL13" s="3">
        <v>0.83299999999999996</v>
      </c>
      <c r="AM13" s="3">
        <v>0.19900000000000001</v>
      </c>
      <c r="AN13" s="3">
        <v>0.629</v>
      </c>
      <c r="AO13" s="3">
        <v>7.0000000000000007E-2</v>
      </c>
      <c r="AP13" s="3">
        <v>0.629</v>
      </c>
      <c r="AQ13" s="3">
        <v>0.105</v>
      </c>
      <c r="AR13" s="3">
        <v>0.42099999999999999</v>
      </c>
      <c r="AS13" s="3">
        <v>0.17</v>
      </c>
      <c r="AT13" s="3">
        <v>0.443</v>
      </c>
      <c r="AU13" s="3">
        <v>0.17199999999999999</v>
      </c>
      <c r="AV13" s="3">
        <v>0.72099999999999997</v>
      </c>
      <c r="AW13" s="3">
        <v>0.24399999999999999</v>
      </c>
      <c r="AX13" s="3">
        <v>0.57099999999999995</v>
      </c>
      <c r="AY13" s="3">
        <v>0.26400000000000001</v>
      </c>
      <c r="AZ13" s="3">
        <v>0.8</v>
      </c>
      <c r="BA13" s="3">
        <v>0.28499999999999998</v>
      </c>
      <c r="BB13" s="3">
        <v>0.76</v>
      </c>
      <c r="BC13" s="3">
        <v>0.88200000000000001</v>
      </c>
      <c r="BD13" s="3">
        <v>0.82950000000000002</v>
      </c>
      <c r="BE13" s="3">
        <v>0.87450000000000006</v>
      </c>
      <c r="BF13" s="3">
        <v>0.89800000000000002</v>
      </c>
      <c r="BG13" s="3">
        <v>0.83033333399999998</v>
      </c>
      <c r="BH13" s="3">
        <v>0.86</v>
      </c>
      <c r="BI13" s="3">
        <v>0.96150000000000002</v>
      </c>
      <c r="BJ13" s="3">
        <v>0.77866666699999998</v>
      </c>
      <c r="BK13" s="3">
        <v>0.82299999999999995</v>
      </c>
      <c r="BL13" s="3">
        <v>0.91466666699999999</v>
      </c>
      <c r="BM13" s="3">
        <v>0.01</v>
      </c>
      <c r="BN13" s="3">
        <v>0.822333333</v>
      </c>
      <c r="BO13" s="3">
        <v>0.76100000000000001</v>
      </c>
      <c r="BP13" s="48" t="s">
        <v>309</v>
      </c>
      <c r="BQ13" s="49" t="s">
        <v>334</v>
      </c>
      <c r="BR13" s="3">
        <v>-0.96299999999999997</v>
      </c>
      <c r="BS13" s="3">
        <v>-0.314</v>
      </c>
      <c r="BT13" s="3">
        <v>0.158</v>
      </c>
      <c r="BU13" s="3">
        <v>-0.33200000000000002</v>
      </c>
      <c r="BV13" s="3">
        <v>-0.83799999999999997</v>
      </c>
      <c r="BW13" s="3">
        <v>2.927</v>
      </c>
      <c r="BX13" s="3">
        <v>-0.439</v>
      </c>
      <c r="BY13" s="3">
        <v>-0.39400000000000002</v>
      </c>
      <c r="BZ13" s="3">
        <v>0.78500000000000003</v>
      </c>
      <c r="CA13" s="3">
        <v>2.2810000000000001</v>
      </c>
      <c r="CB13" s="3">
        <v>-0.63700000000000001</v>
      </c>
      <c r="CC13" s="3">
        <v>1.3779999999999999</v>
      </c>
      <c r="CD13" s="3">
        <v>-0.16</v>
      </c>
    </row>
    <row r="14" spans="1:86" x14ac:dyDescent="0.3">
      <c r="A14" s="48" t="s">
        <v>309</v>
      </c>
      <c r="B14" s="49" t="s">
        <v>335</v>
      </c>
      <c r="C14" s="3">
        <v>46.7009355</v>
      </c>
      <c r="D14" s="3">
        <v>86.232830399999997</v>
      </c>
      <c r="E14" s="3">
        <v>46.062362999999998</v>
      </c>
      <c r="F14" s="3">
        <v>26.479472999999999</v>
      </c>
      <c r="G14" s="3">
        <v>26.479472999999999</v>
      </c>
      <c r="H14" s="3">
        <v>86.232830399999997</v>
      </c>
      <c r="I14" s="48" t="s">
        <v>309</v>
      </c>
      <c r="J14" s="49" t="s">
        <v>335</v>
      </c>
      <c r="K14" s="3">
        <v>47960</v>
      </c>
      <c r="L14" s="48" t="s">
        <v>309</v>
      </c>
      <c r="M14" s="49" t="s">
        <v>335</v>
      </c>
      <c r="N14" s="3">
        <v>7896.4507450000001</v>
      </c>
      <c r="O14" s="3">
        <v>10685.43706</v>
      </c>
      <c r="P14" s="3">
        <v>6169.3648080000003</v>
      </c>
      <c r="Q14" s="3">
        <v>5605.8497500000003</v>
      </c>
      <c r="R14" s="3">
        <v>9167.3768170000003</v>
      </c>
      <c r="S14" s="3">
        <v>10325.860070000001</v>
      </c>
      <c r="T14" s="3">
        <v>5377.6369510000004</v>
      </c>
      <c r="U14" s="3">
        <v>10543.125969999999</v>
      </c>
      <c r="V14" s="3">
        <v>7768.6154420000003</v>
      </c>
      <c r="W14" s="3">
        <v>4987.0180019999998</v>
      </c>
      <c r="X14" s="3">
        <v>7786.1313899999996</v>
      </c>
      <c r="Y14" s="3">
        <v>802.40105800000003</v>
      </c>
      <c r="Z14" s="3">
        <v>2733.3466389999999</v>
      </c>
      <c r="AA14" s="48" t="s">
        <v>309</v>
      </c>
      <c r="AB14" s="49" t="s">
        <v>335</v>
      </c>
      <c r="AC14" s="3">
        <v>0.40899999999999997</v>
      </c>
      <c r="AD14" s="3">
        <v>0.46600000000000003</v>
      </c>
      <c r="AE14" s="3">
        <v>0.28899999999999998</v>
      </c>
      <c r="AF14" s="3">
        <v>0.48199999999999998</v>
      </c>
      <c r="AG14" s="3">
        <v>0.24299999999999999</v>
      </c>
      <c r="AH14" s="3">
        <v>0.6</v>
      </c>
      <c r="AI14" s="3">
        <v>0.11700000000000001</v>
      </c>
      <c r="AJ14" s="3">
        <v>0.377</v>
      </c>
      <c r="AK14" s="3">
        <v>0.33600000000000002</v>
      </c>
      <c r="AL14" s="3">
        <v>0.83099999999999996</v>
      </c>
      <c r="AM14" s="3">
        <v>0.23400000000000001</v>
      </c>
      <c r="AN14" s="3">
        <v>0.66100000000000003</v>
      </c>
      <c r="AO14" s="3">
        <v>0.11899999999999999</v>
      </c>
      <c r="AP14" s="3">
        <v>0.66100000000000003</v>
      </c>
      <c r="AQ14" s="3">
        <v>0.23</v>
      </c>
      <c r="AR14" s="3">
        <v>0.38200000000000001</v>
      </c>
      <c r="AS14" s="3">
        <v>0.28299999999999997</v>
      </c>
      <c r="AT14" s="3">
        <v>0.42599999999999999</v>
      </c>
      <c r="AU14" s="3">
        <v>0.28599999999999998</v>
      </c>
      <c r="AV14" s="3">
        <v>0.71</v>
      </c>
      <c r="AW14" s="3">
        <v>0.39600000000000002</v>
      </c>
      <c r="AX14" s="3">
        <v>0.58099999999999996</v>
      </c>
      <c r="AY14" s="3">
        <v>0.30399999999999999</v>
      </c>
      <c r="AZ14" s="3">
        <v>0.79</v>
      </c>
      <c r="BA14" s="3">
        <v>0.42799999999999999</v>
      </c>
      <c r="BB14" s="3">
        <v>0.75</v>
      </c>
      <c r="BC14" s="3">
        <v>0.90600000000000003</v>
      </c>
      <c r="BD14" s="3">
        <v>0.89900000000000002</v>
      </c>
      <c r="BE14" s="3">
        <v>0.91100000000000003</v>
      </c>
      <c r="BF14" s="3">
        <v>0.92200000000000004</v>
      </c>
      <c r="BG14" s="3">
        <v>0.89216666700000002</v>
      </c>
      <c r="BH14" s="3">
        <v>0.90900000000000003</v>
      </c>
      <c r="BI14" s="3">
        <v>0.96099999999999997</v>
      </c>
      <c r="BJ14" s="3">
        <v>0.87833333300000005</v>
      </c>
      <c r="BK14" s="3">
        <v>0.85350000000000004</v>
      </c>
      <c r="BL14" s="3">
        <v>0.90333333299999996</v>
      </c>
      <c r="BM14" s="3">
        <v>0.01</v>
      </c>
      <c r="BN14" s="3">
        <v>0.82966666700000002</v>
      </c>
      <c r="BO14" s="3">
        <v>0.79300000000000004</v>
      </c>
      <c r="BP14" s="48" t="s">
        <v>309</v>
      </c>
      <c r="BQ14" s="49" t="s">
        <v>335</v>
      </c>
      <c r="BR14" s="3">
        <v>-0.61499999999999999</v>
      </c>
      <c r="BS14" s="3">
        <v>1.6E-2</v>
      </c>
      <c r="BT14" s="3">
        <v>0.56599999999999995</v>
      </c>
      <c r="BU14" s="3">
        <v>0.40600000000000003</v>
      </c>
      <c r="BV14" s="3">
        <v>-7.0000000000000007E-2</v>
      </c>
      <c r="BW14" s="3">
        <v>2.84</v>
      </c>
      <c r="BX14" s="3">
        <v>0.48799999999999999</v>
      </c>
      <c r="BY14" s="3">
        <v>0.13500000000000001</v>
      </c>
      <c r="BZ14" s="3">
        <v>1.45</v>
      </c>
      <c r="CA14" s="3">
        <v>3.22</v>
      </c>
      <c r="CB14" s="3">
        <v>-6.3E-2</v>
      </c>
      <c r="CC14" s="3">
        <v>2.129</v>
      </c>
      <c r="CD14" s="3">
        <v>0.45400000000000001</v>
      </c>
    </row>
    <row r="15" spans="1:86" x14ac:dyDescent="0.3">
      <c r="A15" s="48" t="s">
        <v>309</v>
      </c>
      <c r="B15" s="49" t="s">
        <v>336</v>
      </c>
      <c r="C15" s="3">
        <v>45.977220000000003</v>
      </c>
      <c r="D15" s="3">
        <v>75.606983999999997</v>
      </c>
      <c r="E15" s="3">
        <v>45.219447299999999</v>
      </c>
      <c r="F15" s="3">
        <v>26.419872900000001</v>
      </c>
      <c r="G15" s="3">
        <v>26.419872900000001</v>
      </c>
      <c r="H15" s="3">
        <v>75.606983999999997</v>
      </c>
      <c r="I15" s="48" t="s">
        <v>309</v>
      </c>
      <c r="J15" s="49" t="s">
        <v>336</v>
      </c>
      <c r="K15" s="3">
        <v>48233</v>
      </c>
      <c r="L15" s="48" t="s">
        <v>309</v>
      </c>
      <c r="M15" s="49" t="s">
        <v>336</v>
      </c>
      <c r="N15" s="3">
        <v>8066.6355640000002</v>
      </c>
      <c r="O15" s="3">
        <v>10785.45397</v>
      </c>
      <c r="P15" s="3">
        <v>6222.8345559999998</v>
      </c>
      <c r="Q15" s="3">
        <v>5496.5741619999999</v>
      </c>
      <c r="R15" s="3">
        <v>9341.8327079999999</v>
      </c>
      <c r="S15" s="3">
        <v>10486.71315</v>
      </c>
      <c r="T15" s="3">
        <v>5046.5082259999999</v>
      </c>
      <c r="U15" s="3">
        <v>10323.45493</v>
      </c>
      <c r="V15" s="3">
        <v>7897.8435170000002</v>
      </c>
      <c r="W15" s="3">
        <v>5090.8353189999998</v>
      </c>
      <c r="X15" s="3">
        <v>8065.9160700000002</v>
      </c>
      <c r="Y15" s="3">
        <v>747.22467949999998</v>
      </c>
      <c r="Z15" s="3">
        <v>2332.4456909999999</v>
      </c>
      <c r="AA15" s="48" t="s">
        <v>309</v>
      </c>
      <c r="AB15" s="49" t="s">
        <v>336</v>
      </c>
      <c r="AC15" s="3">
        <v>0.29599999999999999</v>
      </c>
      <c r="AD15" s="3">
        <v>0.433</v>
      </c>
      <c r="AE15" s="3">
        <v>0.17499999999999999</v>
      </c>
      <c r="AF15" s="3">
        <v>0.48299999999999998</v>
      </c>
      <c r="AG15" s="3">
        <v>0.13300000000000001</v>
      </c>
      <c r="AH15" s="3">
        <v>0.61699999999999999</v>
      </c>
      <c r="AI15" s="3">
        <v>7.0999999999999994E-2</v>
      </c>
      <c r="AJ15" s="3">
        <v>0.35199999999999998</v>
      </c>
      <c r="AK15" s="3">
        <v>0.33500000000000002</v>
      </c>
      <c r="AL15" s="3">
        <v>0.82599999999999996</v>
      </c>
      <c r="AM15" s="3">
        <v>9.0999999999999998E-2</v>
      </c>
      <c r="AN15" s="3">
        <v>0.66900000000000004</v>
      </c>
      <c r="AO15" s="3">
        <v>9.5000000000000001E-2</v>
      </c>
      <c r="AP15" s="3">
        <v>0.66900000000000004</v>
      </c>
      <c r="AQ15" s="3">
        <v>0.34100000000000003</v>
      </c>
      <c r="AR15" s="3">
        <v>0.33800000000000002</v>
      </c>
      <c r="AS15" s="3">
        <v>0.34100000000000003</v>
      </c>
      <c r="AT15" s="3">
        <v>0.40600000000000003</v>
      </c>
      <c r="AU15" s="3">
        <v>0.34100000000000003</v>
      </c>
      <c r="AV15" s="3">
        <v>0.71499999999999997</v>
      </c>
      <c r="AW15" s="3">
        <v>0.34499999999999997</v>
      </c>
      <c r="AX15" s="3">
        <v>0.57699999999999996</v>
      </c>
      <c r="AY15" s="3">
        <v>0.17599999999999999</v>
      </c>
      <c r="AZ15" s="3">
        <v>0.78600000000000003</v>
      </c>
      <c r="BA15" s="3">
        <v>0.24399999999999999</v>
      </c>
      <c r="BB15" s="3">
        <v>0.73299999999999998</v>
      </c>
      <c r="BC15" s="3">
        <v>0.91849999999999998</v>
      </c>
      <c r="BD15" s="3">
        <v>0.92549999999999999</v>
      </c>
      <c r="BE15" s="3">
        <v>0.92749999999999999</v>
      </c>
      <c r="BF15" s="3">
        <v>0.928666667</v>
      </c>
      <c r="BG15" s="3">
        <v>0.88241666699999999</v>
      </c>
      <c r="BH15" s="3">
        <v>0.92</v>
      </c>
      <c r="BI15" s="3">
        <v>0.95550000000000002</v>
      </c>
      <c r="BJ15" s="3">
        <v>0.84633333300000002</v>
      </c>
      <c r="BK15" s="3">
        <v>0.82399999999999995</v>
      </c>
      <c r="BL15" s="3">
        <v>0.87366666699999995</v>
      </c>
      <c r="BM15" s="3">
        <v>0.01</v>
      </c>
      <c r="BN15" s="3">
        <v>0.83066666700000003</v>
      </c>
      <c r="BO15" s="3">
        <v>0.78300000000000003</v>
      </c>
      <c r="BP15" s="48" t="s">
        <v>309</v>
      </c>
      <c r="BQ15" s="49" t="s">
        <v>336</v>
      </c>
      <c r="BR15" s="3">
        <v>-0.26900000000000002</v>
      </c>
      <c r="BS15" s="3">
        <v>0.40899999999999997</v>
      </c>
      <c r="BT15" s="3">
        <v>0.77100000000000002</v>
      </c>
      <c r="BU15" s="3">
        <v>0.89800000000000002</v>
      </c>
      <c r="BV15" s="3">
        <v>0.68400000000000005</v>
      </c>
      <c r="BW15" s="3">
        <v>2.7650000000000001</v>
      </c>
      <c r="BX15" s="3">
        <v>1.1910000000000001</v>
      </c>
      <c r="BY15" s="3">
        <v>0.77800000000000002</v>
      </c>
      <c r="BZ15" s="3">
        <v>1.9750000000000001</v>
      </c>
      <c r="CA15" s="3">
        <v>3.7109999999999999</v>
      </c>
      <c r="CB15" s="3">
        <v>0.63600000000000001</v>
      </c>
      <c r="CC15" s="3">
        <v>2.8879999999999999</v>
      </c>
      <c r="CD15" s="3">
        <v>0.995</v>
      </c>
    </row>
    <row r="16" spans="1:86" x14ac:dyDescent="0.3">
      <c r="A16" s="48" t="s">
        <v>309</v>
      </c>
      <c r="B16" s="49" t="s">
        <v>337</v>
      </c>
      <c r="C16" s="3">
        <v>44.529789000000001</v>
      </c>
      <c r="D16" s="3">
        <v>81.796880099999996</v>
      </c>
      <c r="E16" s="3">
        <v>44.359502999999997</v>
      </c>
      <c r="F16" s="3">
        <v>26.4113586</v>
      </c>
      <c r="G16" s="3">
        <v>26.4113586</v>
      </c>
      <c r="H16" s="3">
        <v>81.796880099999996</v>
      </c>
      <c r="I16" s="48" t="s">
        <v>309</v>
      </c>
      <c r="J16" s="49" t="s">
        <v>337</v>
      </c>
      <c r="K16" s="3">
        <v>48128.5</v>
      </c>
      <c r="L16" s="48" t="s">
        <v>309</v>
      </c>
      <c r="M16" s="49" t="s">
        <v>337</v>
      </c>
      <c r="N16" s="3">
        <v>8579.5639809999993</v>
      </c>
      <c r="O16" s="3">
        <v>11146.45124</v>
      </c>
      <c r="P16" s="3">
        <v>6540.7788399999999</v>
      </c>
      <c r="Q16" s="3">
        <v>5537.611148</v>
      </c>
      <c r="R16" s="3">
        <v>9749.6114500000003</v>
      </c>
      <c r="S16" s="3">
        <v>11052.438969999999</v>
      </c>
      <c r="T16" s="3">
        <v>4869.8922140000004</v>
      </c>
      <c r="U16" s="3">
        <v>10839.56941</v>
      </c>
      <c r="V16" s="3">
        <v>8031.6199569999999</v>
      </c>
      <c r="W16" s="3">
        <v>5282.6211789999998</v>
      </c>
      <c r="X16" s="3">
        <v>8357.6909300000007</v>
      </c>
      <c r="Y16" s="3">
        <v>805.81723360000001</v>
      </c>
      <c r="Z16" s="3">
        <v>2106.056474</v>
      </c>
      <c r="AA16" s="48" t="s">
        <v>309</v>
      </c>
      <c r="AB16" s="49" t="s">
        <v>337</v>
      </c>
      <c r="AC16" s="3">
        <v>0.129</v>
      </c>
      <c r="AD16" s="3">
        <v>0.39400000000000002</v>
      </c>
      <c r="AE16" s="3">
        <v>6.3E-2</v>
      </c>
      <c r="AF16" s="3">
        <v>0.45500000000000002</v>
      </c>
      <c r="AG16" s="3">
        <v>5.8000000000000003E-2</v>
      </c>
      <c r="AH16" s="3">
        <v>0.60599999999999998</v>
      </c>
      <c r="AI16" s="3">
        <v>5.2999999999999999E-2</v>
      </c>
      <c r="AJ16" s="3">
        <v>0.32800000000000001</v>
      </c>
      <c r="AK16" s="3">
        <v>0.154</v>
      </c>
      <c r="AL16" s="3">
        <v>0.81899999999999995</v>
      </c>
      <c r="AM16" s="3">
        <v>5.5E-2</v>
      </c>
      <c r="AN16" s="3">
        <v>0.66900000000000004</v>
      </c>
      <c r="AO16" s="3">
        <v>0.108</v>
      </c>
      <c r="AP16" s="3">
        <v>0.66900000000000004</v>
      </c>
      <c r="AQ16" s="3">
        <v>0.23</v>
      </c>
      <c r="AR16" s="3">
        <v>0.311</v>
      </c>
      <c r="AS16" s="3">
        <v>0.159</v>
      </c>
      <c r="AT16" s="3">
        <v>0.38400000000000001</v>
      </c>
      <c r="AU16" s="3">
        <v>0.158</v>
      </c>
      <c r="AV16" s="3">
        <v>0.72399999999999998</v>
      </c>
      <c r="AW16" s="3">
        <v>0.183</v>
      </c>
      <c r="AX16" s="3">
        <v>0.54900000000000004</v>
      </c>
      <c r="AY16" s="3">
        <v>6.8000000000000005E-2</v>
      </c>
      <c r="AZ16" s="3">
        <v>0.78400000000000003</v>
      </c>
      <c r="BA16" s="3">
        <v>0.17199999999999999</v>
      </c>
      <c r="BB16" s="3">
        <v>0.70299999999999996</v>
      </c>
      <c r="BC16" s="3">
        <v>0.92400000000000004</v>
      </c>
      <c r="BD16" s="3">
        <v>0.9395</v>
      </c>
      <c r="BE16" s="3">
        <v>0.93049999999999999</v>
      </c>
      <c r="BF16" s="3">
        <v>0.92333333299999998</v>
      </c>
      <c r="BG16" s="3">
        <v>0.87683333399999996</v>
      </c>
      <c r="BH16" s="3">
        <v>0.91300000000000003</v>
      </c>
      <c r="BI16" s="3">
        <v>0.94950000000000001</v>
      </c>
      <c r="BJ16" s="3">
        <v>0.82966666700000002</v>
      </c>
      <c r="BK16" s="3">
        <v>0.77700000000000002</v>
      </c>
      <c r="BL16" s="3">
        <v>0.82599999999999996</v>
      </c>
      <c r="BM16" s="3">
        <v>0.01</v>
      </c>
      <c r="BN16" s="3">
        <v>0.83799999999999997</v>
      </c>
      <c r="BO16" s="3">
        <v>0.80500000000000005</v>
      </c>
      <c r="BP16" s="48" t="s">
        <v>309</v>
      </c>
      <c r="BQ16" s="49" t="s">
        <v>337</v>
      </c>
      <c r="BR16" s="3">
        <v>-5.2999999999999999E-2</v>
      </c>
      <c r="BS16" s="3">
        <v>0.68100000000000005</v>
      </c>
      <c r="BT16" s="3">
        <v>0.79600000000000004</v>
      </c>
      <c r="BU16" s="3">
        <v>1.036</v>
      </c>
      <c r="BV16" s="3">
        <v>1.1830000000000001</v>
      </c>
      <c r="BW16" s="3">
        <v>2.6760000000000002</v>
      </c>
      <c r="BX16" s="3">
        <v>1.4770000000000001</v>
      </c>
      <c r="BY16" s="3">
        <v>1.391</v>
      </c>
      <c r="BZ16" s="3">
        <v>2.3210000000000002</v>
      </c>
      <c r="CA16" s="3">
        <v>3.8340000000000001</v>
      </c>
      <c r="CB16" s="3">
        <v>1.131</v>
      </c>
      <c r="CC16" s="3">
        <v>3.306</v>
      </c>
      <c r="CD16" s="3">
        <v>1.347</v>
      </c>
    </row>
    <row r="17" spans="1:82" x14ac:dyDescent="0.3">
      <c r="A17" s="48" t="s">
        <v>309</v>
      </c>
      <c r="B17" s="49" t="s">
        <v>338</v>
      </c>
      <c r="C17" s="3">
        <v>43.678359</v>
      </c>
      <c r="D17" s="3">
        <v>95.896560899999997</v>
      </c>
      <c r="E17" s="3">
        <v>47.194764900000003</v>
      </c>
      <c r="F17" s="3">
        <v>26.470958700000001</v>
      </c>
      <c r="G17" s="3">
        <v>26.470958700000001</v>
      </c>
      <c r="H17" s="3">
        <v>95.896560899999997</v>
      </c>
      <c r="I17" s="48" t="s">
        <v>309</v>
      </c>
      <c r="J17" s="49" t="s">
        <v>338</v>
      </c>
      <c r="K17" s="3">
        <v>47648</v>
      </c>
      <c r="L17" s="48" t="s">
        <v>309</v>
      </c>
      <c r="M17" s="49" t="s">
        <v>338</v>
      </c>
      <c r="N17" s="3">
        <v>8569.3557650000002</v>
      </c>
      <c r="O17" s="3">
        <v>11474.765160000001</v>
      </c>
      <c r="P17" s="3">
        <v>6676.5274129999998</v>
      </c>
      <c r="Q17" s="3">
        <v>5533.7354859999996</v>
      </c>
      <c r="R17" s="3">
        <v>9759.6082330000008</v>
      </c>
      <c r="S17" s="3">
        <v>11359.044159999999</v>
      </c>
      <c r="T17" s="3">
        <v>4716.902118</v>
      </c>
      <c r="U17" s="3">
        <v>10816.85771</v>
      </c>
      <c r="V17" s="3">
        <v>8002.5752259999999</v>
      </c>
      <c r="W17" s="3">
        <v>5395.0258489999997</v>
      </c>
      <c r="X17" s="3">
        <v>8583.5669959999996</v>
      </c>
      <c r="Y17" s="3">
        <v>805.33711640000001</v>
      </c>
      <c r="Z17" s="3">
        <v>2055.4428659999999</v>
      </c>
      <c r="AA17" s="48" t="s">
        <v>309</v>
      </c>
      <c r="AB17" s="49" t="s">
        <v>338</v>
      </c>
      <c r="AC17" s="3">
        <v>4.1000000000000002E-2</v>
      </c>
      <c r="AD17" s="3">
        <v>0.36899999999999999</v>
      </c>
      <c r="AE17" s="3">
        <v>2.8000000000000001E-2</v>
      </c>
      <c r="AF17" s="3">
        <v>0.41699999999999998</v>
      </c>
      <c r="AG17" s="3">
        <v>3.3000000000000002E-2</v>
      </c>
      <c r="AH17" s="3">
        <v>0.56799999999999995</v>
      </c>
      <c r="AI17" s="3">
        <v>4.2999999999999997E-2</v>
      </c>
      <c r="AJ17" s="3">
        <v>0.309</v>
      </c>
      <c r="AK17" s="3">
        <v>5.3999999999999999E-2</v>
      </c>
      <c r="AL17" s="3">
        <v>0.82899999999999996</v>
      </c>
      <c r="AM17" s="3">
        <v>4.1000000000000002E-2</v>
      </c>
      <c r="AN17" s="3">
        <v>0.60499999999999998</v>
      </c>
      <c r="AO17" s="3">
        <v>9.8000000000000004E-2</v>
      </c>
      <c r="AP17" s="3">
        <v>0.60499999999999998</v>
      </c>
      <c r="AQ17" s="3">
        <v>8.1000000000000003E-2</v>
      </c>
      <c r="AR17" s="3">
        <v>0.28799999999999998</v>
      </c>
      <c r="AS17" s="3">
        <v>5.3999999999999999E-2</v>
      </c>
      <c r="AT17" s="3">
        <v>0.37</v>
      </c>
      <c r="AU17" s="3">
        <v>5.3999999999999999E-2</v>
      </c>
      <c r="AV17" s="3">
        <v>0.70199999999999996</v>
      </c>
      <c r="AW17" s="3">
        <v>9.0999999999999998E-2</v>
      </c>
      <c r="AX17" s="3">
        <v>0.53300000000000003</v>
      </c>
      <c r="AY17" s="3">
        <v>4.3999999999999997E-2</v>
      </c>
      <c r="AZ17" s="3">
        <v>0.78600000000000003</v>
      </c>
      <c r="BA17" s="3">
        <v>8.7999999999999995E-2</v>
      </c>
      <c r="BB17" s="3">
        <v>0.65800000000000003</v>
      </c>
      <c r="BC17" s="3">
        <v>0.92149999999999999</v>
      </c>
      <c r="BD17" s="3">
        <v>0.9405</v>
      </c>
      <c r="BE17" s="3">
        <v>0.92349999999999999</v>
      </c>
      <c r="BF17" s="3">
        <v>0.90766666699999998</v>
      </c>
      <c r="BG17" s="3">
        <v>0.87675000000000003</v>
      </c>
      <c r="BH17" s="3">
        <v>0.89800000000000002</v>
      </c>
      <c r="BI17" s="3">
        <v>0.95099999999999996</v>
      </c>
      <c r="BJ17" s="3">
        <v>0.83199999999999996</v>
      </c>
      <c r="BK17" s="3">
        <v>0.74950000000000006</v>
      </c>
      <c r="BL17" s="3">
        <v>0.80700000000000005</v>
      </c>
      <c r="BM17" s="3">
        <v>0.01</v>
      </c>
      <c r="BN17" s="3">
        <v>0.83966666700000003</v>
      </c>
      <c r="BO17" s="3">
        <v>0.81799999999999995</v>
      </c>
      <c r="BP17" s="48" t="s">
        <v>309</v>
      </c>
      <c r="BQ17" s="49" t="s">
        <v>338</v>
      </c>
      <c r="BR17" s="3">
        <v>-0.157</v>
      </c>
      <c r="BS17" s="3">
        <v>0.49099999999999999</v>
      </c>
      <c r="BT17" s="3">
        <v>0.61299999999999999</v>
      </c>
      <c r="BU17" s="3">
        <v>0.70399999999999996</v>
      </c>
      <c r="BV17" s="3">
        <v>1.1679999999999999</v>
      </c>
      <c r="BW17" s="3">
        <v>2.7069999999999999</v>
      </c>
      <c r="BX17" s="3">
        <v>1.2010000000000001</v>
      </c>
      <c r="BY17" s="3">
        <v>1.7709999999999999</v>
      </c>
      <c r="BZ17" s="3">
        <v>2.4159999999999999</v>
      </c>
      <c r="CA17" s="3">
        <v>3.6579999999999999</v>
      </c>
      <c r="CB17" s="3">
        <v>1.1839999999999999</v>
      </c>
      <c r="CC17" s="3">
        <v>3.21</v>
      </c>
      <c r="CD17" s="3">
        <v>1.3979999999999999</v>
      </c>
    </row>
    <row r="18" spans="1:82" x14ac:dyDescent="0.3">
      <c r="A18" s="48" t="s">
        <v>309</v>
      </c>
      <c r="B18" s="49" t="s">
        <v>339</v>
      </c>
      <c r="C18" s="3">
        <v>45.951677099999998</v>
      </c>
      <c r="D18" s="3">
        <v>104.72589000000001</v>
      </c>
      <c r="E18" s="3">
        <v>49.638368999999997</v>
      </c>
      <c r="F18" s="3">
        <v>26.6327304</v>
      </c>
      <c r="G18" s="3">
        <v>26.6327304</v>
      </c>
      <c r="H18" s="3">
        <v>94.2873582</v>
      </c>
      <c r="I18" s="48" t="s">
        <v>309</v>
      </c>
      <c r="J18" s="49" t="s">
        <v>339</v>
      </c>
      <c r="K18" s="3">
        <v>47762</v>
      </c>
      <c r="L18" s="48" t="s">
        <v>309</v>
      </c>
      <c r="M18" s="49" t="s">
        <v>339</v>
      </c>
      <c r="N18" s="3">
        <v>8619.1945510000005</v>
      </c>
      <c r="O18" s="3">
        <v>11872.35079</v>
      </c>
      <c r="P18" s="3">
        <v>6854.6047360000002</v>
      </c>
      <c r="Q18" s="3">
        <v>5927.046147</v>
      </c>
      <c r="R18" s="3">
        <v>9736.9581209999997</v>
      </c>
      <c r="S18" s="3">
        <v>11897.729660000001</v>
      </c>
      <c r="T18" s="3">
        <v>4924.8396279999997</v>
      </c>
      <c r="U18" s="3">
        <v>10729.14062</v>
      </c>
      <c r="V18" s="3">
        <v>8072.1822519999996</v>
      </c>
      <c r="W18" s="3">
        <v>5486.9386009999998</v>
      </c>
      <c r="X18" s="3">
        <v>8884.6953599999997</v>
      </c>
      <c r="Y18" s="3">
        <v>819.45794420000004</v>
      </c>
      <c r="Z18" s="3">
        <v>2277.787433</v>
      </c>
      <c r="AA18" s="48" t="s">
        <v>309</v>
      </c>
      <c r="AB18" s="49" t="s">
        <v>339</v>
      </c>
      <c r="AC18" s="3">
        <v>8.0000000000000002E-3</v>
      </c>
      <c r="AD18" s="3">
        <v>0.309</v>
      </c>
      <c r="AE18" s="3">
        <v>8.0000000000000002E-3</v>
      </c>
      <c r="AF18" s="3">
        <v>0.374</v>
      </c>
      <c r="AG18" s="3">
        <v>1.2999999999999999E-2</v>
      </c>
      <c r="AH18" s="3">
        <v>0.53300000000000003</v>
      </c>
      <c r="AI18" s="3">
        <v>2.9000000000000001E-2</v>
      </c>
      <c r="AJ18" s="3">
        <v>0.28100000000000003</v>
      </c>
      <c r="AK18" s="3">
        <v>1.2999999999999999E-2</v>
      </c>
      <c r="AL18" s="3">
        <v>0.83899999999999997</v>
      </c>
      <c r="AM18" s="3">
        <v>1.4999999999999999E-2</v>
      </c>
      <c r="AN18" s="3">
        <v>0.58199999999999996</v>
      </c>
      <c r="AO18" s="3">
        <v>2.1000000000000001E-2</v>
      </c>
      <c r="AP18" s="3">
        <v>0.58199999999999996</v>
      </c>
      <c r="AQ18" s="3">
        <v>1.6E-2</v>
      </c>
      <c r="AR18" s="3">
        <v>0.30599999999999999</v>
      </c>
      <c r="AS18" s="3">
        <v>0.02</v>
      </c>
      <c r="AT18" s="3">
        <v>0.38100000000000001</v>
      </c>
      <c r="AU18" s="3">
        <v>0.02</v>
      </c>
      <c r="AV18" s="3">
        <v>0.625</v>
      </c>
      <c r="AW18" s="3">
        <v>3.2000000000000001E-2</v>
      </c>
      <c r="AX18" s="3">
        <v>0.499</v>
      </c>
      <c r="AY18" s="3">
        <v>1.7000000000000001E-2</v>
      </c>
      <c r="AZ18" s="3">
        <v>0.77100000000000002</v>
      </c>
      <c r="BA18" s="3">
        <v>4.1000000000000002E-2</v>
      </c>
      <c r="BB18" s="3">
        <v>0.621</v>
      </c>
      <c r="BC18" s="3">
        <v>0.91600000000000004</v>
      </c>
      <c r="BD18" s="3">
        <v>0.93149999999999999</v>
      </c>
      <c r="BE18" s="3">
        <v>0.90649999999999997</v>
      </c>
      <c r="BF18" s="3">
        <v>0.89800000000000002</v>
      </c>
      <c r="BG18" s="3">
        <v>0.87533333400000002</v>
      </c>
      <c r="BH18" s="3">
        <v>0.88400000000000001</v>
      </c>
      <c r="BI18" s="3">
        <v>0.93</v>
      </c>
      <c r="BJ18" s="3">
        <v>0.83466666700000003</v>
      </c>
      <c r="BK18" s="3">
        <v>0.76049999999999995</v>
      </c>
      <c r="BL18" s="3">
        <v>0.81866666700000001</v>
      </c>
      <c r="BM18" s="3">
        <v>0.01</v>
      </c>
      <c r="BN18" s="3">
        <v>0.83133333300000001</v>
      </c>
      <c r="BO18" s="3">
        <v>0.81200000000000006</v>
      </c>
      <c r="BP18" s="48" t="s">
        <v>309</v>
      </c>
      <c r="BQ18" s="49" t="s">
        <v>339</v>
      </c>
      <c r="BR18" s="3">
        <v>-0.80500000000000005</v>
      </c>
      <c r="BS18" s="3">
        <v>-0.36699999999999999</v>
      </c>
      <c r="BT18" s="3">
        <v>-8.4000000000000005E-2</v>
      </c>
      <c r="BU18" s="3">
        <v>-0.20799999999999999</v>
      </c>
      <c r="BV18" s="3">
        <v>0.01</v>
      </c>
      <c r="BW18" s="3">
        <v>2.7629999999999999</v>
      </c>
      <c r="BX18" s="3">
        <v>7.9000000000000001E-2</v>
      </c>
      <c r="BY18" s="3">
        <v>1.494</v>
      </c>
      <c r="BZ18" s="3">
        <v>1.7470000000000001</v>
      </c>
      <c r="CA18" s="3">
        <v>2.9769999999999999</v>
      </c>
      <c r="CB18" s="3">
        <v>0.68100000000000005</v>
      </c>
      <c r="CC18" s="3">
        <v>2.5939999999999999</v>
      </c>
      <c r="CD18" s="3">
        <v>0.83299999999999996</v>
      </c>
    </row>
    <row r="19" spans="1:82" x14ac:dyDescent="0.3">
      <c r="A19" s="48" t="s">
        <v>309</v>
      </c>
      <c r="B19" s="49" t="s">
        <v>340</v>
      </c>
      <c r="C19" s="3">
        <v>52.1586018</v>
      </c>
      <c r="D19" s="3">
        <v>114.347049</v>
      </c>
      <c r="E19" s="3">
        <v>60.809130600000003</v>
      </c>
      <c r="F19" s="3">
        <v>26.922216599999999</v>
      </c>
      <c r="G19" s="3">
        <v>26.922216599999999</v>
      </c>
      <c r="H19" s="3">
        <v>149.00024999999999</v>
      </c>
      <c r="I19" s="48" t="s">
        <v>309</v>
      </c>
      <c r="J19" s="49" t="s">
        <v>340</v>
      </c>
      <c r="K19" s="3">
        <v>49187</v>
      </c>
      <c r="L19" s="48" t="s">
        <v>309</v>
      </c>
      <c r="M19" s="49" t="s">
        <v>340</v>
      </c>
      <c r="N19" s="3">
        <v>10351.51953</v>
      </c>
      <c r="O19" s="3">
        <v>13831.559450000001</v>
      </c>
      <c r="P19" s="3">
        <v>8289.8556649999991</v>
      </c>
      <c r="Q19" s="3">
        <v>7039.8388169999998</v>
      </c>
      <c r="R19" s="3">
        <v>11564.97781</v>
      </c>
      <c r="S19" s="3">
        <v>14349.830980000001</v>
      </c>
      <c r="T19" s="3">
        <v>6790.2947709999999</v>
      </c>
      <c r="U19" s="3">
        <v>13031.256240000001</v>
      </c>
      <c r="V19" s="3">
        <v>9320.1537690000005</v>
      </c>
      <c r="W19" s="3">
        <v>6529.7363150000001</v>
      </c>
      <c r="X19" s="3">
        <v>10894.61031</v>
      </c>
      <c r="Y19" s="3">
        <v>1101.3883310000001</v>
      </c>
      <c r="Z19" s="3">
        <v>2449.4852310000001</v>
      </c>
      <c r="AA19" s="48" t="s">
        <v>309</v>
      </c>
      <c r="AB19" s="49" t="s">
        <v>340</v>
      </c>
      <c r="AC19" s="3">
        <v>0</v>
      </c>
      <c r="AD19" s="3">
        <v>0.315</v>
      </c>
      <c r="AE19" s="3">
        <v>0</v>
      </c>
      <c r="AF19" s="3">
        <v>0.36299999999999999</v>
      </c>
      <c r="AG19" s="3">
        <v>0</v>
      </c>
      <c r="AH19" s="3">
        <v>0.53300000000000003</v>
      </c>
      <c r="AI19" s="3">
        <v>0</v>
      </c>
      <c r="AJ19" s="3">
        <v>0.373</v>
      </c>
      <c r="AK19" s="3">
        <v>0</v>
      </c>
      <c r="AL19" s="3">
        <v>0.83399999999999996</v>
      </c>
      <c r="AM19" s="3">
        <v>0</v>
      </c>
      <c r="AN19" s="3">
        <v>0.628</v>
      </c>
      <c r="AO19" s="3">
        <v>0</v>
      </c>
      <c r="AP19" s="3">
        <v>0.628</v>
      </c>
      <c r="AQ19" s="3">
        <v>0</v>
      </c>
      <c r="AR19" s="3">
        <v>0.41599999999999998</v>
      </c>
      <c r="AS19" s="3">
        <v>0</v>
      </c>
      <c r="AT19" s="3">
        <v>0.49199999999999999</v>
      </c>
      <c r="AU19" s="3">
        <v>0</v>
      </c>
      <c r="AV19" s="3">
        <v>0.625</v>
      </c>
      <c r="AW19" s="3">
        <v>1E-3</v>
      </c>
      <c r="AX19" s="3">
        <v>0.49399999999999999</v>
      </c>
      <c r="AY19" s="3">
        <v>0</v>
      </c>
      <c r="AZ19" s="3">
        <v>0.76500000000000001</v>
      </c>
      <c r="BA19" s="3">
        <v>1E-3</v>
      </c>
      <c r="BB19" s="3">
        <v>0.66200000000000003</v>
      </c>
      <c r="BC19" s="3">
        <v>0.90700000000000003</v>
      </c>
      <c r="BD19" s="3">
        <v>0.91800000000000004</v>
      </c>
      <c r="BE19" s="3">
        <v>0.88649999999999995</v>
      </c>
      <c r="BF19" s="3">
        <v>0.87033333300000004</v>
      </c>
      <c r="BG19" s="3">
        <v>0.87966666699999996</v>
      </c>
      <c r="BH19" s="3">
        <v>0.86299999999999999</v>
      </c>
      <c r="BI19" s="3">
        <v>0.92249999999999999</v>
      </c>
      <c r="BJ19" s="3">
        <v>0.85233333300000003</v>
      </c>
      <c r="BK19" s="3">
        <v>0.77700000000000002</v>
      </c>
      <c r="BL19" s="3">
        <v>0.825333333</v>
      </c>
      <c r="BM19" s="3">
        <v>0.01</v>
      </c>
      <c r="BN19" s="3">
        <v>0.82799999999999996</v>
      </c>
      <c r="BO19" s="3">
        <v>0.78600000000000003</v>
      </c>
      <c r="BP19" s="48" t="s">
        <v>309</v>
      </c>
      <c r="BQ19" s="49" t="s">
        <v>340</v>
      </c>
      <c r="BR19" s="3">
        <v>-2.5859999999999999</v>
      </c>
      <c r="BS19" s="3">
        <v>-1.909</v>
      </c>
      <c r="BT19" s="3">
        <v>-1.0469999999999999</v>
      </c>
      <c r="BU19" s="3">
        <v>-1.37</v>
      </c>
      <c r="BV19" s="3">
        <v>-2.242</v>
      </c>
      <c r="BW19" s="3">
        <v>2.863</v>
      </c>
      <c r="BX19" s="3">
        <v>-1.474</v>
      </c>
      <c r="BY19" s="3">
        <v>0.89900000000000002</v>
      </c>
      <c r="BZ19" s="3">
        <v>0.438</v>
      </c>
      <c r="CA19" s="3">
        <v>1.5940000000000001</v>
      </c>
      <c r="CB19" s="3">
        <v>-0.66600000000000004</v>
      </c>
      <c r="CC19" s="3">
        <v>1.5409999999999999</v>
      </c>
      <c r="CD19" s="3">
        <v>-6.9000000000000006E-2</v>
      </c>
    </row>
    <row r="20" spans="1:82" x14ac:dyDescent="0.3">
      <c r="A20" s="48" t="s">
        <v>309</v>
      </c>
      <c r="B20" s="49" t="s">
        <v>341</v>
      </c>
      <c r="C20" s="3">
        <v>54.329748299999999</v>
      </c>
      <c r="D20" s="3">
        <v>118.34877</v>
      </c>
      <c r="E20" s="3">
        <v>51.000656999999997</v>
      </c>
      <c r="F20" s="3">
        <v>26.7263877</v>
      </c>
      <c r="G20" s="3">
        <v>26.7263877</v>
      </c>
      <c r="H20" s="3">
        <v>118.34877</v>
      </c>
      <c r="I20" s="48" t="s">
        <v>309</v>
      </c>
      <c r="J20" s="49" t="s">
        <v>341</v>
      </c>
      <c r="K20" s="3">
        <v>51643.5</v>
      </c>
      <c r="L20" s="48" t="s">
        <v>309</v>
      </c>
      <c r="M20" s="49" t="s">
        <v>341</v>
      </c>
      <c r="N20" s="3">
        <v>12405.349050000001</v>
      </c>
      <c r="O20" s="3">
        <v>16409.020629999999</v>
      </c>
      <c r="P20" s="3">
        <v>9771.1220379999995</v>
      </c>
      <c r="Q20" s="3">
        <v>8355.5799449999995</v>
      </c>
      <c r="R20" s="3">
        <v>13588.228810000001</v>
      </c>
      <c r="S20" s="3">
        <v>17376.804929999998</v>
      </c>
      <c r="T20" s="3">
        <v>9522.1047170000002</v>
      </c>
      <c r="U20" s="3">
        <v>15624.713610000001</v>
      </c>
      <c r="V20" s="3">
        <v>11967.469090000001</v>
      </c>
      <c r="W20" s="3">
        <v>8835.3209330000009</v>
      </c>
      <c r="X20" s="3">
        <v>12647.963159999999</v>
      </c>
      <c r="Y20" s="3">
        <v>1442.0270049999999</v>
      </c>
      <c r="Z20" s="3">
        <v>3278.5707830000001</v>
      </c>
      <c r="AA20" s="48" t="s">
        <v>309</v>
      </c>
      <c r="AB20" s="49" t="s">
        <v>341</v>
      </c>
      <c r="AC20" s="3">
        <v>0</v>
      </c>
      <c r="AD20" s="3">
        <v>0.37</v>
      </c>
      <c r="AE20" s="3">
        <v>0</v>
      </c>
      <c r="AF20" s="3">
        <v>0.39300000000000002</v>
      </c>
      <c r="AG20" s="3">
        <v>0</v>
      </c>
      <c r="AH20" s="3">
        <v>0.497</v>
      </c>
      <c r="AI20" s="3">
        <v>0</v>
      </c>
      <c r="AJ20" s="3">
        <v>0.45400000000000001</v>
      </c>
      <c r="AK20" s="3">
        <v>0</v>
      </c>
      <c r="AL20" s="3">
        <v>0.81100000000000005</v>
      </c>
      <c r="AM20" s="3">
        <v>0</v>
      </c>
      <c r="AN20" s="3">
        <v>0.63</v>
      </c>
      <c r="AO20" s="3">
        <v>0</v>
      </c>
      <c r="AP20" s="3">
        <v>0.63</v>
      </c>
      <c r="AQ20" s="3">
        <v>0</v>
      </c>
      <c r="AR20" s="3">
        <v>0.53500000000000003</v>
      </c>
      <c r="AS20" s="3">
        <v>0</v>
      </c>
      <c r="AT20" s="3">
        <v>0.58899999999999997</v>
      </c>
      <c r="AU20" s="3">
        <v>0</v>
      </c>
      <c r="AV20" s="3">
        <v>0.66900000000000004</v>
      </c>
      <c r="AW20" s="3">
        <v>0</v>
      </c>
      <c r="AX20" s="3">
        <v>0.47699999999999998</v>
      </c>
      <c r="AY20" s="3">
        <v>0</v>
      </c>
      <c r="AZ20" s="3">
        <v>0.75600000000000001</v>
      </c>
      <c r="BA20" s="3">
        <v>0</v>
      </c>
      <c r="BB20" s="3">
        <v>0.68899999999999995</v>
      </c>
      <c r="BC20" s="3">
        <v>0.88949999999999996</v>
      </c>
      <c r="BD20" s="3">
        <v>0.88249999999999995</v>
      </c>
      <c r="BE20" s="3">
        <v>0.83599999999999997</v>
      </c>
      <c r="BF20" s="3">
        <v>0.81433333299999999</v>
      </c>
      <c r="BG20" s="3">
        <v>0.87541666699999998</v>
      </c>
      <c r="BH20" s="3">
        <v>0.82</v>
      </c>
      <c r="BI20" s="3">
        <v>0.90649999999999997</v>
      </c>
      <c r="BJ20" s="3">
        <v>0.86133333300000003</v>
      </c>
      <c r="BK20" s="3">
        <v>0.77449999999999997</v>
      </c>
      <c r="BL20" s="3">
        <v>0.823333333</v>
      </c>
      <c r="BM20" s="3">
        <v>0.01</v>
      </c>
      <c r="BN20" s="3">
        <v>0.82066666700000002</v>
      </c>
      <c r="BO20" s="3">
        <v>0.79</v>
      </c>
      <c r="BP20" s="48" t="s">
        <v>309</v>
      </c>
      <c r="BQ20" s="49" t="s">
        <v>341</v>
      </c>
      <c r="BR20" s="3">
        <v>-2.7610000000000001</v>
      </c>
      <c r="BS20" s="3">
        <v>-2.42</v>
      </c>
      <c r="BT20" s="3">
        <v>-1.4690000000000001</v>
      </c>
      <c r="BU20" s="3">
        <v>-1.8160000000000001</v>
      </c>
      <c r="BV20" s="3">
        <v>-2.2469999999999999</v>
      </c>
      <c r="BW20" s="3">
        <v>2.9910000000000001</v>
      </c>
      <c r="BX20" s="3">
        <v>-2.0419999999999998</v>
      </c>
      <c r="BY20" s="3">
        <v>1.175</v>
      </c>
      <c r="BZ20" s="3">
        <v>0.79700000000000004</v>
      </c>
      <c r="CA20" s="3">
        <v>1.2609999999999999</v>
      </c>
      <c r="CB20" s="3">
        <v>-1.9670000000000001</v>
      </c>
      <c r="CC20" s="3">
        <v>0.88400000000000001</v>
      </c>
      <c r="CD20" s="3">
        <v>-0.66800000000000004</v>
      </c>
    </row>
    <row r="21" spans="1:82" x14ac:dyDescent="0.3">
      <c r="A21" s="48" t="s">
        <v>309</v>
      </c>
      <c r="B21" s="49" t="s">
        <v>342</v>
      </c>
      <c r="C21" s="3">
        <v>53.291003699999997</v>
      </c>
      <c r="D21" s="3">
        <v>103.278459</v>
      </c>
      <c r="E21" s="3">
        <v>38.229207000000002</v>
      </c>
      <c r="F21" s="3">
        <v>26.402844300000002</v>
      </c>
      <c r="G21" s="3">
        <v>26.402844300000002</v>
      </c>
      <c r="H21" s="3">
        <v>103.278459</v>
      </c>
      <c r="I21" s="48" t="s">
        <v>309</v>
      </c>
      <c r="J21" s="49" t="s">
        <v>342</v>
      </c>
      <c r="K21" s="3">
        <v>51329</v>
      </c>
      <c r="L21" s="48" t="s">
        <v>309</v>
      </c>
      <c r="M21" s="49" t="s">
        <v>342</v>
      </c>
      <c r="N21" s="3">
        <v>13588.30377</v>
      </c>
      <c r="O21" s="3">
        <v>17240.260630000001</v>
      </c>
      <c r="P21" s="3">
        <v>10374.84605</v>
      </c>
      <c r="Q21" s="3">
        <v>8804.6675950000008</v>
      </c>
      <c r="R21" s="3">
        <v>15017.00539</v>
      </c>
      <c r="S21" s="3">
        <v>18677.45016</v>
      </c>
      <c r="T21" s="3">
        <v>10858.477129999999</v>
      </c>
      <c r="U21" s="3">
        <v>17644.71125</v>
      </c>
      <c r="V21" s="3">
        <v>13214.952939999999</v>
      </c>
      <c r="W21" s="3">
        <v>10067.588250000001</v>
      </c>
      <c r="X21" s="3">
        <v>13644.36047</v>
      </c>
      <c r="Y21" s="3">
        <v>1660.38066</v>
      </c>
      <c r="Z21" s="3">
        <v>4293.9462249999997</v>
      </c>
      <c r="AA21" s="48" t="s">
        <v>309</v>
      </c>
      <c r="AB21" s="49" t="s">
        <v>342</v>
      </c>
      <c r="AC21" s="3">
        <v>0</v>
      </c>
      <c r="AD21" s="3">
        <v>0.40600000000000003</v>
      </c>
      <c r="AE21" s="3">
        <v>0</v>
      </c>
      <c r="AF21" s="3">
        <v>0.37</v>
      </c>
      <c r="AG21" s="3">
        <v>0</v>
      </c>
      <c r="AH21" s="3">
        <v>0.496</v>
      </c>
      <c r="AI21" s="3">
        <v>0</v>
      </c>
      <c r="AJ21" s="3">
        <v>0.47299999999999998</v>
      </c>
      <c r="AK21" s="3">
        <v>0</v>
      </c>
      <c r="AL21" s="3">
        <v>0.77200000000000002</v>
      </c>
      <c r="AM21" s="3">
        <v>0</v>
      </c>
      <c r="AN21" s="3">
        <v>0.60399999999999998</v>
      </c>
      <c r="AO21" s="3">
        <v>0</v>
      </c>
      <c r="AP21" s="3">
        <v>0.60399999999999998</v>
      </c>
      <c r="AQ21" s="3">
        <v>0</v>
      </c>
      <c r="AR21" s="3">
        <v>0.59699999999999998</v>
      </c>
      <c r="AS21" s="3">
        <v>0</v>
      </c>
      <c r="AT21" s="3">
        <v>0.63500000000000001</v>
      </c>
      <c r="AU21" s="3">
        <v>0</v>
      </c>
      <c r="AV21" s="3">
        <v>0.69199999999999995</v>
      </c>
      <c r="AW21" s="3">
        <v>0</v>
      </c>
      <c r="AX21" s="3">
        <v>0.439</v>
      </c>
      <c r="AY21" s="3">
        <v>0</v>
      </c>
      <c r="AZ21" s="3">
        <v>0.73899999999999999</v>
      </c>
      <c r="BA21" s="3">
        <v>0</v>
      </c>
      <c r="BB21" s="3">
        <v>0.71199999999999997</v>
      </c>
      <c r="BC21" s="3">
        <v>0.85450000000000004</v>
      </c>
      <c r="BD21" s="3">
        <v>0.81699999999999995</v>
      </c>
      <c r="BE21" s="3">
        <v>0.81100000000000005</v>
      </c>
      <c r="BF21" s="3">
        <v>0.79900000000000004</v>
      </c>
      <c r="BG21" s="3">
        <v>0.85824999999999996</v>
      </c>
      <c r="BH21" s="3">
        <v>0.80100000000000005</v>
      </c>
      <c r="BI21" s="3">
        <v>0.879</v>
      </c>
      <c r="BJ21" s="3">
        <v>0.86199999999999999</v>
      </c>
      <c r="BK21" s="3">
        <v>0.77900000000000003</v>
      </c>
      <c r="BL21" s="3">
        <v>0.83633333300000001</v>
      </c>
      <c r="BM21" s="3">
        <v>0.01</v>
      </c>
      <c r="BN21" s="3">
        <v>0.806666667</v>
      </c>
      <c r="BO21" s="3">
        <v>0.8</v>
      </c>
      <c r="BP21" s="48" t="s">
        <v>309</v>
      </c>
      <c r="BQ21" s="49" t="s">
        <v>342</v>
      </c>
      <c r="BR21" s="3">
        <v>-2.6419999999999999</v>
      </c>
      <c r="BS21" s="3">
        <v>-2.5619999999999998</v>
      </c>
      <c r="BT21" s="3">
        <v>-2.0110000000000001</v>
      </c>
      <c r="BU21" s="3">
        <v>-2.0190000000000001</v>
      </c>
      <c r="BV21" s="3">
        <v>-2.0630000000000002</v>
      </c>
      <c r="BW21" s="3">
        <v>3.165</v>
      </c>
      <c r="BX21" s="3">
        <v>-2.4340000000000002</v>
      </c>
      <c r="BY21" s="3">
        <v>1.3939999999999999</v>
      </c>
      <c r="BZ21" s="3">
        <v>1.268</v>
      </c>
      <c r="CA21" s="3">
        <v>1.331</v>
      </c>
      <c r="CB21" s="3">
        <v>-2.39</v>
      </c>
      <c r="CC21" s="3">
        <v>0.55900000000000005</v>
      </c>
      <c r="CD21" s="3">
        <v>-1.0509999999999999</v>
      </c>
    </row>
    <row r="22" spans="1:82" x14ac:dyDescent="0.3">
      <c r="A22" s="48" t="s">
        <v>309</v>
      </c>
      <c r="B22" s="49" t="s">
        <v>343</v>
      </c>
      <c r="C22" s="3">
        <v>53.291003699999997</v>
      </c>
      <c r="D22" s="3">
        <v>84.376712999999995</v>
      </c>
      <c r="E22" s="3">
        <v>39.055094099999998</v>
      </c>
      <c r="F22" s="3">
        <v>25.5088428</v>
      </c>
      <c r="G22" s="3">
        <v>25.5088428</v>
      </c>
      <c r="H22" s="3">
        <v>84.376712999999995</v>
      </c>
      <c r="I22" s="48" t="s">
        <v>309</v>
      </c>
      <c r="J22" s="49" t="s">
        <v>343</v>
      </c>
      <c r="K22" s="3">
        <v>50343</v>
      </c>
      <c r="L22" s="48" t="s">
        <v>309</v>
      </c>
      <c r="M22" s="49" t="s">
        <v>343</v>
      </c>
      <c r="N22" s="3">
        <v>14126.31415</v>
      </c>
      <c r="O22" s="3">
        <v>17741.613130000002</v>
      </c>
      <c r="P22" s="3">
        <v>10598.461209999999</v>
      </c>
      <c r="Q22" s="3">
        <v>8859.5758330000008</v>
      </c>
      <c r="R22" s="3">
        <v>16455.427390000001</v>
      </c>
      <c r="S22" s="3">
        <v>19500.359339999999</v>
      </c>
      <c r="T22" s="3">
        <v>11240.59086</v>
      </c>
      <c r="U22" s="3">
        <v>18939.812399999999</v>
      </c>
      <c r="V22" s="3">
        <v>13203.751899999999</v>
      </c>
      <c r="W22" s="3">
        <v>10518.735549999999</v>
      </c>
      <c r="X22" s="3">
        <v>14284.45205</v>
      </c>
      <c r="Y22" s="3">
        <v>1735.9982480000001</v>
      </c>
      <c r="Z22" s="3">
        <v>4860.707144</v>
      </c>
      <c r="AA22" s="48" t="s">
        <v>309</v>
      </c>
      <c r="AB22" s="49" t="s">
        <v>343</v>
      </c>
      <c r="AC22" s="3">
        <v>0</v>
      </c>
      <c r="AD22" s="3">
        <v>0.42899999999999999</v>
      </c>
      <c r="AE22" s="3">
        <v>0</v>
      </c>
      <c r="AF22" s="3">
        <v>0.35699999999999998</v>
      </c>
      <c r="AG22" s="3">
        <v>0</v>
      </c>
      <c r="AH22" s="3">
        <v>0.49</v>
      </c>
      <c r="AI22" s="3">
        <v>0</v>
      </c>
      <c r="AJ22" s="3">
        <v>0.47099999999999997</v>
      </c>
      <c r="AK22" s="3">
        <v>0</v>
      </c>
      <c r="AL22" s="3">
        <v>0.71799999999999997</v>
      </c>
      <c r="AM22" s="3">
        <v>0</v>
      </c>
      <c r="AN22" s="3">
        <v>0.60399999999999998</v>
      </c>
      <c r="AO22" s="3">
        <v>0</v>
      </c>
      <c r="AP22" s="3">
        <v>0.60399999999999998</v>
      </c>
      <c r="AQ22" s="3">
        <v>0</v>
      </c>
      <c r="AR22" s="3">
        <v>0.60599999999999998</v>
      </c>
      <c r="AS22" s="3">
        <v>0</v>
      </c>
      <c r="AT22" s="3">
        <v>0.64400000000000002</v>
      </c>
      <c r="AU22" s="3">
        <v>0</v>
      </c>
      <c r="AV22" s="3">
        <v>0.71399999999999997</v>
      </c>
      <c r="AW22" s="3">
        <v>0</v>
      </c>
      <c r="AX22" s="3">
        <v>0.39600000000000002</v>
      </c>
      <c r="AY22" s="3">
        <v>0</v>
      </c>
      <c r="AZ22" s="3">
        <v>0.71099999999999997</v>
      </c>
      <c r="BA22" s="3">
        <v>0</v>
      </c>
      <c r="BB22" s="3">
        <v>0.7</v>
      </c>
      <c r="BC22" s="3">
        <v>0.81850000000000001</v>
      </c>
      <c r="BD22" s="3">
        <v>0.78249999999999997</v>
      </c>
      <c r="BE22" s="3">
        <v>0.79249999999999998</v>
      </c>
      <c r="BF22" s="3">
        <v>0.79</v>
      </c>
      <c r="BG22" s="3">
        <v>0.82908333400000001</v>
      </c>
      <c r="BH22" s="3">
        <v>0.77700000000000002</v>
      </c>
      <c r="BI22" s="3">
        <v>0.86550000000000005</v>
      </c>
      <c r="BJ22" s="3">
        <v>0.83966666700000003</v>
      </c>
      <c r="BK22" s="3">
        <v>0.76049999999999995</v>
      </c>
      <c r="BL22" s="3">
        <v>0.84299999999999997</v>
      </c>
      <c r="BM22" s="3">
        <v>0.01</v>
      </c>
      <c r="BN22" s="3">
        <v>0.78566666699999999</v>
      </c>
      <c r="BO22" s="3">
        <v>0.80100000000000005</v>
      </c>
      <c r="BP22" s="48" t="s">
        <v>309</v>
      </c>
      <c r="BQ22" s="49" t="s">
        <v>343</v>
      </c>
      <c r="BR22" s="3">
        <v>-2.4239999999999999</v>
      </c>
      <c r="BS22" s="3">
        <v>-2.7709999999999999</v>
      </c>
      <c r="BT22" s="3">
        <v>-2.1539999999999999</v>
      </c>
      <c r="BU22" s="3">
        <v>-2.1190000000000002</v>
      </c>
      <c r="BV22" s="3">
        <v>-1.8220000000000001</v>
      </c>
      <c r="BW22" s="3">
        <v>3.367</v>
      </c>
      <c r="BX22" s="3">
        <v>-2.6280000000000001</v>
      </c>
      <c r="BY22" s="3">
        <v>1.409</v>
      </c>
      <c r="BZ22" s="3">
        <v>1.4510000000000001</v>
      </c>
      <c r="CA22" s="3">
        <v>1.4650000000000001</v>
      </c>
      <c r="CB22" s="3">
        <v>-2.6589999999999998</v>
      </c>
      <c r="CC22" s="3">
        <v>0.30199999999999999</v>
      </c>
      <c r="CD22" s="3">
        <v>-1.363</v>
      </c>
    </row>
    <row r="23" spans="1:82" x14ac:dyDescent="0.3">
      <c r="A23" s="48" t="s">
        <v>309</v>
      </c>
      <c r="B23" s="49" t="s">
        <v>344</v>
      </c>
      <c r="C23" s="3">
        <v>48.6932817</v>
      </c>
      <c r="D23" s="3">
        <v>76.798985999999999</v>
      </c>
      <c r="E23" s="3">
        <v>38.331378600000001</v>
      </c>
      <c r="F23" s="3">
        <v>25.3811283</v>
      </c>
      <c r="G23" s="3">
        <v>25.3811283</v>
      </c>
      <c r="H23" s="3">
        <v>72.2268069</v>
      </c>
      <c r="I23" s="48" t="s">
        <v>309</v>
      </c>
      <c r="J23" s="49" t="s">
        <v>344</v>
      </c>
      <c r="K23" s="3">
        <v>47564.5</v>
      </c>
      <c r="L23" s="48" t="s">
        <v>309</v>
      </c>
      <c r="M23" s="49" t="s">
        <v>344</v>
      </c>
      <c r="N23" s="3">
        <v>13225.831550000001</v>
      </c>
      <c r="O23" s="3">
        <v>16375.490390000001</v>
      </c>
      <c r="P23" s="3">
        <v>9890.1801720000003</v>
      </c>
      <c r="Q23" s="3">
        <v>8354.0669099999996</v>
      </c>
      <c r="R23" s="3">
        <v>16078.22063</v>
      </c>
      <c r="S23" s="3">
        <v>18567.09258</v>
      </c>
      <c r="T23" s="3">
        <v>10734.29753</v>
      </c>
      <c r="U23" s="3">
        <v>17776.189610000001</v>
      </c>
      <c r="V23" s="3">
        <v>12068.351409999999</v>
      </c>
      <c r="W23" s="3">
        <v>9542.8294609999994</v>
      </c>
      <c r="X23" s="3">
        <v>13472.052729999999</v>
      </c>
      <c r="Y23" s="3">
        <v>1610.240562</v>
      </c>
      <c r="Z23" s="3">
        <v>4496.9362140000003</v>
      </c>
      <c r="AA23" s="48" t="s">
        <v>309</v>
      </c>
      <c r="AB23" s="49" t="s">
        <v>344</v>
      </c>
      <c r="AC23" s="3">
        <v>0</v>
      </c>
      <c r="AD23" s="3">
        <v>0.45</v>
      </c>
      <c r="AE23" s="3">
        <v>0</v>
      </c>
      <c r="AF23" s="3">
        <v>0.34200000000000003</v>
      </c>
      <c r="AG23" s="3">
        <v>0</v>
      </c>
      <c r="AH23" s="3">
        <v>0.48599999999999999</v>
      </c>
      <c r="AI23" s="3">
        <v>0</v>
      </c>
      <c r="AJ23" s="3">
        <v>0.45900000000000002</v>
      </c>
      <c r="AK23" s="3">
        <v>0</v>
      </c>
      <c r="AL23" s="3">
        <v>0.65800000000000003</v>
      </c>
      <c r="AM23" s="3">
        <v>0</v>
      </c>
      <c r="AN23" s="3">
        <v>0.59699999999999998</v>
      </c>
      <c r="AO23" s="3">
        <v>0</v>
      </c>
      <c r="AP23" s="3">
        <v>0.59699999999999998</v>
      </c>
      <c r="AQ23" s="3">
        <v>0</v>
      </c>
      <c r="AR23" s="3">
        <v>0.58099999999999996</v>
      </c>
      <c r="AS23" s="3">
        <v>0</v>
      </c>
      <c r="AT23" s="3">
        <v>0.629</v>
      </c>
      <c r="AU23" s="3">
        <v>0</v>
      </c>
      <c r="AV23" s="3">
        <v>0.72099999999999997</v>
      </c>
      <c r="AW23" s="3">
        <v>0</v>
      </c>
      <c r="AX23" s="3">
        <v>0.35799999999999998</v>
      </c>
      <c r="AY23" s="3">
        <v>0</v>
      </c>
      <c r="AZ23" s="3">
        <v>0.71199999999999997</v>
      </c>
      <c r="BA23" s="3">
        <v>0</v>
      </c>
      <c r="BB23" s="3">
        <v>0.65800000000000003</v>
      </c>
      <c r="BC23" s="3">
        <v>0.78749999999999998</v>
      </c>
      <c r="BD23" s="3">
        <v>0.77349999999999997</v>
      </c>
      <c r="BE23" s="3">
        <v>0.78049999999999997</v>
      </c>
      <c r="BF23" s="3">
        <v>0.78633333299999997</v>
      </c>
      <c r="BG23" s="3">
        <v>0.81591666699999998</v>
      </c>
      <c r="BH23" s="3">
        <v>0.76500000000000001</v>
      </c>
      <c r="BI23" s="3">
        <v>0.85950000000000004</v>
      </c>
      <c r="BJ23" s="3">
        <v>0.84433333300000002</v>
      </c>
      <c r="BK23" s="3">
        <v>0.77900000000000003</v>
      </c>
      <c r="BL23" s="3">
        <v>0.82799999999999996</v>
      </c>
      <c r="BM23" s="3">
        <v>0.01</v>
      </c>
      <c r="BN23" s="3">
        <v>0.74533333300000004</v>
      </c>
      <c r="BO23" s="3">
        <v>0.77300000000000002</v>
      </c>
      <c r="BP23" s="48" t="s">
        <v>309</v>
      </c>
      <c r="BQ23" s="49" t="s">
        <v>344</v>
      </c>
      <c r="BR23" s="3">
        <v>-2.125</v>
      </c>
      <c r="BS23" s="3">
        <v>-2.746</v>
      </c>
      <c r="BT23" s="3">
        <v>-2.202</v>
      </c>
      <c r="BU23" s="3">
        <v>-2.3820000000000001</v>
      </c>
      <c r="BV23" s="3">
        <v>-1.698</v>
      </c>
      <c r="BW23" s="3">
        <v>3.6190000000000002</v>
      </c>
      <c r="BX23" s="3">
        <v>-2.7410000000000001</v>
      </c>
      <c r="BY23" s="3">
        <v>1.3029999999999999</v>
      </c>
      <c r="BZ23" s="3">
        <v>1.391</v>
      </c>
      <c r="CA23" s="3">
        <v>1.74</v>
      </c>
      <c r="CB23" s="3">
        <v>-2.843</v>
      </c>
      <c r="CC23" s="3">
        <v>0.29899999999999999</v>
      </c>
      <c r="CD23" s="3">
        <v>-1.651</v>
      </c>
    </row>
    <row r="24" spans="1:82" x14ac:dyDescent="0.3">
      <c r="A24" s="48" t="s">
        <v>309</v>
      </c>
      <c r="B24" s="49" t="s">
        <v>345</v>
      </c>
      <c r="C24" s="3">
        <v>45.270533100000002</v>
      </c>
      <c r="D24" s="3">
        <v>75.010982999999996</v>
      </c>
      <c r="E24" s="3">
        <v>38.399493</v>
      </c>
      <c r="F24" s="3">
        <v>24.870270300000001</v>
      </c>
      <c r="G24" s="3">
        <v>24.870270300000001</v>
      </c>
      <c r="H24" s="3">
        <v>68.403886200000002</v>
      </c>
      <c r="I24" s="48" t="s">
        <v>309</v>
      </c>
      <c r="J24" s="49" t="s">
        <v>345</v>
      </c>
      <c r="K24" s="3">
        <v>43251.5</v>
      </c>
      <c r="L24" s="48" t="s">
        <v>309</v>
      </c>
      <c r="M24" s="49" t="s">
        <v>345</v>
      </c>
      <c r="N24" s="3">
        <v>12160.33591</v>
      </c>
      <c r="O24" s="3">
        <v>14600.415419999999</v>
      </c>
      <c r="P24" s="3">
        <v>8847.4307160000008</v>
      </c>
      <c r="Q24" s="3">
        <v>7394.1958809999996</v>
      </c>
      <c r="R24" s="3">
        <v>15236.346009999999</v>
      </c>
      <c r="S24" s="3">
        <v>16901.171009999998</v>
      </c>
      <c r="T24" s="3">
        <v>10033.71355</v>
      </c>
      <c r="U24" s="3">
        <v>16387.14431</v>
      </c>
      <c r="V24" s="3">
        <v>10823.977720000001</v>
      </c>
      <c r="W24" s="3">
        <v>8520.6659660000005</v>
      </c>
      <c r="X24" s="3">
        <v>12372.816639999999</v>
      </c>
      <c r="Y24" s="3">
        <v>1463.1836840000001</v>
      </c>
      <c r="Z24" s="3">
        <v>3970.8751609999999</v>
      </c>
      <c r="AA24" s="48" t="s">
        <v>309</v>
      </c>
      <c r="AB24" s="49" t="s">
        <v>345</v>
      </c>
      <c r="AC24" s="3">
        <v>0</v>
      </c>
      <c r="AD24" s="3">
        <v>0.46200000000000002</v>
      </c>
      <c r="AE24" s="3">
        <v>0</v>
      </c>
      <c r="AF24" s="3">
        <v>0.29499999999999998</v>
      </c>
      <c r="AG24" s="3">
        <v>0</v>
      </c>
      <c r="AH24" s="3">
        <v>0.49199999999999999</v>
      </c>
      <c r="AI24" s="3">
        <v>0</v>
      </c>
      <c r="AJ24" s="3">
        <v>0.45300000000000001</v>
      </c>
      <c r="AK24" s="3">
        <v>0</v>
      </c>
      <c r="AL24" s="3">
        <v>0.59599999999999997</v>
      </c>
      <c r="AM24" s="3">
        <v>0</v>
      </c>
      <c r="AN24" s="3">
        <v>0.56599999999999995</v>
      </c>
      <c r="AO24" s="3">
        <v>0</v>
      </c>
      <c r="AP24" s="3">
        <v>0.56599999999999995</v>
      </c>
      <c r="AQ24" s="3">
        <v>0</v>
      </c>
      <c r="AR24" s="3">
        <v>0.54200000000000004</v>
      </c>
      <c r="AS24" s="3">
        <v>0</v>
      </c>
      <c r="AT24" s="3">
        <v>0.60199999999999998</v>
      </c>
      <c r="AU24" s="3">
        <v>0</v>
      </c>
      <c r="AV24" s="3">
        <v>0.71</v>
      </c>
      <c r="AW24" s="3">
        <v>0</v>
      </c>
      <c r="AX24" s="3">
        <v>0.36099999999999999</v>
      </c>
      <c r="AY24" s="3">
        <v>0</v>
      </c>
      <c r="AZ24" s="3">
        <v>0.7</v>
      </c>
      <c r="BA24" s="3">
        <v>0</v>
      </c>
      <c r="BB24" s="3">
        <v>0.65</v>
      </c>
      <c r="BC24" s="3">
        <v>0.75749999999999995</v>
      </c>
      <c r="BD24" s="3">
        <v>0.76349999999999996</v>
      </c>
      <c r="BE24" s="3">
        <v>0.77600000000000002</v>
      </c>
      <c r="BF24" s="3">
        <v>0.77666666699999998</v>
      </c>
      <c r="BG24" s="3">
        <v>0.79341666700000002</v>
      </c>
      <c r="BH24" s="3">
        <v>0.75600000000000001</v>
      </c>
      <c r="BI24" s="3">
        <v>0.82399999999999995</v>
      </c>
      <c r="BJ24" s="3">
        <v>0.82933333300000001</v>
      </c>
      <c r="BK24" s="3">
        <v>0.78249999999999997</v>
      </c>
      <c r="BL24" s="3">
        <v>0.78733333299999997</v>
      </c>
      <c r="BM24" s="3">
        <v>0.01</v>
      </c>
      <c r="BN24" s="3">
        <v>0.70799999999999996</v>
      </c>
      <c r="BO24" s="3">
        <v>0.76100000000000001</v>
      </c>
      <c r="BP24" s="48" t="s">
        <v>309</v>
      </c>
      <c r="BQ24" s="49" t="s">
        <v>345</v>
      </c>
      <c r="BR24" s="3">
        <v>-1.9350000000000001</v>
      </c>
      <c r="BS24" s="3">
        <v>-2.6640000000000001</v>
      </c>
      <c r="BT24" s="3">
        <v>-2.2530000000000001</v>
      </c>
      <c r="BU24" s="3">
        <v>-2.4750000000000001</v>
      </c>
      <c r="BV24" s="3">
        <v>-1.6339999999999999</v>
      </c>
      <c r="BW24" s="3">
        <v>3.8519999999999999</v>
      </c>
      <c r="BX24" s="3">
        <v>-2.911</v>
      </c>
      <c r="BY24" s="3">
        <v>1.167</v>
      </c>
      <c r="BZ24" s="3">
        <v>1.2569999999999999</v>
      </c>
      <c r="CA24" s="3">
        <v>2.004</v>
      </c>
      <c r="CB24" s="3">
        <v>-2.839</v>
      </c>
      <c r="CC24" s="3">
        <v>0.52100000000000002</v>
      </c>
      <c r="CD24" s="3">
        <v>-1.7769999999999999</v>
      </c>
    </row>
    <row r="25" spans="1:82" x14ac:dyDescent="0.3">
      <c r="A25" s="48" t="s">
        <v>309</v>
      </c>
      <c r="B25" s="49" t="s">
        <v>346</v>
      </c>
      <c r="C25" s="3">
        <v>36.049546200000002</v>
      </c>
      <c r="D25" s="3">
        <v>71.222119500000005</v>
      </c>
      <c r="E25" s="3">
        <v>33.078055499999998</v>
      </c>
      <c r="F25" s="3">
        <v>24.546726899999999</v>
      </c>
      <c r="G25" s="3">
        <v>24.546726899999999</v>
      </c>
      <c r="H25" s="3">
        <v>67.705713599999996</v>
      </c>
      <c r="I25" s="48" t="s">
        <v>309</v>
      </c>
      <c r="J25" s="49" t="s">
        <v>346</v>
      </c>
      <c r="K25" s="3">
        <v>38420.5</v>
      </c>
      <c r="L25" s="48" t="s">
        <v>309</v>
      </c>
      <c r="M25" s="49" t="s">
        <v>346</v>
      </c>
      <c r="N25" s="3">
        <v>10283.673339999999</v>
      </c>
      <c r="O25" s="3">
        <v>12087.0398</v>
      </c>
      <c r="P25" s="3">
        <v>7246.4393229999996</v>
      </c>
      <c r="Q25" s="3">
        <v>5958.4530119999999</v>
      </c>
      <c r="R25" s="3">
        <v>13479.913280000001</v>
      </c>
      <c r="S25" s="3">
        <v>13856.65041</v>
      </c>
      <c r="T25" s="3">
        <v>8474.9182899999996</v>
      </c>
      <c r="U25" s="3">
        <v>13968.91928</v>
      </c>
      <c r="V25" s="3">
        <v>8969.7671559999999</v>
      </c>
      <c r="W25" s="3">
        <v>6812.7421420000001</v>
      </c>
      <c r="X25" s="3">
        <v>10295.29408</v>
      </c>
      <c r="Y25" s="3">
        <v>1146.1696710000001</v>
      </c>
      <c r="Z25" s="3">
        <v>3237.896561</v>
      </c>
      <c r="AA25" s="48" t="s">
        <v>309</v>
      </c>
      <c r="AB25" s="49" t="s">
        <v>346</v>
      </c>
      <c r="AC25" s="3">
        <v>0</v>
      </c>
      <c r="AD25" s="3">
        <v>0.44</v>
      </c>
      <c r="AE25" s="3">
        <v>0</v>
      </c>
      <c r="AF25" s="3">
        <v>0.26100000000000001</v>
      </c>
      <c r="AG25" s="3">
        <v>0</v>
      </c>
      <c r="AH25" s="3">
        <v>0.439</v>
      </c>
      <c r="AI25" s="3">
        <v>0</v>
      </c>
      <c r="AJ25" s="3">
        <v>0.433</v>
      </c>
      <c r="AK25" s="3">
        <v>0</v>
      </c>
      <c r="AL25" s="3">
        <v>0.53</v>
      </c>
      <c r="AM25" s="3">
        <v>0</v>
      </c>
      <c r="AN25" s="3">
        <v>0.53300000000000003</v>
      </c>
      <c r="AO25" s="3">
        <v>0</v>
      </c>
      <c r="AP25" s="3">
        <v>0.53300000000000003</v>
      </c>
      <c r="AQ25" s="3">
        <v>0</v>
      </c>
      <c r="AR25" s="3">
        <v>0.52</v>
      </c>
      <c r="AS25" s="3">
        <v>0</v>
      </c>
      <c r="AT25" s="3">
        <v>0.58799999999999997</v>
      </c>
      <c r="AU25" s="3">
        <v>0</v>
      </c>
      <c r="AV25" s="3">
        <v>0.70499999999999996</v>
      </c>
      <c r="AW25" s="3">
        <v>0</v>
      </c>
      <c r="AX25" s="3">
        <v>0.36499999999999999</v>
      </c>
      <c r="AY25" s="3">
        <v>0</v>
      </c>
      <c r="AZ25" s="3">
        <v>0.67400000000000004</v>
      </c>
      <c r="BA25" s="3">
        <v>0</v>
      </c>
      <c r="BB25" s="3">
        <v>0.63400000000000001</v>
      </c>
      <c r="BC25" s="3">
        <v>0.747</v>
      </c>
      <c r="BD25" s="3">
        <v>0.76900000000000002</v>
      </c>
      <c r="BE25" s="3">
        <v>0.77249999999999996</v>
      </c>
      <c r="BF25" s="3">
        <v>0.747</v>
      </c>
      <c r="BG25" s="3">
        <v>0.78149999999999997</v>
      </c>
      <c r="BH25" s="3">
        <v>0.72799999999999998</v>
      </c>
      <c r="BI25" s="3">
        <v>0.76849999999999996</v>
      </c>
      <c r="BJ25" s="3">
        <v>0.81599999999999995</v>
      </c>
      <c r="BK25" s="3">
        <v>0.76849999999999996</v>
      </c>
      <c r="BL25" s="3">
        <v>0.73966666700000006</v>
      </c>
      <c r="BM25" s="3">
        <v>0.01</v>
      </c>
      <c r="BN25" s="3">
        <v>0.67833333299999998</v>
      </c>
      <c r="BO25" s="3">
        <v>0.72399999999999998</v>
      </c>
      <c r="BP25" s="48" t="s">
        <v>309</v>
      </c>
      <c r="BQ25" s="49" t="s">
        <v>346</v>
      </c>
      <c r="BR25" s="3">
        <v>-1.867</v>
      </c>
      <c r="BS25" s="3">
        <v>-2.5350000000000001</v>
      </c>
      <c r="BT25" s="3">
        <v>-2.1669999999999998</v>
      </c>
      <c r="BU25" s="3">
        <v>-2.4609999999999999</v>
      </c>
      <c r="BV25" s="3">
        <v>-1.6870000000000001</v>
      </c>
      <c r="BW25" s="3">
        <v>4.0590000000000002</v>
      </c>
      <c r="BX25" s="3">
        <v>-3.0110000000000001</v>
      </c>
      <c r="BY25" s="3">
        <v>1.0529999999999999</v>
      </c>
      <c r="BZ25" s="3">
        <v>1.2430000000000001</v>
      </c>
      <c r="CA25" s="3">
        <v>2.1840000000000002</v>
      </c>
      <c r="CB25" s="3">
        <v>-2.6720000000000002</v>
      </c>
      <c r="CC25" s="3">
        <v>0.74</v>
      </c>
      <c r="CD25" s="3">
        <v>-1.8939999999999999</v>
      </c>
    </row>
    <row r="26" spans="1:82" x14ac:dyDescent="0.3">
      <c r="A26" s="48" t="s">
        <v>309</v>
      </c>
      <c r="B26" s="49" t="s">
        <v>347</v>
      </c>
      <c r="C26" s="3">
        <v>35.4876024</v>
      </c>
      <c r="D26" s="3">
        <v>67.203369899999998</v>
      </c>
      <c r="E26" s="3">
        <v>33.307941599999999</v>
      </c>
      <c r="F26" s="3">
        <v>24.282783599999998</v>
      </c>
      <c r="G26" s="3">
        <v>24.282783599999998</v>
      </c>
      <c r="H26" s="3">
        <v>63.00582</v>
      </c>
      <c r="I26" s="48" t="s">
        <v>309</v>
      </c>
      <c r="J26" s="49" t="s">
        <v>347</v>
      </c>
      <c r="K26" s="3">
        <v>34986</v>
      </c>
      <c r="L26" s="48" t="s">
        <v>309</v>
      </c>
      <c r="M26" s="49" t="s">
        <v>347</v>
      </c>
      <c r="N26" s="3">
        <v>5863.8737799999999</v>
      </c>
      <c r="O26" s="3">
        <v>6866.6073749999996</v>
      </c>
      <c r="P26" s="3">
        <v>4101.0938489999999</v>
      </c>
      <c r="Q26" s="3">
        <v>3510.2346980000002</v>
      </c>
      <c r="R26" s="3">
        <v>8193.0161559999997</v>
      </c>
      <c r="S26" s="3">
        <v>7950.7972529999997</v>
      </c>
      <c r="T26" s="3">
        <v>5033.7080859999996</v>
      </c>
      <c r="U26" s="3">
        <v>7752.648596</v>
      </c>
      <c r="V26" s="3">
        <v>4981.906422</v>
      </c>
      <c r="W26" s="3">
        <v>3568.2508790000002</v>
      </c>
      <c r="X26" s="3">
        <v>5879.0046609999999</v>
      </c>
      <c r="Y26" s="3">
        <v>643.07980810000004</v>
      </c>
      <c r="Z26" s="3">
        <v>2200.8988939999999</v>
      </c>
      <c r="AA26" s="48" t="s">
        <v>309</v>
      </c>
      <c r="AB26" s="49" t="s">
        <v>347</v>
      </c>
      <c r="AC26" s="3">
        <v>0</v>
      </c>
      <c r="AD26" s="3">
        <v>0.42799999999999999</v>
      </c>
      <c r="AE26" s="3">
        <v>0</v>
      </c>
      <c r="AF26" s="3">
        <v>0.26100000000000001</v>
      </c>
      <c r="AG26" s="3">
        <v>0</v>
      </c>
      <c r="AH26" s="3">
        <v>0.35499999999999998</v>
      </c>
      <c r="AI26" s="3">
        <v>0</v>
      </c>
      <c r="AJ26" s="3">
        <v>0.42199999999999999</v>
      </c>
      <c r="AK26" s="3">
        <v>0</v>
      </c>
      <c r="AL26" s="3">
        <v>0.48299999999999998</v>
      </c>
      <c r="AM26" s="3">
        <v>0</v>
      </c>
      <c r="AN26" s="3">
        <v>0.52900000000000003</v>
      </c>
      <c r="AO26" s="3">
        <v>0</v>
      </c>
      <c r="AP26" s="3">
        <v>0.52900000000000003</v>
      </c>
      <c r="AQ26" s="3">
        <v>0</v>
      </c>
      <c r="AR26" s="3">
        <v>0.502</v>
      </c>
      <c r="AS26" s="3">
        <v>0</v>
      </c>
      <c r="AT26" s="3">
        <v>0.56399999999999995</v>
      </c>
      <c r="AU26" s="3">
        <v>0</v>
      </c>
      <c r="AV26" s="3">
        <v>0.68899999999999995</v>
      </c>
      <c r="AW26" s="3">
        <v>0</v>
      </c>
      <c r="AX26" s="3">
        <v>0.34899999999999998</v>
      </c>
      <c r="AY26" s="3">
        <v>0</v>
      </c>
      <c r="AZ26" s="3">
        <v>0.66100000000000003</v>
      </c>
      <c r="BA26" s="3">
        <v>0</v>
      </c>
      <c r="BB26" s="3">
        <v>0.62</v>
      </c>
      <c r="BC26" s="3">
        <v>0.72150000000000003</v>
      </c>
      <c r="BD26" s="3">
        <v>0.746</v>
      </c>
      <c r="BE26" s="3">
        <v>0.748</v>
      </c>
      <c r="BF26" s="3">
        <v>0.71399999999999997</v>
      </c>
      <c r="BG26" s="3">
        <v>0.760583334</v>
      </c>
      <c r="BH26" s="3">
        <v>0.69899999999999995</v>
      </c>
      <c r="BI26" s="3">
        <v>0.76649999999999996</v>
      </c>
      <c r="BJ26" s="3">
        <v>0.799666667</v>
      </c>
      <c r="BK26" s="3">
        <v>0.73399999999999999</v>
      </c>
      <c r="BL26" s="3">
        <v>0.66500000000000004</v>
      </c>
      <c r="BM26" s="3">
        <v>0.01</v>
      </c>
      <c r="BN26" s="3">
        <v>0.66333333299999997</v>
      </c>
      <c r="BO26" s="3">
        <v>0.69599999999999995</v>
      </c>
      <c r="BP26" s="48" t="s">
        <v>309</v>
      </c>
      <c r="BQ26" s="49" t="s">
        <v>347</v>
      </c>
      <c r="BR26" s="3">
        <v>-1.8029999999999999</v>
      </c>
      <c r="BS26" s="3">
        <v>-2.294</v>
      </c>
      <c r="BT26" s="3">
        <v>-2.1339999999999999</v>
      </c>
      <c r="BU26" s="3">
        <v>-2.5259999999999998</v>
      </c>
      <c r="BV26" s="3">
        <v>-1.6870000000000001</v>
      </c>
      <c r="BW26" s="3">
        <v>4.1970000000000001</v>
      </c>
      <c r="BX26" s="3">
        <v>-3.028</v>
      </c>
      <c r="BY26" s="3">
        <v>0.98799999999999999</v>
      </c>
      <c r="BZ26" s="3">
        <v>1.2290000000000001</v>
      </c>
      <c r="CA26" s="3">
        <v>2.2639999999999998</v>
      </c>
      <c r="CB26" s="3">
        <v>-2.5270000000000001</v>
      </c>
      <c r="CC26" s="3">
        <v>0.94299999999999995</v>
      </c>
      <c r="CD26" s="3">
        <v>-1.881</v>
      </c>
    </row>
    <row r="27" spans="1:82" x14ac:dyDescent="0.3">
      <c r="A27" s="48" t="s">
        <v>310</v>
      </c>
      <c r="B27" s="49" t="s">
        <v>324</v>
      </c>
      <c r="C27" s="3">
        <v>29.873684000000001</v>
      </c>
      <c r="D27" s="3">
        <v>35.543759999999999</v>
      </c>
      <c r="E27" s="3">
        <v>26.006184399999999</v>
      </c>
      <c r="F27" s="3">
        <v>25.176829999999999</v>
      </c>
      <c r="G27" s="3">
        <v>-4.2567883999999996</v>
      </c>
      <c r="H27" s="3">
        <v>26.006184399999999</v>
      </c>
      <c r="I27" s="48" t="s">
        <v>310</v>
      </c>
      <c r="J27" s="49" t="s">
        <v>324</v>
      </c>
      <c r="K27" s="3">
        <v>28245</v>
      </c>
      <c r="L27" s="48" t="s">
        <v>310</v>
      </c>
      <c r="M27" s="49" t="s">
        <v>324</v>
      </c>
      <c r="N27" s="3">
        <v>2223.3144860000002</v>
      </c>
      <c r="O27" s="3">
        <v>2738.0692089999998</v>
      </c>
      <c r="P27" s="3">
        <v>1379.7098820000001</v>
      </c>
      <c r="Q27" s="3">
        <v>1329.970687</v>
      </c>
      <c r="R27" s="3">
        <v>3374.8526310000002</v>
      </c>
      <c r="S27" s="3">
        <v>3132.5256119999999</v>
      </c>
      <c r="T27" s="3">
        <v>1917.086857</v>
      </c>
      <c r="U27" s="3">
        <v>1930.9121640000001</v>
      </c>
      <c r="V27" s="3">
        <v>1193.5814</v>
      </c>
      <c r="W27" s="3">
        <v>752.43629199999998</v>
      </c>
      <c r="X27" s="3">
        <v>2223.0726359999999</v>
      </c>
      <c r="Y27" s="3">
        <v>98.837907139999999</v>
      </c>
      <c r="Z27" s="3">
        <v>417.6960709</v>
      </c>
      <c r="AA27" s="48" t="s">
        <v>310</v>
      </c>
      <c r="AB27" s="49" t="s">
        <v>324</v>
      </c>
      <c r="AC27" s="3">
        <v>0</v>
      </c>
      <c r="AD27" s="3">
        <v>0.48699999999999999</v>
      </c>
      <c r="AE27" s="3">
        <v>0</v>
      </c>
      <c r="AF27" s="3">
        <v>0.215</v>
      </c>
      <c r="AG27" s="3">
        <v>0</v>
      </c>
      <c r="AH27" s="3">
        <v>0.15</v>
      </c>
      <c r="AI27" s="3">
        <v>0</v>
      </c>
      <c r="AJ27" s="3">
        <v>0.84599999999999997</v>
      </c>
      <c r="AK27" s="3">
        <v>0</v>
      </c>
      <c r="AL27" s="3">
        <v>0.55900000000000005</v>
      </c>
      <c r="AM27" s="3">
        <v>0</v>
      </c>
      <c r="AN27" s="3">
        <v>0.19900000000000001</v>
      </c>
      <c r="AO27" s="3">
        <v>0</v>
      </c>
      <c r="AP27" s="3">
        <v>0.19900000000000001</v>
      </c>
      <c r="AQ27" s="3">
        <v>0</v>
      </c>
      <c r="AR27" s="3">
        <v>0.92600000000000005</v>
      </c>
      <c r="AS27" s="3">
        <v>0</v>
      </c>
      <c r="AT27" s="3">
        <v>0.88700000000000001</v>
      </c>
      <c r="AU27" s="3">
        <v>0</v>
      </c>
      <c r="AV27" s="3">
        <v>0.85699999999999998</v>
      </c>
      <c r="AW27" s="3">
        <v>0</v>
      </c>
      <c r="AX27" s="3">
        <v>0.59099999999999997</v>
      </c>
      <c r="AY27" s="3">
        <v>0</v>
      </c>
      <c r="AZ27" s="3">
        <v>0.86399999999999999</v>
      </c>
      <c r="BA27" s="3">
        <v>0</v>
      </c>
      <c r="BB27" s="3">
        <v>0.82599999999999996</v>
      </c>
      <c r="BC27" s="3">
        <v>0.97150000000000003</v>
      </c>
      <c r="BD27" s="3">
        <v>0.92549999999999999</v>
      </c>
      <c r="BE27" s="3">
        <v>0.91149999999999998</v>
      </c>
      <c r="BF27" s="3">
        <v>0.97499999999999998</v>
      </c>
      <c r="BG27" s="3">
        <v>0.97458333399999997</v>
      </c>
      <c r="BH27" s="3">
        <v>0.97499999999999998</v>
      </c>
      <c r="BI27" s="3">
        <v>0.88349999999999995</v>
      </c>
      <c r="BJ27" s="3">
        <v>0.97766666700000004</v>
      </c>
      <c r="BK27" s="3">
        <v>0.96650000000000003</v>
      </c>
      <c r="BL27" s="3">
        <v>0.98</v>
      </c>
      <c r="BM27" s="3">
        <v>0.01</v>
      </c>
      <c r="BN27" s="3">
        <v>0.95433333300000001</v>
      </c>
      <c r="BO27" s="3">
        <v>0.97699999999999998</v>
      </c>
      <c r="BP27" s="48" t="s">
        <v>310</v>
      </c>
      <c r="BQ27" s="49" t="s">
        <v>324</v>
      </c>
      <c r="BR27" s="3">
        <v>9.048</v>
      </c>
      <c r="BS27" s="3">
        <v>6.7270000000000003</v>
      </c>
      <c r="BT27" s="3">
        <v>4.6210000000000004</v>
      </c>
      <c r="BU27" s="3">
        <v>3.5289999999999999</v>
      </c>
      <c r="BV27" s="3">
        <v>9.2609999999999992</v>
      </c>
      <c r="BW27" s="3">
        <v>6.6740000000000004</v>
      </c>
      <c r="BX27" s="3">
        <v>2.4790000000000001</v>
      </c>
      <c r="BY27" s="3">
        <v>9.4209999999999994</v>
      </c>
      <c r="BZ27" s="3">
        <v>9.4260000000000002</v>
      </c>
      <c r="CA27" s="3">
        <v>9.4160000000000004</v>
      </c>
      <c r="CB27" s="3">
        <v>8.5500000000000007</v>
      </c>
      <c r="CC27" s="3">
        <v>8.8409999999999993</v>
      </c>
      <c r="CD27" s="3">
        <v>8.2530000000000001</v>
      </c>
    </row>
    <row r="28" spans="1:82" x14ac:dyDescent="0.3">
      <c r="A28" s="48" t="s">
        <v>310</v>
      </c>
      <c r="B28" s="49" t="s">
        <v>325</v>
      </c>
      <c r="C28" s="3">
        <v>29.1374204</v>
      </c>
      <c r="D28" s="3">
        <v>34.138935199999999</v>
      </c>
      <c r="E28" s="3">
        <v>24.1105172</v>
      </c>
      <c r="F28" s="3">
        <v>24.906020399999999</v>
      </c>
      <c r="G28" s="3">
        <v>8.4627999999999995E-3</v>
      </c>
      <c r="H28" s="3">
        <v>24.1105172</v>
      </c>
      <c r="I28" s="48" t="s">
        <v>310</v>
      </c>
      <c r="J28" s="49" t="s">
        <v>325</v>
      </c>
      <c r="K28" s="3">
        <v>28005</v>
      </c>
      <c r="L28" s="48" t="s">
        <v>310</v>
      </c>
      <c r="M28" s="49" t="s">
        <v>325</v>
      </c>
      <c r="N28" s="3">
        <v>1658.7930429999999</v>
      </c>
      <c r="O28" s="3">
        <v>2066.955708</v>
      </c>
      <c r="P28" s="3">
        <v>1000.1293920000001</v>
      </c>
      <c r="Q28" s="3">
        <v>1097.7537319999999</v>
      </c>
      <c r="R28" s="3">
        <v>2341.3241990000001</v>
      </c>
      <c r="S28" s="3">
        <v>2088.2537170000001</v>
      </c>
      <c r="T28" s="3">
        <v>1182.8138140000001</v>
      </c>
      <c r="U28" s="3">
        <v>1345.9437969999999</v>
      </c>
      <c r="V28" s="3">
        <v>729.47009330000003</v>
      </c>
      <c r="W28" s="3">
        <v>421.10740429999998</v>
      </c>
      <c r="X28" s="3">
        <v>1472.777685</v>
      </c>
      <c r="Y28" s="3">
        <v>37.951426779999998</v>
      </c>
      <c r="Z28" s="3">
        <v>51.894577099999999</v>
      </c>
      <c r="AA28" s="48" t="s">
        <v>310</v>
      </c>
      <c r="AB28" s="49" t="s">
        <v>325</v>
      </c>
      <c r="AC28" s="3">
        <v>0</v>
      </c>
      <c r="AD28" s="3">
        <v>0.58699999999999997</v>
      </c>
      <c r="AE28" s="3">
        <v>0</v>
      </c>
      <c r="AF28" s="3">
        <v>0.40400000000000003</v>
      </c>
      <c r="AG28" s="3">
        <v>0</v>
      </c>
      <c r="AH28" s="3">
        <v>0.23</v>
      </c>
      <c r="AI28" s="3">
        <v>0</v>
      </c>
      <c r="AJ28" s="3">
        <v>0.86199999999999999</v>
      </c>
      <c r="AK28" s="3">
        <v>0</v>
      </c>
      <c r="AL28" s="3">
        <v>0.33</v>
      </c>
      <c r="AM28" s="3">
        <v>0</v>
      </c>
      <c r="AN28" s="3">
        <v>0.26800000000000002</v>
      </c>
      <c r="AO28" s="3">
        <v>0</v>
      </c>
      <c r="AP28" s="3">
        <v>0.26800000000000002</v>
      </c>
      <c r="AQ28" s="3">
        <v>0</v>
      </c>
      <c r="AR28" s="3">
        <v>0.93700000000000006</v>
      </c>
      <c r="AS28" s="3">
        <v>0</v>
      </c>
      <c r="AT28" s="3">
        <v>0.90300000000000002</v>
      </c>
      <c r="AU28" s="3">
        <v>0</v>
      </c>
      <c r="AV28" s="3">
        <v>0.873</v>
      </c>
      <c r="AW28" s="3">
        <v>0</v>
      </c>
      <c r="AX28" s="3">
        <v>0.73899999999999999</v>
      </c>
      <c r="AY28" s="3">
        <v>0</v>
      </c>
      <c r="AZ28" s="3">
        <v>0.89700000000000002</v>
      </c>
      <c r="BA28" s="3">
        <v>0</v>
      </c>
      <c r="BB28" s="3">
        <v>0.89300000000000002</v>
      </c>
      <c r="BC28" s="3">
        <v>0.95299999999999996</v>
      </c>
      <c r="BD28" s="3">
        <v>0.87949999999999995</v>
      </c>
      <c r="BE28" s="3">
        <v>0.91349999999999998</v>
      </c>
      <c r="BF28" s="3">
        <v>0.97866666700000005</v>
      </c>
      <c r="BG28" s="3">
        <v>0.95499999999999996</v>
      </c>
      <c r="BH28" s="3">
        <v>0.97199999999999998</v>
      </c>
      <c r="BI28" s="3">
        <v>0.89800000000000002</v>
      </c>
      <c r="BJ28" s="3">
        <v>0.95699999999999996</v>
      </c>
      <c r="BK28" s="3">
        <v>0.92</v>
      </c>
      <c r="BL28" s="3">
        <v>0.98</v>
      </c>
      <c r="BM28" s="3">
        <v>0.01</v>
      </c>
      <c r="BN28" s="3">
        <v>0.948333333</v>
      </c>
      <c r="BO28" s="3">
        <v>0.97199999999999998</v>
      </c>
      <c r="BP28" s="48" t="s">
        <v>310</v>
      </c>
      <c r="BQ28" s="49" t="s">
        <v>325</v>
      </c>
      <c r="BR28" s="3">
        <v>8.9440000000000008</v>
      </c>
      <c r="BS28" s="3">
        <v>7.532</v>
      </c>
      <c r="BT28" s="3">
        <v>4.8029999999999999</v>
      </c>
      <c r="BU28" s="3">
        <v>3.081</v>
      </c>
      <c r="BV28" s="3">
        <v>9.1649999999999991</v>
      </c>
      <c r="BW28" s="3">
        <v>6.4589999999999996</v>
      </c>
      <c r="BX28" s="3">
        <v>1.8740000000000001</v>
      </c>
      <c r="BY28" s="3">
        <v>9.3059999999999992</v>
      </c>
      <c r="BZ28" s="3">
        <v>9.3409999999999993</v>
      </c>
      <c r="CA28" s="3">
        <v>9.5220000000000002</v>
      </c>
      <c r="CB28" s="3">
        <v>8.6780000000000008</v>
      </c>
      <c r="CC28" s="3">
        <v>8.923</v>
      </c>
      <c r="CD28" s="3">
        <v>8.327</v>
      </c>
    </row>
    <row r="29" spans="1:82" x14ac:dyDescent="0.3">
      <c r="A29" s="48" t="s">
        <v>310</v>
      </c>
      <c r="B29" s="49" t="s">
        <v>326</v>
      </c>
      <c r="C29" s="3">
        <v>28.8666108</v>
      </c>
      <c r="D29" s="3">
        <v>29.4251556</v>
      </c>
      <c r="E29" s="3">
        <v>25.388400000000001</v>
      </c>
      <c r="F29" s="3">
        <v>24.906020399999999</v>
      </c>
      <c r="G29" s="3">
        <v>0.10155359999999999</v>
      </c>
      <c r="H29" s="3">
        <v>25.388400000000001</v>
      </c>
      <c r="I29" s="48" t="s">
        <v>310</v>
      </c>
      <c r="J29" s="49" t="s">
        <v>326</v>
      </c>
      <c r="K29" s="3">
        <v>27211.5</v>
      </c>
      <c r="L29" s="48" t="s">
        <v>310</v>
      </c>
      <c r="M29" s="49" t="s">
        <v>326</v>
      </c>
      <c r="N29" s="3">
        <v>1408.801099</v>
      </c>
      <c r="O29" s="3">
        <v>1943.8958270000001</v>
      </c>
      <c r="P29" s="3">
        <v>900.29847480000001</v>
      </c>
      <c r="Q29" s="3">
        <v>1007.035242</v>
      </c>
      <c r="R29" s="3">
        <v>2048.0771319999999</v>
      </c>
      <c r="S29" s="3">
        <v>1730.0261499999999</v>
      </c>
      <c r="T29" s="3">
        <v>975.52627710000002</v>
      </c>
      <c r="U29" s="3">
        <v>1060.2616539999999</v>
      </c>
      <c r="V29" s="3">
        <v>637.85989830000005</v>
      </c>
      <c r="W29" s="3">
        <v>370.39974480000001</v>
      </c>
      <c r="X29" s="3">
        <v>1316.4736929999999</v>
      </c>
      <c r="Y29" s="3">
        <v>13.853952830000001</v>
      </c>
      <c r="Z29" s="3">
        <v>376.8932595</v>
      </c>
      <c r="AA29" s="48" t="s">
        <v>310</v>
      </c>
      <c r="AB29" s="49" t="s">
        <v>326</v>
      </c>
      <c r="AC29" s="3">
        <v>0</v>
      </c>
      <c r="AD29" s="3">
        <v>0.73899999999999999</v>
      </c>
      <c r="AE29" s="3">
        <v>0</v>
      </c>
      <c r="AF29" s="3">
        <v>0.57699999999999996</v>
      </c>
      <c r="AG29" s="3">
        <v>0</v>
      </c>
      <c r="AH29" s="3">
        <v>0.36</v>
      </c>
      <c r="AI29" s="3">
        <v>0</v>
      </c>
      <c r="AJ29" s="3">
        <v>0.88700000000000001</v>
      </c>
      <c r="AK29" s="3">
        <v>0</v>
      </c>
      <c r="AL29" s="3">
        <v>0.191</v>
      </c>
      <c r="AM29" s="3">
        <v>0</v>
      </c>
      <c r="AN29" s="3">
        <v>0.46300000000000002</v>
      </c>
      <c r="AO29" s="3">
        <v>0</v>
      </c>
      <c r="AP29" s="3">
        <v>0.46300000000000002</v>
      </c>
      <c r="AQ29" s="3">
        <v>0</v>
      </c>
      <c r="AR29" s="3">
        <v>0.95099999999999996</v>
      </c>
      <c r="AS29" s="3">
        <v>0</v>
      </c>
      <c r="AT29" s="3">
        <v>0.92</v>
      </c>
      <c r="AU29" s="3">
        <v>0</v>
      </c>
      <c r="AV29" s="3">
        <v>0.9</v>
      </c>
      <c r="AW29" s="3">
        <v>0</v>
      </c>
      <c r="AX29" s="3">
        <v>0.80900000000000005</v>
      </c>
      <c r="AY29" s="3">
        <v>0</v>
      </c>
      <c r="AZ29" s="3">
        <v>0.92500000000000004</v>
      </c>
      <c r="BA29" s="3">
        <v>0</v>
      </c>
      <c r="BB29" s="3">
        <v>0.92400000000000004</v>
      </c>
      <c r="BC29" s="3">
        <v>0.94450000000000001</v>
      </c>
      <c r="BD29" s="3">
        <v>0.88</v>
      </c>
      <c r="BE29" s="3">
        <v>0.91449999999999998</v>
      </c>
      <c r="BF29" s="3">
        <v>0.98</v>
      </c>
      <c r="BG29" s="3">
        <v>0.92758333400000004</v>
      </c>
      <c r="BH29" s="3">
        <v>0.97499999999999998</v>
      </c>
      <c r="BI29" s="3">
        <v>0.89349999999999996</v>
      </c>
      <c r="BJ29" s="3">
        <v>0.91066666699999999</v>
      </c>
      <c r="BK29" s="3">
        <v>0.89249999999999996</v>
      </c>
      <c r="BL29" s="3">
        <v>0.98099999999999998</v>
      </c>
      <c r="BM29" s="3">
        <v>0.01</v>
      </c>
      <c r="BN29" s="3">
        <v>0.93766666700000001</v>
      </c>
      <c r="BO29" s="3">
        <v>0.97</v>
      </c>
      <c r="BP29" s="48" t="s">
        <v>310</v>
      </c>
      <c r="BQ29" s="49" t="s">
        <v>326</v>
      </c>
      <c r="BR29" s="3">
        <v>8.8680000000000003</v>
      </c>
      <c r="BS29" s="3">
        <v>7.9960000000000004</v>
      </c>
      <c r="BT29" s="3">
        <v>5.1289999999999996</v>
      </c>
      <c r="BU29" s="3">
        <v>2.9020000000000001</v>
      </c>
      <c r="BV29" s="3">
        <v>9.2799999999999994</v>
      </c>
      <c r="BW29" s="3">
        <v>6.1859999999999999</v>
      </c>
      <c r="BX29" s="3">
        <v>1.583</v>
      </c>
      <c r="BY29" s="3">
        <v>9.2639999999999993</v>
      </c>
      <c r="BZ29" s="3">
        <v>9.3170000000000002</v>
      </c>
      <c r="CA29" s="3">
        <v>9.5739999999999998</v>
      </c>
      <c r="CB29" s="3">
        <v>8.8320000000000007</v>
      </c>
      <c r="CC29" s="3">
        <v>8.9239999999999995</v>
      </c>
      <c r="CD29" s="3">
        <v>8.3520000000000003</v>
      </c>
    </row>
    <row r="30" spans="1:82" x14ac:dyDescent="0.3">
      <c r="A30" s="48" t="s">
        <v>310</v>
      </c>
      <c r="B30" s="49" t="s">
        <v>327</v>
      </c>
      <c r="C30" s="3">
        <v>27.757984</v>
      </c>
      <c r="D30" s="3">
        <v>17.6534008</v>
      </c>
      <c r="E30" s="3">
        <v>27.622579200000001</v>
      </c>
      <c r="F30" s="3">
        <v>25.396862800000001</v>
      </c>
      <c r="G30" s="3">
        <v>7.9888832000000001</v>
      </c>
      <c r="H30" s="3">
        <v>17.6534008</v>
      </c>
      <c r="I30" s="48" t="s">
        <v>310</v>
      </c>
      <c r="J30" s="49" t="s">
        <v>327</v>
      </c>
      <c r="K30" s="3">
        <v>26172.5</v>
      </c>
      <c r="L30" s="48" t="s">
        <v>310</v>
      </c>
      <c r="M30" s="49" t="s">
        <v>327</v>
      </c>
      <c r="N30" s="3">
        <v>1353.86203</v>
      </c>
      <c r="O30" s="3">
        <v>1783.5378760000001</v>
      </c>
      <c r="P30" s="3">
        <v>823.16577870000003</v>
      </c>
      <c r="Q30" s="3">
        <v>994.93565839999997</v>
      </c>
      <c r="R30" s="3">
        <v>1734.1802680000001</v>
      </c>
      <c r="S30" s="3">
        <v>1490.9964580000001</v>
      </c>
      <c r="T30" s="3">
        <v>809.42349730000001</v>
      </c>
      <c r="U30" s="3">
        <v>812.47395140000003</v>
      </c>
      <c r="V30" s="3">
        <v>715.3740421</v>
      </c>
      <c r="W30" s="3">
        <v>271.86840860000001</v>
      </c>
      <c r="X30" s="3">
        <v>1131.8764200000001</v>
      </c>
      <c r="Y30" s="3">
        <v>34.185950599999998</v>
      </c>
      <c r="Z30" s="3">
        <v>455.31801350000001</v>
      </c>
      <c r="AA30" s="48" t="s">
        <v>310</v>
      </c>
      <c r="AB30" s="49" t="s">
        <v>327</v>
      </c>
      <c r="AC30" s="3">
        <v>0</v>
      </c>
      <c r="AD30" s="3">
        <v>0.81699999999999995</v>
      </c>
      <c r="AE30" s="3">
        <v>0</v>
      </c>
      <c r="AF30" s="3">
        <v>0.77400000000000002</v>
      </c>
      <c r="AG30" s="3">
        <v>0</v>
      </c>
      <c r="AH30" s="3">
        <v>0.52400000000000002</v>
      </c>
      <c r="AI30" s="3">
        <v>0</v>
      </c>
      <c r="AJ30" s="3">
        <v>0.90900000000000003</v>
      </c>
      <c r="AK30" s="3">
        <v>0</v>
      </c>
      <c r="AL30" s="3">
        <v>0.26700000000000002</v>
      </c>
      <c r="AM30" s="3">
        <v>0</v>
      </c>
      <c r="AN30" s="3">
        <v>0.71299999999999997</v>
      </c>
      <c r="AO30" s="3">
        <v>0</v>
      </c>
      <c r="AP30" s="3">
        <v>0.71299999999999997</v>
      </c>
      <c r="AQ30" s="3">
        <v>0</v>
      </c>
      <c r="AR30" s="3">
        <v>0.96299999999999997</v>
      </c>
      <c r="AS30" s="3">
        <v>0</v>
      </c>
      <c r="AT30" s="3">
        <v>0.93</v>
      </c>
      <c r="AU30" s="3">
        <v>0</v>
      </c>
      <c r="AV30" s="3">
        <v>0.93100000000000005</v>
      </c>
      <c r="AW30" s="3">
        <v>0</v>
      </c>
      <c r="AX30" s="3">
        <v>0.86299999999999999</v>
      </c>
      <c r="AY30" s="3">
        <v>0</v>
      </c>
      <c r="AZ30" s="3">
        <v>0.94499999999999995</v>
      </c>
      <c r="BA30" s="3">
        <v>0</v>
      </c>
      <c r="BB30" s="3">
        <v>0.95099999999999996</v>
      </c>
      <c r="BC30" s="3">
        <v>0.94850000000000001</v>
      </c>
      <c r="BD30" s="3">
        <v>0.89149999999999996</v>
      </c>
      <c r="BE30" s="3">
        <v>0.92349999999999999</v>
      </c>
      <c r="BF30" s="3">
        <v>0.98033333300000003</v>
      </c>
      <c r="BG30" s="3">
        <v>0.898416667</v>
      </c>
      <c r="BH30" s="3">
        <v>0.97499999999999998</v>
      </c>
      <c r="BI30" s="3">
        <v>0.89500000000000002</v>
      </c>
      <c r="BJ30" s="3">
        <v>0.84833333300000002</v>
      </c>
      <c r="BK30" s="3">
        <v>0.87849999999999995</v>
      </c>
      <c r="BL30" s="3">
        <v>0.98399999999999999</v>
      </c>
      <c r="BM30" s="3">
        <v>0.01</v>
      </c>
      <c r="BN30" s="3">
        <v>0.93533333299999999</v>
      </c>
      <c r="BO30" s="3">
        <v>0.97799999999999998</v>
      </c>
      <c r="BP30" s="48" t="s">
        <v>310</v>
      </c>
      <c r="BQ30" s="49" t="s">
        <v>327</v>
      </c>
      <c r="BR30" s="3">
        <v>8.8249999999999993</v>
      </c>
      <c r="BS30" s="3">
        <v>8.4819999999999993</v>
      </c>
      <c r="BT30" s="3">
        <v>5.9809999999999999</v>
      </c>
      <c r="BU30" s="3">
        <v>3.2149999999999999</v>
      </c>
      <c r="BV30" s="3">
        <v>9.3879999999999999</v>
      </c>
      <c r="BW30" s="3">
        <v>6.0179999999999998</v>
      </c>
      <c r="BX30" s="3">
        <v>1.351</v>
      </c>
      <c r="BY30" s="3">
        <v>9.2609999999999992</v>
      </c>
      <c r="BZ30" s="3">
        <v>9.2639999999999993</v>
      </c>
      <c r="CA30" s="3">
        <v>9.7379999999999995</v>
      </c>
      <c r="CB30" s="3">
        <v>8.9459999999999997</v>
      </c>
      <c r="CC30" s="3">
        <v>8.8879999999999999</v>
      </c>
      <c r="CD30" s="3">
        <v>8.3409999999999993</v>
      </c>
    </row>
    <row r="31" spans="1:82" x14ac:dyDescent="0.3">
      <c r="A31" s="48" t="s">
        <v>310</v>
      </c>
      <c r="B31" s="49" t="s">
        <v>328</v>
      </c>
      <c r="C31" s="3">
        <v>29.1374204</v>
      </c>
      <c r="D31" s="3">
        <v>21.605528400000001</v>
      </c>
      <c r="E31" s="3">
        <v>21.605528400000001</v>
      </c>
      <c r="F31" s="3">
        <v>24.973722800000001</v>
      </c>
      <c r="G31" s="3">
        <v>21.605528400000001</v>
      </c>
      <c r="H31" s="3">
        <v>21.605528400000001</v>
      </c>
      <c r="I31" s="48" t="s">
        <v>310</v>
      </c>
      <c r="J31" s="49" t="s">
        <v>328</v>
      </c>
      <c r="K31" s="3">
        <v>25236</v>
      </c>
      <c r="L31" s="48" t="s">
        <v>310</v>
      </c>
      <c r="M31" s="49" t="s">
        <v>328</v>
      </c>
      <c r="N31" s="3">
        <v>1317.6252480000001</v>
      </c>
      <c r="O31" s="3">
        <v>1699.062109</v>
      </c>
      <c r="P31" s="3">
        <v>697.88013390000003</v>
      </c>
      <c r="Q31" s="3">
        <v>1027.718247</v>
      </c>
      <c r="R31" s="3">
        <v>1497.430531</v>
      </c>
      <c r="S31" s="3">
        <v>1360.7083580000001</v>
      </c>
      <c r="T31" s="3">
        <v>799.48211819999995</v>
      </c>
      <c r="U31" s="3">
        <v>424.60867999999999</v>
      </c>
      <c r="V31" s="3">
        <v>693.72995849999995</v>
      </c>
      <c r="W31" s="3">
        <v>105.39712419999999</v>
      </c>
      <c r="X31" s="3">
        <v>907.99761539999997</v>
      </c>
      <c r="Y31" s="3">
        <v>37.679564370000001</v>
      </c>
      <c r="Z31" s="3">
        <v>644.32730730000003</v>
      </c>
      <c r="AA31" s="48" t="s">
        <v>310</v>
      </c>
      <c r="AB31" s="49" t="s">
        <v>328</v>
      </c>
      <c r="AC31" s="3">
        <v>0</v>
      </c>
      <c r="AD31" s="3">
        <v>0.86799999999999999</v>
      </c>
      <c r="AE31" s="3">
        <v>0</v>
      </c>
      <c r="AF31" s="3">
        <v>0.86099999999999999</v>
      </c>
      <c r="AG31" s="3">
        <v>0</v>
      </c>
      <c r="AH31" s="3">
        <v>0.746</v>
      </c>
      <c r="AI31" s="3">
        <v>0</v>
      </c>
      <c r="AJ31" s="3">
        <v>0.92100000000000004</v>
      </c>
      <c r="AK31" s="3">
        <v>0</v>
      </c>
      <c r="AL31" s="3">
        <v>0.626</v>
      </c>
      <c r="AM31" s="3">
        <v>0</v>
      </c>
      <c r="AN31" s="3">
        <v>0.80300000000000005</v>
      </c>
      <c r="AO31" s="3">
        <v>0</v>
      </c>
      <c r="AP31" s="3">
        <v>0.80300000000000005</v>
      </c>
      <c r="AQ31" s="3">
        <v>0</v>
      </c>
      <c r="AR31" s="3">
        <v>0.96499999999999997</v>
      </c>
      <c r="AS31" s="3">
        <v>0</v>
      </c>
      <c r="AT31" s="3">
        <v>0.93899999999999995</v>
      </c>
      <c r="AU31" s="3">
        <v>0</v>
      </c>
      <c r="AV31" s="3">
        <v>0.95699999999999996</v>
      </c>
      <c r="AW31" s="3">
        <v>0</v>
      </c>
      <c r="AX31" s="3">
        <v>0.90100000000000002</v>
      </c>
      <c r="AY31" s="3">
        <v>0</v>
      </c>
      <c r="AZ31" s="3">
        <v>0.97</v>
      </c>
      <c r="BA31" s="3">
        <v>0</v>
      </c>
      <c r="BB31" s="3">
        <v>0.97799999999999998</v>
      </c>
      <c r="BC31" s="3">
        <v>0.9395</v>
      </c>
      <c r="BD31" s="3">
        <v>0.877</v>
      </c>
      <c r="BE31" s="3">
        <v>0.92849999999999999</v>
      </c>
      <c r="BF31" s="3">
        <v>0.98133333300000003</v>
      </c>
      <c r="BG31" s="3">
        <v>0.86475000000000002</v>
      </c>
      <c r="BH31" s="3">
        <v>0.97699999999999998</v>
      </c>
      <c r="BI31" s="3">
        <v>0.89549999999999996</v>
      </c>
      <c r="BJ31" s="3">
        <v>0.79</v>
      </c>
      <c r="BK31" s="3">
        <v>0.83050000000000002</v>
      </c>
      <c r="BL31" s="3">
        <v>0.98499999999999999</v>
      </c>
      <c r="BM31" s="3">
        <v>0.01</v>
      </c>
      <c r="BN31" s="3">
        <v>0.93300000000000005</v>
      </c>
      <c r="BO31" s="3">
        <v>0.98399999999999999</v>
      </c>
      <c r="BP31" s="48" t="s">
        <v>310</v>
      </c>
      <c r="BQ31" s="49" t="s">
        <v>328</v>
      </c>
      <c r="BR31" s="3">
        <v>8.8840000000000003</v>
      </c>
      <c r="BS31" s="3">
        <v>8.7690000000000001</v>
      </c>
      <c r="BT31" s="3">
        <v>7.4379999999999997</v>
      </c>
      <c r="BU31" s="3">
        <v>4.391</v>
      </c>
      <c r="BV31" s="3">
        <v>9.3460000000000001</v>
      </c>
      <c r="BW31" s="3">
        <v>6.1159999999999997</v>
      </c>
      <c r="BX31" s="3">
        <v>1.333</v>
      </c>
      <c r="BY31" s="3">
        <v>9.173</v>
      </c>
      <c r="BZ31" s="3">
        <v>9.1639999999999997</v>
      </c>
      <c r="CA31" s="3">
        <v>9.9329999999999998</v>
      </c>
      <c r="CB31" s="3">
        <v>8.9909999999999997</v>
      </c>
      <c r="CC31" s="3">
        <v>8.8350000000000009</v>
      </c>
      <c r="CD31" s="3">
        <v>8.2219999999999995</v>
      </c>
    </row>
    <row r="32" spans="1:82" x14ac:dyDescent="0.3">
      <c r="A32" s="48" t="s">
        <v>310</v>
      </c>
      <c r="B32" s="49" t="s">
        <v>329</v>
      </c>
      <c r="C32" s="3">
        <v>28.8666108</v>
      </c>
      <c r="D32" s="3">
        <v>29.619800000000001</v>
      </c>
      <c r="E32" s="3">
        <v>29.619800000000001</v>
      </c>
      <c r="F32" s="3">
        <v>25.6338212</v>
      </c>
      <c r="G32" s="3">
        <v>25.6338212</v>
      </c>
      <c r="H32" s="3">
        <v>29.619800000000001</v>
      </c>
      <c r="I32" s="48" t="s">
        <v>310</v>
      </c>
      <c r="J32" s="49" t="s">
        <v>329</v>
      </c>
      <c r="K32" s="3">
        <v>26472</v>
      </c>
      <c r="L32" s="48" t="s">
        <v>310</v>
      </c>
      <c r="M32" s="49" t="s">
        <v>329</v>
      </c>
      <c r="N32" s="3">
        <v>1814.3696319999999</v>
      </c>
      <c r="O32" s="3">
        <v>2302.3630149999999</v>
      </c>
      <c r="P32" s="3">
        <v>896.41770220000001</v>
      </c>
      <c r="Q32" s="3">
        <v>1249.8424050000001</v>
      </c>
      <c r="R32" s="3">
        <v>2048.4645249999999</v>
      </c>
      <c r="S32" s="3">
        <v>2014.628408</v>
      </c>
      <c r="T32" s="3">
        <v>1331.8183529999999</v>
      </c>
      <c r="U32" s="3">
        <v>1074.5431799999999</v>
      </c>
      <c r="V32" s="3">
        <v>1138.8103739999999</v>
      </c>
      <c r="W32" s="3">
        <v>357.75490769999999</v>
      </c>
      <c r="X32" s="3">
        <v>1401.961978</v>
      </c>
      <c r="Y32" s="3">
        <v>6.7141173949999997</v>
      </c>
      <c r="Z32" s="3">
        <v>787.63180390000002</v>
      </c>
      <c r="AA32" s="48" t="s">
        <v>310</v>
      </c>
      <c r="AB32" s="49" t="s">
        <v>329</v>
      </c>
      <c r="AC32" s="3">
        <v>0</v>
      </c>
      <c r="AD32" s="3">
        <v>0.89100000000000001</v>
      </c>
      <c r="AE32" s="3">
        <v>0</v>
      </c>
      <c r="AF32" s="3">
        <v>0.88800000000000001</v>
      </c>
      <c r="AG32" s="3">
        <v>0</v>
      </c>
      <c r="AH32" s="3">
        <v>0.83299999999999996</v>
      </c>
      <c r="AI32" s="3">
        <v>0</v>
      </c>
      <c r="AJ32" s="3">
        <v>0.95199999999999996</v>
      </c>
      <c r="AK32" s="3">
        <v>0</v>
      </c>
      <c r="AL32" s="3">
        <v>0.86399999999999999</v>
      </c>
      <c r="AM32" s="3">
        <v>0</v>
      </c>
      <c r="AN32" s="3">
        <v>0.83599999999999997</v>
      </c>
      <c r="AO32" s="3">
        <v>0</v>
      </c>
      <c r="AP32" s="3">
        <v>0.83599999999999997</v>
      </c>
      <c r="AQ32" s="3">
        <v>0</v>
      </c>
      <c r="AR32" s="3">
        <v>0.97599999999999998</v>
      </c>
      <c r="AS32" s="3">
        <v>0</v>
      </c>
      <c r="AT32" s="3">
        <v>0.97499999999999998</v>
      </c>
      <c r="AU32" s="3">
        <v>0</v>
      </c>
      <c r="AV32" s="3">
        <v>0.97099999999999997</v>
      </c>
      <c r="AW32" s="3">
        <v>0</v>
      </c>
      <c r="AX32" s="3">
        <v>0.94699999999999995</v>
      </c>
      <c r="AY32" s="3">
        <v>0</v>
      </c>
      <c r="AZ32" s="3">
        <v>0.98799999999999999</v>
      </c>
      <c r="BA32" s="3">
        <v>0</v>
      </c>
      <c r="BB32" s="3">
        <v>0.98899999999999999</v>
      </c>
      <c r="BC32" s="3">
        <v>0.92900000000000005</v>
      </c>
      <c r="BD32" s="3">
        <v>0.86399999999999999</v>
      </c>
      <c r="BE32" s="3">
        <v>0.93400000000000005</v>
      </c>
      <c r="BF32" s="3">
        <v>0.98266666700000005</v>
      </c>
      <c r="BG32" s="3">
        <v>0.85599999999999998</v>
      </c>
      <c r="BH32" s="3">
        <v>0.97799999999999998</v>
      </c>
      <c r="BI32" s="3">
        <v>0.90249999999999997</v>
      </c>
      <c r="BJ32" s="3">
        <v>0.78300000000000003</v>
      </c>
      <c r="BK32" s="3">
        <v>0.82550000000000001</v>
      </c>
      <c r="BL32" s="3">
        <v>0.98599999999999999</v>
      </c>
      <c r="BM32" s="3">
        <v>0.01</v>
      </c>
      <c r="BN32" s="3">
        <v>0.930666667</v>
      </c>
      <c r="BO32" s="3">
        <v>0.98</v>
      </c>
      <c r="BP32" s="48" t="s">
        <v>310</v>
      </c>
      <c r="BQ32" s="49" t="s">
        <v>329</v>
      </c>
      <c r="BR32" s="3">
        <v>8.9329999999999998</v>
      </c>
      <c r="BS32" s="3">
        <v>8.84</v>
      </c>
      <c r="BT32" s="3">
        <v>8.2759999999999998</v>
      </c>
      <c r="BU32" s="3">
        <v>5.899</v>
      </c>
      <c r="BV32" s="3">
        <v>9.3759999999999994</v>
      </c>
      <c r="BW32" s="3">
        <v>6.53</v>
      </c>
      <c r="BX32" s="3">
        <v>1.6679999999999999</v>
      </c>
      <c r="BY32" s="3">
        <v>9.0500000000000007</v>
      </c>
      <c r="BZ32" s="3">
        <v>9.2479999999999993</v>
      </c>
      <c r="CA32" s="3">
        <v>9.9290000000000003</v>
      </c>
      <c r="CB32" s="3">
        <v>8.9949999999999992</v>
      </c>
      <c r="CC32" s="3">
        <v>8.73</v>
      </c>
      <c r="CD32" s="3">
        <v>7.76</v>
      </c>
    </row>
    <row r="33" spans="1:82" x14ac:dyDescent="0.3">
      <c r="A33" s="48" t="s">
        <v>310</v>
      </c>
      <c r="B33" s="49" t="s">
        <v>330</v>
      </c>
      <c r="C33" s="3">
        <v>28.324991600000001</v>
      </c>
      <c r="D33" s="3">
        <v>38.937342800000003</v>
      </c>
      <c r="E33" s="3">
        <v>38.937342800000003</v>
      </c>
      <c r="F33" s="3">
        <v>26.3531592</v>
      </c>
      <c r="G33" s="3">
        <v>26.3531592</v>
      </c>
      <c r="H33" s="3">
        <v>38.937342800000003</v>
      </c>
      <c r="I33" s="48" t="s">
        <v>310</v>
      </c>
      <c r="J33" s="49" t="s">
        <v>330</v>
      </c>
      <c r="K33" s="3">
        <v>30515</v>
      </c>
      <c r="L33" s="48" t="s">
        <v>310</v>
      </c>
      <c r="M33" s="49" t="s">
        <v>330</v>
      </c>
      <c r="N33" s="3">
        <v>2400.3596379999999</v>
      </c>
      <c r="O33" s="3">
        <v>2842.1094750000002</v>
      </c>
      <c r="P33" s="3">
        <v>1829.4263430000001</v>
      </c>
      <c r="Q33" s="3">
        <v>2102.0890650000001</v>
      </c>
      <c r="R33" s="3">
        <v>2588.6323259999999</v>
      </c>
      <c r="S33" s="3">
        <v>2696.7972759999998</v>
      </c>
      <c r="T33" s="3">
        <v>2610.328657</v>
      </c>
      <c r="U33" s="3">
        <v>3221.9989439999999</v>
      </c>
      <c r="V33" s="3">
        <v>2616.7715050000002</v>
      </c>
      <c r="W33" s="3">
        <v>1337.066041</v>
      </c>
      <c r="X33" s="3">
        <v>1290.0583710000001</v>
      </c>
      <c r="Y33" s="3">
        <v>102.2315455</v>
      </c>
      <c r="Z33" s="3">
        <v>331.57659000000001</v>
      </c>
      <c r="AA33" s="48" t="s">
        <v>310</v>
      </c>
      <c r="AB33" s="49" t="s">
        <v>330</v>
      </c>
      <c r="AC33" s="3">
        <v>0</v>
      </c>
      <c r="AD33" s="3">
        <v>0.94099999999999995</v>
      </c>
      <c r="AE33" s="3">
        <v>0</v>
      </c>
      <c r="AF33" s="3">
        <v>0.91900000000000004</v>
      </c>
      <c r="AG33" s="3">
        <v>0</v>
      </c>
      <c r="AH33" s="3">
        <v>0.90100000000000002</v>
      </c>
      <c r="AI33" s="3">
        <v>0</v>
      </c>
      <c r="AJ33" s="3">
        <v>0.97399999999999998</v>
      </c>
      <c r="AK33" s="3">
        <v>0</v>
      </c>
      <c r="AL33" s="3">
        <v>0.97199999999999998</v>
      </c>
      <c r="AM33" s="3">
        <v>0</v>
      </c>
      <c r="AN33" s="3">
        <v>0.86099999999999999</v>
      </c>
      <c r="AO33" s="3">
        <v>0</v>
      </c>
      <c r="AP33" s="3">
        <v>0.86099999999999999</v>
      </c>
      <c r="AQ33" s="3">
        <v>0</v>
      </c>
      <c r="AR33" s="3">
        <v>0.98899999999999999</v>
      </c>
      <c r="AS33" s="3">
        <v>0</v>
      </c>
      <c r="AT33" s="3">
        <v>0.98799999999999999</v>
      </c>
      <c r="AU33" s="3">
        <v>0</v>
      </c>
      <c r="AV33" s="3">
        <v>0.98099999999999998</v>
      </c>
      <c r="AW33" s="3">
        <v>0</v>
      </c>
      <c r="AX33" s="3">
        <v>0.97599999999999998</v>
      </c>
      <c r="AY33" s="3">
        <v>0</v>
      </c>
      <c r="AZ33" s="3">
        <v>0.99299999999999999</v>
      </c>
      <c r="BA33" s="3">
        <v>0</v>
      </c>
      <c r="BB33" s="3">
        <v>0.99099999999999999</v>
      </c>
      <c r="BC33" s="3">
        <v>0.93100000000000005</v>
      </c>
      <c r="BD33" s="3">
        <v>0.88749999999999996</v>
      </c>
      <c r="BE33" s="3">
        <v>0.9425</v>
      </c>
      <c r="BF33" s="3">
        <v>0.98399999999999999</v>
      </c>
      <c r="BG33" s="3">
        <v>0.85883333399999995</v>
      </c>
      <c r="BH33" s="3">
        <v>0.98099999999999998</v>
      </c>
      <c r="BI33" s="3">
        <v>0.92149999999999999</v>
      </c>
      <c r="BJ33" s="3">
        <v>0.78666666699999999</v>
      </c>
      <c r="BK33" s="3">
        <v>0.81899999999999995</v>
      </c>
      <c r="BL33" s="3">
        <v>0.98899999999999999</v>
      </c>
      <c r="BM33" s="3">
        <v>0.01</v>
      </c>
      <c r="BN33" s="3">
        <v>0.930666667</v>
      </c>
      <c r="BO33" s="3">
        <v>0.97799999999999998</v>
      </c>
      <c r="BP33" s="48" t="s">
        <v>310</v>
      </c>
      <c r="BQ33" s="49" t="s">
        <v>330</v>
      </c>
      <c r="BR33" s="3">
        <v>9.1349999999999998</v>
      </c>
      <c r="BS33" s="3">
        <v>8.9670000000000005</v>
      </c>
      <c r="BT33" s="3">
        <v>8.4949999999999992</v>
      </c>
      <c r="BU33" s="3">
        <v>6.8390000000000004</v>
      </c>
      <c r="BV33" s="3">
        <v>9.6310000000000002</v>
      </c>
      <c r="BW33" s="3">
        <v>7.3380000000000001</v>
      </c>
      <c r="BX33" s="3">
        <v>1.9019999999999999</v>
      </c>
      <c r="BY33" s="3">
        <v>9.0869999999999997</v>
      </c>
      <c r="BZ33" s="3">
        <v>9.4689999999999994</v>
      </c>
      <c r="CA33" s="3">
        <v>9.8040000000000003</v>
      </c>
      <c r="CB33" s="3">
        <v>8.7219999999999995</v>
      </c>
      <c r="CC33" s="3">
        <v>8.2289999999999992</v>
      </c>
      <c r="CD33" s="3">
        <v>6.4509999999999996</v>
      </c>
    </row>
    <row r="34" spans="1:82" x14ac:dyDescent="0.3">
      <c r="A34" s="48" t="s">
        <v>310</v>
      </c>
      <c r="B34" s="49" t="s">
        <v>331</v>
      </c>
      <c r="C34" s="3">
        <v>29.5436348</v>
      </c>
      <c r="D34" s="3">
        <v>41.163059199999999</v>
      </c>
      <c r="E34" s="3">
        <v>40.875323999999999</v>
      </c>
      <c r="F34" s="3">
        <v>26.945555200000001</v>
      </c>
      <c r="G34" s="3">
        <v>26.945555200000001</v>
      </c>
      <c r="H34" s="3">
        <v>40.985340399999998</v>
      </c>
      <c r="I34" s="48" t="s">
        <v>310</v>
      </c>
      <c r="J34" s="49" t="s">
        <v>331</v>
      </c>
      <c r="K34" s="3">
        <v>35315</v>
      </c>
      <c r="L34" s="48" t="s">
        <v>310</v>
      </c>
      <c r="M34" s="49" t="s">
        <v>331</v>
      </c>
      <c r="N34" s="3">
        <v>5983.4761580000004</v>
      </c>
      <c r="O34" s="3">
        <v>6814.2717030000003</v>
      </c>
      <c r="P34" s="3">
        <v>4288.0393309999999</v>
      </c>
      <c r="Q34" s="3">
        <v>3899.937829</v>
      </c>
      <c r="R34" s="3">
        <v>6149.4821540000003</v>
      </c>
      <c r="S34" s="3">
        <v>7030.4722080000001</v>
      </c>
      <c r="T34" s="3">
        <v>6075.3521909999999</v>
      </c>
      <c r="U34" s="3">
        <v>8401.3662710000008</v>
      </c>
      <c r="V34" s="3">
        <v>6202.0986780000003</v>
      </c>
      <c r="W34" s="3">
        <v>4400.8347080000003</v>
      </c>
      <c r="X34" s="3">
        <v>4555.8529630000003</v>
      </c>
      <c r="Y34" s="3">
        <v>504.67924859999999</v>
      </c>
      <c r="Z34" s="3">
        <v>1457.928343</v>
      </c>
      <c r="AA34" s="48" t="s">
        <v>310</v>
      </c>
      <c r="AB34" s="49" t="s">
        <v>331</v>
      </c>
      <c r="AC34" s="3">
        <v>4.9000000000000002E-2</v>
      </c>
      <c r="AD34" s="3">
        <v>0.96599999999999997</v>
      </c>
      <c r="AE34" s="3">
        <v>2.1000000000000001E-2</v>
      </c>
      <c r="AF34" s="3">
        <v>0.95499999999999996</v>
      </c>
      <c r="AG34" s="3">
        <v>2.1000000000000001E-2</v>
      </c>
      <c r="AH34" s="3">
        <v>0.93</v>
      </c>
      <c r="AI34" s="3">
        <v>4.0000000000000001E-3</v>
      </c>
      <c r="AJ34" s="3">
        <v>0.98199999999999998</v>
      </c>
      <c r="AK34" s="3">
        <v>2.9000000000000001E-2</v>
      </c>
      <c r="AL34" s="3">
        <v>0.98799999999999999</v>
      </c>
      <c r="AM34" s="3">
        <v>1.2E-2</v>
      </c>
      <c r="AN34" s="3">
        <v>0.86799999999999999</v>
      </c>
      <c r="AO34" s="3">
        <v>0</v>
      </c>
      <c r="AP34" s="3">
        <v>0.86799999999999999</v>
      </c>
      <c r="AQ34" s="3">
        <v>4.8000000000000001E-2</v>
      </c>
      <c r="AR34" s="3">
        <v>0.99299999999999999</v>
      </c>
      <c r="AS34" s="3">
        <v>1.6E-2</v>
      </c>
      <c r="AT34" s="3">
        <v>0.99099999999999999</v>
      </c>
      <c r="AU34" s="3">
        <v>1.6E-2</v>
      </c>
      <c r="AV34" s="3">
        <v>0.99</v>
      </c>
      <c r="AW34" s="3">
        <v>8.0000000000000002E-3</v>
      </c>
      <c r="AX34" s="3">
        <v>0.98899999999999999</v>
      </c>
      <c r="AY34" s="3">
        <v>1.0999999999999999E-2</v>
      </c>
      <c r="AZ34" s="3">
        <v>0.99299999999999999</v>
      </c>
      <c r="BA34" s="3">
        <v>5.0000000000000001E-3</v>
      </c>
      <c r="BB34" s="3">
        <v>0.99299999999999999</v>
      </c>
      <c r="BC34" s="3">
        <v>0.9335</v>
      </c>
      <c r="BD34" s="3">
        <v>0.90500000000000003</v>
      </c>
      <c r="BE34" s="3">
        <v>0.94650000000000001</v>
      </c>
      <c r="BF34" s="3">
        <v>0.98599999999999999</v>
      </c>
      <c r="BG34" s="3">
        <v>0.84824999999999995</v>
      </c>
      <c r="BH34" s="3">
        <v>0.98399999999999999</v>
      </c>
      <c r="BI34" s="3">
        <v>0.95650000000000002</v>
      </c>
      <c r="BJ34" s="3">
        <v>0.76300000000000001</v>
      </c>
      <c r="BK34" s="3">
        <v>0.83050000000000002</v>
      </c>
      <c r="BL34" s="3">
        <v>0.99033333300000004</v>
      </c>
      <c r="BM34" s="3">
        <v>0.01</v>
      </c>
      <c r="BN34" s="3">
        <v>0.931666667</v>
      </c>
      <c r="BO34" s="3">
        <v>0.98299999999999998</v>
      </c>
      <c r="BP34" s="48" t="s">
        <v>310</v>
      </c>
      <c r="BQ34" s="49" t="s">
        <v>331</v>
      </c>
      <c r="BR34" s="3">
        <v>9.5679999999999996</v>
      </c>
      <c r="BS34" s="3">
        <v>9.0190000000000001</v>
      </c>
      <c r="BT34" s="3">
        <v>8.375</v>
      </c>
      <c r="BU34" s="3">
        <v>6.883</v>
      </c>
      <c r="BV34" s="3">
        <v>9.7880000000000003</v>
      </c>
      <c r="BW34" s="3">
        <v>7.5789999999999997</v>
      </c>
      <c r="BX34" s="3">
        <v>1.909</v>
      </c>
      <c r="BY34" s="3">
        <v>9.3130000000000006</v>
      </c>
      <c r="BZ34" s="3">
        <v>9.7119999999999997</v>
      </c>
      <c r="CA34" s="3">
        <v>9.3699999999999992</v>
      </c>
      <c r="CB34" s="3">
        <v>7.8150000000000004</v>
      </c>
      <c r="CC34" s="3">
        <v>7.0570000000000004</v>
      </c>
      <c r="CD34" s="3">
        <v>4.9390000000000001</v>
      </c>
    </row>
    <row r="35" spans="1:82" x14ac:dyDescent="0.3">
      <c r="A35" s="48" t="s">
        <v>310</v>
      </c>
      <c r="B35" s="49" t="s">
        <v>332</v>
      </c>
      <c r="C35" s="3">
        <v>34.020456000000003</v>
      </c>
      <c r="D35" s="3">
        <v>39.275854799999998</v>
      </c>
      <c r="E35" s="3">
        <v>39.275854799999998</v>
      </c>
      <c r="F35" s="3">
        <v>27.131736799999999</v>
      </c>
      <c r="G35" s="3">
        <v>27.131736799999999</v>
      </c>
      <c r="H35" s="3">
        <v>39.275854799999998</v>
      </c>
      <c r="I35" s="48" t="s">
        <v>310</v>
      </c>
      <c r="J35" s="49" t="s">
        <v>332</v>
      </c>
      <c r="K35" s="3">
        <v>37247</v>
      </c>
      <c r="L35" s="48" t="s">
        <v>310</v>
      </c>
      <c r="M35" s="49" t="s">
        <v>332</v>
      </c>
      <c r="N35" s="3">
        <v>6455.2417969999997</v>
      </c>
      <c r="O35" s="3">
        <v>8515.4517080000005</v>
      </c>
      <c r="P35" s="3">
        <v>5185.6894830000001</v>
      </c>
      <c r="Q35" s="3">
        <v>4829.3394500000004</v>
      </c>
      <c r="R35" s="3">
        <v>7129.0128539999996</v>
      </c>
      <c r="S35" s="3">
        <v>9113.4910369999998</v>
      </c>
      <c r="T35" s="3">
        <v>8028.5375750000003</v>
      </c>
      <c r="U35" s="3">
        <v>9061.2916920000007</v>
      </c>
      <c r="V35" s="3">
        <v>6818.9880549999998</v>
      </c>
      <c r="W35" s="3">
        <v>5413.9475419999999</v>
      </c>
      <c r="X35" s="3">
        <v>5950.2834030000004</v>
      </c>
      <c r="Y35" s="3">
        <v>748.34305510000002</v>
      </c>
      <c r="Z35" s="3">
        <v>2803.4711779999998</v>
      </c>
      <c r="AA35" s="48" t="s">
        <v>310</v>
      </c>
      <c r="AB35" s="49" t="s">
        <v>332</v>
      </c>
      <c r="AC35" s="3">
        <v>0.123</v>
      </c>
      <c r="AD35" s="3">
        <v>0.98499999999999999</v>
      </c>
      <c r="AE35" s="3">
        <v>0.1</v>
      </c>
      <c r="AF35" s="3">
        <v>0.98199999999999998</v>
      </c>
      <c r="AG35" s="3">
        <v>0.109</v>
      </c>
      <c r="AH35" s="3">
        <v>0.95199999999999996</v>
      </c>
      <c r="AI35" s="3">
        <v>4.3999999999999997E-2</v>
      </c>
      <c r="AJ35" s="3">
        <v>0.99</v>
      </c>
      <c r="AK35" s="3">
        <v>8.5000000000000006E-2</v>
      </c>
      <c r="AL35" s="3">
        <v>0.99299999999999999</v>
      </c>
      <c r="AM35" s="3">
        <v>8.4000000000000005E-2</v>
      </c>
      <c r="AN35" s="3">
        <v>0.871</v>
      </c>
      <c r="AO35" s="3">
        <v>1.4999999999999999E-2</v>
      </c>
      <c r="AP35" s="3">
        <v>0.871</v>
      </c>
      <c r="AQ35" s="3">
        <v>0.13300000000000001</v>
      </c>
      <c r="AR35" s="3">
        <v>0.99299999999999999</v>
      </c>
      <c r="AS35" s="3">
        <v>7.3999999999999996E-2</v>
      </c>
      <c r="AT35" s="3">
        <v>0.99299999999999999</v>
      </c>
      <c r="AU35" s="3">
        <v>7.2999999999999995E-2</v>
      </c>
      <c r="AV35" s="3">
        <v>0.98799999999999999</v>
      </c>
      <c r="AW35" s="3">
        <v>6.4000000000000001E-2</v>
      </c>
      <c r="AX35" s="3">
        <v>0.99199999999999999</v>
      </c>
      <c r="AY35" s="3">
        <v>7.9000000000000001E-2</v>
      </c>
      <c r="AZ35" s="3">
        <v>0.99299999999999999</v>
      </c>
      <c r="BA35" s="3">
        <v>6.5000000000000002E-2</v>
      </c>
      <c r="BB35" s="3">
        <v>0.99199999999999999</v>
      </c>
      <c r="BC35" s="3">
        <v>0.93500000000000005</v>
      </c>
      <c r="BD35" s="3">
        <v>0.89949999999999997</v>
      </c>
      <c r="BE35" s="3">
        <v>0.94499999999999995</v>
      </c>
      <c r="BF35" s="3">
        <v>0.98766666700000005</v>
      </c>
      <c r="BG35" s="3">
        <v>0.84266666700000004</v>
      </c>
      <c r="BH35" s="3">
        <v>0.98499999999999999</v>
      </c>
      <c r="BI35" s="3">
        <v>0.96950000000000003</v>
      </c>
      <c r="BJ35" s="3">
        <v>0.75033333300000005</v>
      </c>
      <c r="BK35" s="3">
        <v>0.84850000000000003</v>
      </c>
      <c r="BL35" s="3">
        <v>0.99</v>
      </c>
      <c r="BM35" s="3">
        <v>0.01</v>
      </c>
      <c r="BN35" s="3">
        <v>0.93533333299999999</v>
      </c>
      <c r="BO35" s="3">
        <v>0.99099999999999999</v>
      </c>
      <c r="BP35" s="48" t="s">
        <v>310</v>
      </c>
      <c r="BQ35" s="49" t="s">
        <v>332</v>
      </c>
      <c r="BR35" s="3">
        <v>9.9930000000000003</v>
      </c>
      <c r="BS35" s="3">
        <v>8.8040000000000003</v>
      </c>
      <c r="BT35" s="3">
        <v>7.91</v>
      </c>
      <c r="BU35" s="3">
        <v>6.2009999999999996</v>
      </c>
      <c r="BV35" s="3">
        <v>9.9120000000000008</v>
      </c>
      <c r="BW35" s="3">
        <v>7.6070000000000002</v>
      </c>
      <c r="BX35" s="3">
        <v>1.712</v>
      </c>
      <c r="BY35" s="3">
        <v>9.6590000000000007</v>
      </c>
      <c r="BZ35" s="3">
        <v>10.026</v>
      </c>
      <c r="CA35" s="3">
        <v>8.4700000000000006</v>
      </c>
      <c r="CB35" s="3">
        <v>6.7190000000000003</v>
      </c>
      <c r="CC35" s="3">
        <v>6.6769999999999996</v>
      </c>
      <c r="CD35" s="3">
        <v>4.5449999999999999</v>
      </c>
    </row>
    <row r="36" spans="1:82" x14ac:dyDescent="0.3">
      <c r="A36" s="48" t="s">
        <v>310</v>
      </c>
      <c r="B36" s="49" t="s">
        <v>333</v>
      </c>
      <c r="C36" s="3">
        <v>42.203983600000001</v>
      </c>
      <c r="D36" s="3">
        <v>36.6947008</v>
      </c>
      <c r="E36" s="3">
        <v>36.6947008</v>
      </c>
      <c r="F36" s="3">
        <v>27.4448604</v>
      </c>
      <c r="G36" s="3">
        <v>27.4448604</v>
      </c>
      <c r="H36" s="3">
        <v>36.6947008</v>
      </c>
      <c r="I36" s="48" t="s">
        <v>310</v>
      </c>
      <c r="J36" s="49" t="s">
        <v>333</v>
      </c>
      <c r="K36" s="3">
        <v>38023</v>
      </c>
      <c r="L36" s="48" t="s">
        <v>310</v>
      </c>
      <c r="M36" s="49" t="s">
        <v>333</v>
      </c>
      <c r="N36" s="3">
        <v>4819.1801759999998</v>
      </c>
      <c r="O36" s="3">
        <v>7041.1189510000004</v>
      </c>
      <c r="P36" s="3">
        <v>4632.4600069999997</v>
      </c>
      <c r="Q36" s="3">
        <v>4419.5110679999998</v>
      </c>
      <c r="R36" s="3">
        <v>5837.6349069999997</v>
      </c>
      <c r="S36" s="3">
        <v>8483.5393729999996</v>
      </c>
      <c r="T36" s="3">
        <v>7278.8939929999997</v>
      </c>
      <c r="U36" s="3">
        <v>6635.1995290000004</v>
      </c>
      <c r="V36" s="3">
        <v>5055.6024319999997</v>
      </c>
      <c r="W36" s="3">
        <v>4003.799892</v>
      </c>
      <c r="X36" s="3">
        <v>5359.1078470000002</v>
      </c>
      <c r="Y36" s="3">
        <v>729.91661999999997</v>
      </c>
      <c r="Z36" s="3">
        <v>2839.2672819999998</v>
      </c>
      <c r="AA36" s="48" t="s">
        <v>310</v>
      </c>
      <c r="AB36" s="49" t="s">
        <v>333</v>
      </c>
      <c r="AC36" s="3">
        <v>0.16400000000000001</v>
      </c>
      <c r="AD36" s="3">
        <v>0.99299999999999999</v>
      </c>
      <c r="AE36" s="3">
        <v>0.21199999999999999</v>
      </c>
      <c r="AF36" s="3">
        <v>0.99099999999999999</v>
      </c>
      <c r="AG36" s="3">
        <v>0.192</v>
      </c>
      <c r="AH36" s="3">
        <v>0.95299999999999996</v>
      </c>
      <c r="AI36" s="3">
        <v>9.7000000000000003E-2</v>
      </c>
      <c r="AJ36" s="3">
        <v>0.99199999999999999</v>
      </c>
      <c r="AK36" s="3">
        <v>0.14799999999999999</v>
      </c>
      <c r="AL36" s="3">
        <v>0.99199999999999999</v>
      </c>
      <c r="AM36" s="3">
        <v>0.158</v>
      </c>
      <c r="AN36" s="3">
        <v>0.94299999999999995</v>
      </c>
      <c r="AO36" s="3">
        <v>4.8000000000000001E-2</v>
      </c>
      <c r="AP36" s="3">
        <v>0.94299999999999995</v>
      </c>
      <c r="AQ36" s="3">
        <v>0.186</v>
      </c>
      <c r="AR36" s="3">
        <v>0.99099999999999999</v>
      </c>
      <c r="AS36" s="3">
        <v>0.13300000000000001</v>
      </c>
      <c r="AT36" s="3">
        <v>0.99299999999999999</v>
      </c>
      <c r="AU36" s="3">
        <v>0.13200000000000001</v>
      </c>
      <c r="AV36" s="3">
        <v>0.99199999999999999</v>
      </c>
      <c r="AW36" s="3">
        <v>0.14299999999999999</v>
      </c>
      <c r="AX36" s="3">
        <v>0.99299999999999999</v>
      </c>
      <c r="AY36" s="3">
        <v>0.17399999999999999</v>
      </c>
      <c r="AZ36" s="3">
        <v>0.99299999999999999</v>
      </c>
      <c r="BA36" s="3">
        <v>0.112</v>
      </c>
      <c r="BB36" s="3">
        <v>0.99099999999999999</v>
      </c>
      <c r="BC36" s="3">
        <v>0.94799999999999995</v>
      </c>
      <c r="BD36" s="3">
        <v>0.93</v>
      </c>
      <c r="BE36" s="3">
        <v>0.95550000000000002</v>
      </c>
      <c r="BF36" s="3">
        <v>0.98899999999999999</v>
      </c>
      <c r="BG36" s="3">
        <v>0.89349999999999996</v>
      </c>
      <c r="BH36" s="3">
        <v>0.98599999999999999</v>
      </c>
      <c r="BI36" s="3">
        <v>0.96599999999999997</v>
      </c>
      <c r="BJ36" s="3">
        <v>0.83899999999999997</v>
      </c>
      <c r="BK36" s="3">
        <v>0.90349999999999997</v>
      </c>
      <c r="BL36" s="3">
        <v>0.98966666700000006</v>
      </c>
      <c r="BM36" s="3">
        <v>0.01</v>
      </c>
      <c r="BN36" s="3">
        <v>0.94699999999999995</v>
      </c>
      <c r="BO36" s="3">
        <v>0.99299999999999999</v>
      </c>
      <c r="BP36" s="48" t="s">
        <v>310</v>
      </c>
      <c r="BQ36" s="49" t="s">
        <v>333</v>
      </c>
      <c r="BR36" s="3">
        <v>9.9689999999999994</v>
      </c>
      <c r="BS36" s="3">
        <v>8.0169999999999995</v>
      </c>
      <c r="BT36" s="3">
        <v>6.8029999999999999</v>
      </c>
      <c r="BU36" s="3">
        <v>5.9180000000000001</v>
      </c>
      <c r="BV36" s="3">
        <v>9.6609999999999996</v>
      </c>
      <c r="BW36" s="3">
        <v>7.86</v>
      </c>
      <c r="BX36" s="3">
        <v>1.2969999999999999</v>
      </c>
      <c r="BY36" s="3">
        <v>10.148</v>
      </c>
      <c r="BZ36" s="3">
        <v>10.211</v>
      </c>
      <c r="CA36" s="3">
        <v>8.57</v>
      </c>
      <c r="CB36" s="3">
        <v>6.609</v>
      </c>
      <c r="CC36" s="3">
        <v>6.452</v>
      </c>
      <c r="CD36" s="3">
        <v>4.4850000000000003</v>
      </c>
    </row>
    <row r="37" spans="1:82" x14ac:dyDescent="0.3">
      <c r="A37" s="48" t="s">
        <v>310</v>
      </c>
      <c r="B37" s="49" t="s">
        <v>334</v>
      </c>
      <c r="C37" s="3">
        <v>39.842862400000001</v>
      </c>
      <c r="D37" s="3">
        <v>34.367430800000001</v>
      </c>
      <c r="E37" s="3">
        <v>34.367430800000001</v>
      </c>
      <c r="F37" s="3">
        <v>27.233290400000001</v>
      </c>
      <c r="G37" s="3">
        <v>27.233290400000001</v>
      </c>
      <c r="H37" s="3">
        <v>34.367430800000001</v>
      </c>
      <c r="I37" s="48" t="s">
        <v>310</v>
      </c>
      <c r="J37" s="49" t="s">
        <v>334</v>
      </c>
      <c r="K37" s="3">
        <v>37845.5</v>
      </c>
      <c r="L37" s="48" t="s">
        <v>310</v>
      </c>
      <c r="M37" s="49" t="s">
        <v>334</v>
      </c>
      <c r="N37" s="3">
        <v>3305.2189250000001</v>
      </c>
      <c r="O37" s="3">
        <v>5674.7678679999999</v>
      </c>
      <c r="P37" s="3">
        <v>3904.8983979999998</v>
      </c>
      <c r="Q37" s="3">
        <v>3613.9788659999999</v>
      </c>
      <c r="R37" s="3">
        <v>4095.5545950000001</v>
      </c>
      <c r="S37" s="3">
        <v>7519.4844279999998</v>
      </c>
      <c r="T37" s="3">
        <v>6406.4995829999998</v>
      </c>
      <c r="U37" s="3">
        <v>4598.0910249999997</v>
      </c>
      <c r="V37" s="3">
        <v>3453.6076280000002</v>
      </c>
      <c r="W37" s="3">
        <v>2704.8074350000002</v>
      </c>
      <c r="X37" s="3">
        <v>4480.4667630000004</v>
      </c>
      <c r="Y37" s="3">
        <v>634.42077429999995</v>
      </c>
      <c r="Z37" s="3">
        <v>2346.977856</v>
      </c>
      <c r="AA37" s="48" t="s">
        <v>310</v>
      </c>
      <c r="AB37" s="49" t="s">
        <v>334</v>
      </c>
      <c r="AC37" s="3">
        <v>0.216</v>
      </c>
      <c r="AD37" s="3">
        <v>0.99099999999999999</v>
      </c>
      <c r="AE37" s="3">
        <v>0.30399999999999999</v>
      </c>
      <c r="AF37" s="3">
        <v>0.99299999999999999</v>
      </c>
      <c r="AG37" s="3">
        <v>0.23699999999999999</v>
      </c>
      <c r="AH37" s="3">
        <v>0.94599999999999995</v>
      </c>
      <c r="AI37" s="3">
        <v>0.11700000000000001</v>
      </c>
      <c r="AJ37" s="3">
        <v>0.99299999999999999</v>
      </c>
      <c r="AK37" s="3">
        <v>0.21</v>
      </c>
      <c r="AL37" s="3">
        <v>0.97899999999999998</v>
      </c>
      <c r="AM37" s="3">
        <v>0.17199999999999999</v>
      </c>
      <c r="AN37" s="3">
        <v>0.97299999999999998</v>
      </c>
      <c r="AO37" s="3">
        <v>0.10199999999999999</v>
      </c>
      <c r="AP37" s="3">
        <v>0.97299999999999998</v>
      </c>
      <c r="AQ37" s="3">
        <v>0.22</v>
      </c>
      <c r="AR37" s="3">
        <v>0.99099999999999999</v>
      </c>
      <c r="AS37" s="3">
        <v>0.21</v>
      </c>
      <c r="AT37" s="3">
        <v>0.99299999999999999</v>
      </c>
      <c r="AU37" s="3">
        <v>0.20899999999999999</v>
      </c>
      <c r="AV37" s="3">
        <v>0.99299999999999999</v>
      </c>
      <c r="AW37" s="3">
        <v>0.21099999999999999</v>
      </c>
      <c r="AX37" s="3">
        <v>0.98799999999999999</v>
      </c>
      <c r="AY37" s="3">
        <v>0.222</v>
      </c>
      <c r="AZ37" s="3">
        <v>0.99299999999999999</v>
      </c>
      <c r="BA37" s="3">
        <v>0.127</v>
      </c>
      <c r="BB37" s="3">
        <v>0.98899999999999999</v>
      </c>
      <c r="BC37" s="3">
        <v>0.97199999999999998</v>
      </c>
      <c r="BD37" s="3">
        <v>0.96499999999999997</v>
      </c>
      <c r="BE37" s="3">
        <v>0.96850000000000003</v>
      </c>
      <c r="BF37" s="3">
        <v>0.99033333300000004</v>
      </c>
      <c r="BG37" s="3">
        <v>0.93799999999999994</v>
      </c>
      <c r="BH37" s="3">
        <v>0.98499999999999999</v>
      </c>
      <c r="BI37" s="3">
        <v>0.97650000000000003</v>
      </c>
      <c r="BJ37" s="3">
        <v>0.90400000000000003</v>
      </c>
      <c r="BK37" s="3">
        <v>0.93700000000000006</v>
      </c>
      <c r="BL37" s="3">
        <v>0.98733333300000004</v>
      </c>
      <c r="BM37" s="3">
        <v>0.01</v>
      </c>
      <c r="BN37" s="3">
        <v>0.96433333300000001</v>
      </c>
      <c r="BO37" s="3">
        <v>0.99299999999999999</v>
      </c>
      <c r="BP37" s="48" t="s">
        <v>310</v>
      </c>
      <c r="BQ37" s="49" t="s">
        <v>334</v>
      </c>
      <c r="BR37" s="3">
        <v>9.7159999999999993</v>
      </c>
      <c r="BS37" s="3">
        <v>7.6429999999999998</v>
      </c>
      <c r="BT37" s="3">
        <v>6.5919999999999996</v>
      </c>
      <c r="BU37" s="3">
        <v>6.1340000000000003</v>
      </c>
      <c r="BV37" s="3">
        <v>9.7110000000000003</v>
      </c>
      <c r="BW37" s="3">
        <v>8.2490000000000006</v>
      </c>
      <c r="BX37" s="3">
        <v>0.82799999999999996</v>
      </c>
      <c r="BY37" s="3">
        <v>10.458</v>
      </c>
      <c r="BZ37" s="3">
        <v>10.061999999999999</v>
      </c>
      <c r="CA37" s="3">
        <v>8.5860000000000003</v>
      </c>
      <c r="CB37" s="3">
        <v>6.8259999999999996</v>
      </c>
      <c r="CC37" s="3">
        <v>6.298</v>
      </c>
      <c r="CD37" s="3">
        <v>4.66</v>
      </c>
    </row>
    <row r="38" spans="1:82" x14ac:dyDescent="0.3">
      <c r="A38" s="48" t="s">
        <v>310</v>
      </c>
      <c r="B38" s="49" t="s">
        <v>335</v>
      </c>
      <c r="C38" s="3">
        <v>42.203983600000001</v>
      </c>
      <c r="D38" s="3">
        <v>42.178595199999997</v>
      </c>
      <c r="E38" s="3">
        <v>27.851074799999999</v>
      </c>
      <c r="F38" s="3">
        <v>26.954018000000001</v>
      </c>
      <c r="G38" s="3">
        <v>26.954018000000001</v>
      </c>
      <c r="H38" s="3">
        <v>34.8921244</v>
      </c>
      <c r="I38" s="48" t="s">
        <v>310</v>
      </c>
      <c r="J38" s="49" t="s">
        <v>335</v>
      </c>
      <c r="K38" s="3">
        <v>38339</v>
      </c>
      <c r="L38" s="48" t="s">
        <v>310</v>
      </c>
      <c r="M38" s="49" t="s">
        <v>335</v>
      </c>
      <c r="N38" s="3">
        <v>2700.1295919999998</v>
      </c>
      <c r="O38" s="3">
        <v>5260.8924440000001</v>
      </c>
      <c r="P38" s="3">
        <v>3622.5077660000002</v>
      </c>
      <c r="Q38" s="3">
        <v>3083.1811360000002</v>
      </c>
      <c r="R38" s="3">
        <v>3537.5851200000002</v>
      </c>
      <c r="S38" s="3">
        <v>7007.0753880000002</v>
      </c>
      <c r="T38" s="3">
        <v>5778.0768969999999</v>
      </c>
      <c r="U38" s="3">
        <v>3678.3210170000002</v>
      </c>
      <c r="V38" s="3">
        <v>2809.0909329999999</v>
      </c>
      <c r="W38" s="3">
        <v>2055.2952070000001</v>
      </c>
      <c r="X38" s="3">
        <v>4226.9681639999999</v>
      </c>
      <c r="Y38" s="3">
        <v>580.40419229999998</v>
      </c>
      <c r="Z38" s="3">
        <v>1841.6741159999999</v>
      </c>
      <c r="AA38" s="48" t="s">
        <v>310</v>
      </c>
      <c r="AB38" s="49" t="s">
        <v>335</v>
      </c>
      <c r="AC38" s="3">
        <v>0.28499999999999998</v>
      </c>
      <c r="AD38" s="3">
        <v>0.98099999999999998</v>
      </c>
      <c r="AE38" s="3">
        <v>0.27900000000000003</v>
      </c>
      <c r="AF38" s="3">
        <v>0.99</v>
      </c>
      <c r="AG38" s="3">
        <v>0.245</v>
      </c>
      <c r="AH38" s="3">
        <v>0.91400000000000003</v>
      </c>
      <c r="AI38" s="3">
        <v>0.16700000000000001</v>
      </c>
      <c r="AJ38" s="3">
        <v>0.98899999999999999</v>
      </c>
      <c r="AK38" s="3">
        <v>0.23499999999999999</v>
      </c>
      <c r="AL38" s="3">
        <v>0.94099999999999995</v>
      </c>
      <c r="AM38" s="3">
        <v>0.155</v>
      </c>
      <c r="AN38" s="3">
        <v>0.96699999999999997</v>
      </c>
      <c r="AO38" s="3">
        <v>9.6000000000000002E-2</v>
      </c>
      <c r="AP38" s="3">
        <v>0.96699999999999997</v>
      </c>
      <c r="AQ38" s="3">
        <v>0.246</v>
      </c>
      <c r="AR38" s="3">
        <v>0.98699999999999999</v>
      </c>
      <c r="AS38" s="3">
        <v>0.219</v>
      </c>
      <c r="AT38" s="3">
        <v>0.99099999999999999</v>
      </c>
      <c r="AU38" s="3">
        <v>0.219</v>
      </c>
      <c r="AV38" s="3">
        <v>0.99199999999999999</v>
      </c>
      <c r="AW38" s="3">
        <v>0.26</v>
      </c>
      <c r="AX38" s="3">
        <v>0.97699999999999998</v>
      </c>
      <c r="AY38" s="3">
        <v>0.221</v>
      </c>
      <c r="AZ38" s="3">
        <v>0.99299999999999999</v>
      </c>
      <c r="BA38" s="3">
        <v>0.126</v>
      </c>
      <c r="BB38" s="3">
        <v>0.99099999999999999</v>
      </c>
      <c r="BC38" s="3">
        <v>0.97899999999999998</v>
      </c>
      <c r="BD38" s="3">
        <v>0.97450000000000003</v>
      </c>
      <c r="BE38" s="3">
        <v>0.97550000000000003</v>
      </c>
      <c r="BF38" s="3">
        <v>0.99</v>
      </c>
      <c r="BG38" s="3">
        <v>0.95133333399999997</v>
      </c>
      <c r="BH38" s="3">
        <v>0.98199999999999998</v>
      </c>
      <c r="BI38" s="3">
        <v>0.98299999999999998</v>
      </c>
      <c r="BJ38" s="3">
        <v>0.923666667</v>
      </c>
      <c r="BK38" s="3">
        <v>0.95</v>
      </c>
      <c r="BL38" s="3">
        <v>0.98799999999999999</v>
      </c>
      <c r="BM38" s="3">
        <v>0.01</v>
      </c>
      <c r="BN38" s="3">
        <v>0.96899999999999997</v>
      </c>
      <c r="BO38" s="3">
        <v>0.99199999999999999</v>
      </c>
      <c r="BP38" s="48" t="s">
        <v>310</v>
      </c>
      <c r="BQ38" s="49" t="s">
        <v>335</v>
      </c>
      <c r="BR38" s="3">
        <v>9.7279999999999998</v>
      </c>
      <c r="BS38" s="3">
        <v>7.4809999999999999</v>
      </c>
      <c r="BT38" s="3">
        <v>6.5789999999999997</v>
      </c>
      <c r="BU38" s="3">
        <v>6.226</v>
      </c>
      <c r="BV38" s="3">
        <v>9.8160000000000007</v>
      </c>
      <c r="BW38" s="3">
        <v>7.8810000000000002</v>
      </c>
      <c r="BX38" s="3">
        <v>0.83799999999999997</v>
      </c>
      <c r="BY38" s="3">
        <v>10.337</v>
      </c>
      <c r="BZ38" s="3">
        <v>10.103</v>
      </c>
      <c r="CA38" s="3">
        <v>8.7379999999999995</v>
      </c>
      <c r="CB38" s="3">
        <v>7.194</v>
      </c>
      <c r="CC38" s="3">
        <v>6.3849999999999998</v>
      </c>
      <c r="CD38" s="3">
        <v>4.7729999999999997</v>
      </c>
    </row>
    <row r="39" spans="1:82" x14ac:dyDescent="0.3">
      <c r="A39" s="48" t="s">
        <v>310</v>
      </c>
      <c r="B39" s="49" t="s">
        <v>336</v>
      </c>
      <c r="C39" s="3">
        <v>37.667922799999999</v>
      </c>
      <c r="D39" s="3">
        <v>39.343557199999999</v>
      </c>
      <c r="E39" s="3">
        <v>29.619800000000001</v>
      </c>
      <c r="F39" s="3">
        <v>26.818613200000001</v>
      </c>
      <c r="G39" s="3">
        <v>26.818613200000001</v>
      </c>
      <c r="H39" s="3">
        <v>34.325116800000004</v>
      </c>
      <c r="I39" s="48" t="s">
        <v>310</v>
      </c>
      <c r="J39" s="49" t="s">
        <v>336</v>
      </c>
      <c r="K39" s="3">
        <v>38258.5</v>
      </c>
      <c r="L39" s="48" t="s">
        <v>310</v>
      </c>
      <c r="M39" s="49" t="s">
        <v>336</v>
      </c>
      <c r="N39" s="3">
        <v>3036.390433</v>
      </c>
      <c r="O39" s="3">
        <v>5504.3649610000002</v>
      </c>
      <c r="P39" s="3">
        <v>3778.5909769999998</v>
      </c>
      <c r="Q39" s="3">
        <v>3034.8204649999998</v>
      </c>
      <c r="R39" s="3">
        <v>3710.1144039999999</v>
      </c>
      <c r="S39" s="3">
        <v>7483.6817149999997</v>
      </c>
      <c r="T39" s="3">
        <v>5620.9421050000001</v>
      </c>
      <c r="U39" s="3">
        <v>3608.429165</v>
      </c>
      <c r="V39" s="3">
        <v>2926.8225430000002</v>
      </c>
      <c r="W39" s="3">
        <v>1977.5917529999999</v>
      </c>
      <c r="X39" s="3">
        <v>4404.1112009999997</v>
      </c>
      <c r="Y39" s="3">
        <v>688.29516009999998</v>
      </c>
      <c r="Z39" s="3">
        <v>1977.4207349999999</v>
      </c>
      <c r="AA39" s="48" t="s">
        <v>310</v>
      </c>
      <c r="AB39" s="49" t="s">
        <v>336</v>
      </c>
      <c r="AC39" s="3">
        <v>0.25800000000000001</v>
      </c>
      <c r="AD39" s="3">
        <v>0.95</v>
      </c>
      <c r="AE39" s="3">
        <v>0.19800000000000001</v>
      </c>
      <c r="AF39" s="3">
        <v>0.98099999999999998</v>
      </c>
      <c r="AG39" s="3">
        <v>0.17899999999999999</v>
      </c>
      <c r="AH39" s="3">
        <v>0.878</v>
      </c>
      <c r="AI39" s="3">
        <v>0.23300000000000001</v>
      </c>
      <c r="AJ39" s="3">
        <v>0.98</v>
      </c>
      <c r="AK39" s="3">
        <v>0.19700000000000001</v>
      </c>
      <c r="AL39" s="3">
        <v>0.96199999999999997</v>
      </c>
      <c r="AM39" s="3">
        <v>0.16400000000000001</v>
      </c>
      <c r="AN39" s="3">
        <v>0.94299999999999995</v>
      </c>
      <c r="AO39" s="3">
        <v>9.5000000000000001E-2</v>
      </c>
      <c r="AP39" s="3">
        <v>0.94299999999999995</v>
      </c>
      <c r="AQ39" s="3">
        <v>0.24399999999999999</v>
      </c>
      <c r="AR39" s="3">
        <v>0.97499999999999998</v>
      </c>
      <c r="AS39" s="3">
        <v>0.21</v>
      </c>
      <c r="AT39" s="3">
        <v>0.98499999999999999</v>
      </c>
      <c r="AU39" s="3">
        <v>0.21</v>
      </c>
      <c r="AV39" s="3">
        <v>0.99099999999999999</v>
      </c>
      <c r="AW39" s="3">
        <v>0.20399999999999999</v>
      </c>
      <c r="AX39" s="3">
        <v>0.96699999999999997</v>
      </c>
      <c r="AY39" s="3">
        <v>0.193</v>
      </c>
      <c r="AZ39" s="3">
        <v>0.99299999999999999</v>
      </c>
      <c r="BA39" s="3">
        <v>0.14599999999999999</v>
      </c>
      <c r="BB39" s="3">
        <v>0.99299999999999999</v>
      </c>
      <c r="BC39" s="3">
        <v>0.98</v>
      </c>
      <c r="BD39" s="3">
        <v>0.97799999999999998</v>
      </c>
      <c r="BE39" s="3">
        <v>0.97899999999999998</v>
      </c>
      <c r="BF39" s="3">
        <v>0.99033333300000004</v>
      </c>
      <c r="BG39" s="3">
        <v>0.96199999999999997</v>
      </c>
      <c r="BH39" s="3">
        <v>0.98099999999999998</v>
      </c>
      <c r="BI39" s="3">
        <v>0.98599999999999999</v>
      </c>
      <c r="BJ39" s="3">
        <v>0.94399999999999995</v>
      </c>
      <c r="BK39" s="3">
        <v>0.96499999999999997</v>
      </c>
      <c r="BL39" s="3">
        <v>0.98966666700000006</v>
      </c>
      <c r="BM39" s="3">
        <v>0.01</v>
      </c>
      <c r="BN39" s="3">
        <v>0.97</v>
      </c>
      <c r="BO39" s="3">
        <v>0.99199999999999999</v>
      </c>
      <c r="BP39" s="48" t="s">
        <v>310</v>
      </c>
      <c r="BQ39" s="49" t="s">
        <v>336</v>
      </c>
      <c r="BR39" s="3">
        <v>9.5719999999999992</v>
      </c>
      <c r="BS39" s="3">
        <v>7.1150000000000002</v>
      </c>
      <c r="BT39" s="3">
        <v>6.766</v>
      </c>
      <c r="BU39" s="3">
        <v>5.1139999999999999</v>
      </c>
      <c r="BV39" s="3">
        <v>9.6300000000000008</v>
      </c>
      <c r="BW39" s="3">
        <v>6.891</v>
      </c>
      <c r="BX39" s="3">
        <v>1.1910000000000001</v>
      </c>
      <c r="BY39" s="3">
        <v>10.185</v>
      </c>
      <c r="BZ39" s="3">
        <v>10.007999999999999</v>
      </c>
      <c r="CA39" s="3">
        <v>8.8019999999999996</v>
      </c>
      <c r="CB39" s="3">
        <v>7.3479999999999999</v>
      </c>
      <c r="CC39" s="3">
        <v>6.5830000000000002</v>
      </c>
      <c r="CD39" s="3">
        <v>4.9480000000000004</v>
      </c>
    </row>
    <row r="40" spans="1:82" x14ac:dyDescent="0.3">
      <c r="A40" s="48" t="s">
        <v>310</v>
      </c>
      <c r="B40" s="49" t="s">
        <v>337</v>
      </c>
      <c r="C40" s="3">
        <v>42.203983600000001</v>
      </c>
      <c r="D40" s="3">
        <v>37.549443599999996</v>
      </c>
      <c r="E40" s="3">
        <v>29.619800000000001</v>
      </c>
      <c r="F40" s="3">
        <v>26.437787199999999</v>
      </c>
      <c r="G40" s="3">
        <v>26.437787199999999</v>
      </c>
      <c r="H40" s="3">
        <v>33.004919999999998</v>
      </c>
      <c r="I40" s="48" t="s">
        <v>310</v>
      </c>
      <c r="J40" s="49" t="s">
        <v>337</v>
      </c>
      <c r="K40" s="3">
        <v>37803</v>
      </c>
      <c r="L40" s="48" t="s">
        <v>310</v>
      </c>
      <c r="M40" s="49" t="s">
        <v>337</v>
      </c>
      <c r="N40" s="3">
        <v>3625.885777</v>
      </c>
      <c r="O40" s="3">
        <v>6102.0134680000001</v>
      </c>
      <c r="P40" s="3">
        <v>3878.2830039999999</v>
      </c>
      <c r="Q40" s="3">
        <v>3496.812868</v>
      </c>
      <c r="R40" s="3">
        <v>4259.4803739999998</v>
      </c>
      <c r="S40" s="3">
        <v>8053.6482370000003</v>
      </c>
      <c r="T40" s="3">
        <v>5721.7425929999999</v>
      </c>
      <c r="U40" s="3">
        <v>4287.0053120000002</v>
      </c>
      <c r="V40" s="3">
        <v>3350.683935</v>
      </c>
      <c r="W40" s="3">
        <v>2137.2682829999999</v>
      </c>
      <c r="X40" s="3">
        <v>4811.6024930000003</v>
      </c>
      <c r="Y40" s="3">
        <v>642.98683579999999</v>
      </c>
      <c r="Z40" s="3">
        <v>2371.531661</v>
      </c>
      <c r="AA40" s="48" t="s">
        <v>310</v>
      </c>
      <c r="AB40" s="49" t="s">
        <v>337</v>
      </c>
      <c r="AC40" s="3">
        <v>0.17899999999999999</v>
      </c>
      <c r="AD40" s="3">
        <v>0.90400000000000003</v>
      </c>
      <c r="AE40" s="3">
        <v>0.159</v>
      </c>
      <c r="AF40" s="3">
        <v>0.98099999999999998</v>
      </c>
      <c r="AG40" s="3">
        <v>0.17899999999999999</v>
      </c>
      <c r="AH40" s="3">
        <v>0.93</v>
      </c>
      <c r="AI40" s="3">
        <v>0.29599999999999999</v>
      </c>
      <c r="AJ40" s="3">
        <v>0.97499999999999998</v>
      </c>
      <c r="AK40" s="3">
        <v>0.152</v>
      </c>
      <c r="AL40" s="3">
        <v>0.96699999999999997</v>
      </c>
      <c r="AM40" s="3">
        <v>0.19500000000000001</v>
      </c>
      <c r="AN40" s="3">
        <v>0.90500000000000003</v>
      </c>
      <c r="AO40" s="3">
        <v>8.2000000000000003E-2</v>
      </c>
      <c r="AP40" s="3">
        <v>0.90500000000000003</v>
      </c>
      <c r="AQ40" s="3">
        <v>0.184</v>
      </c>
      <c r="AR40" s="3">
        <v>0.95299999999999996</v>
      </c>
      <c r="AS40" s="3">
        <v>0.16800000000000001</v>
      </c>
      <c r="AT40" s="3">
        <v>0.98099999999999998</v>
      </c>
      <c r="AU40" s="3">
        <v>0.16800000000000001</v>
      </c>
      <c r="AV40" s="3">
        <v>0.99199999999999999</v>
      </c>
      <c r="AW40" s="3">
        <v>0.15</v>
      </c>
      <c r="AX40" s="3">
        <v>0.97399999999999998</v>
      </c>
      <c r="AY40" s="3">
        <v>0.156</v>
      </c>
      <c r="AZ40" s="3">
        <v>0.99199999999999999</v>
      </c>
      <c r="BA40" s="3">
        <v>0.14699999999999999</v>
      </c>
      <c r="BB40" s="3">
        <v>0.98899999999999999</v>
      </c>
      <c r="BC40" s="3">
        <v>0.98299999999999998</v>
      </c>
      <c r="BD40" s="3">
        <v>0.98</v>
      </c>
      <c r="BE40" s="3">
        <v>0.97899999999999998</v>
      </c>
      <c r="BF40" s="3">
        <v>0.99099999999999999</v>
      </c>
      <c r="BG40" s="3">
        <v>0.97016666699999998</v>
      </c>
      <c r="BH40" s="3">
        <v>0.98199999999999998</v>
      </c>
      <c r="BI40" s="3">
        <v>0.98750000000000004</v>
      </c>
      <c r="BJ40" s="3">
        <v>0.95733333300000001</v>
      </c>
      <c r="BK40" s="3">
        <v>0.97750000000000004</v>
      </c>
      <c r="BL40" s="3">
        <v>0.98899999999999999</v>
      </c>
      <c r="BM40" s="3">
        <v>0.01</v>
      </c>
      <c r="BN40" s="3">
        <v>0.97333333300000002</v>
      </c>
      <c r="BO40" s="3">
        <v>0.99099999999999999</v>
      </c>
      <c r="BP40" s="48" t="s">
        <v>310</v>
      </c>
      <c r="BQ40" s="49" t="s">
        <v>337</v>
      </c>
      <c r="BR40" s="3">
        <v>9.2270000000000003</v>
      </c>
      <c r="BS40" s="3">
        <v>6.843</v>
      </c>
      <c r="BT40" s="3">
        <v>7.0869999999999997</v>
      </c>
      <c r="BU40" s="3">
        <v>3.3</v>
      </c>
      <c r="BV40" s="3">
        <v>9.4030000000000005</v>
      </c>
      <c r="BW40" s="3">
        <v>6.4340000000000002</v>
      </c>
      <c r="BX40" s="3">
        <v>1.389</v>
      </c>
      <c r="BY40" s="3">
        <v>9.9529999999999994</v>
      </c>
      <c r="BZ40" s="3">
        <v>9.6709999999999994</v>
      </c>
      <c r="CA40" s="3">
        <v>8.5909999999999993</v>
      </c>
      <c r="CB40" s="3">
        <v>7.2919999999999998</v>
      </c>
      <c r="CC40" s="3">
        <v>6.6440000000000001</v>
      </c>
      <c r="CD40" s="3">
        <v>5.0069999999999997</v>
      </c>
    </row>
    <row r="41" spans="1:82" x14ac:dyDescent="0.3">
      <c r="A41" s="48" t="s">
        <v>310</v>
      </c>
      <c r="B41" s="49" t="s">
        <v>338</v>
      </c>
      <c r="C41" s="3">
        <v>37.667922799999999</v>
      </c>
      <c r="D41" s="3">
        <v>35.129082799999999</v>
      </c>
      <c r="E41" s="3">
        <v>29.535171999999999</v>
      </c>
      <c r="F41" s="3">
        <v>26.150051999999999</v>
      </c>
      <c r="G41" s="3">
        <v>26.150051999999999</v>
      </c>
      <c r="H41" s="3">
        <v>32.835664000000001</v>
      </c>
      <c r="I41" s="48" t="s">
        <v>310</v>
      </c>
      <c r="J41" s="49" t="s">
        <v>338</v>
      </c>
      <c r="K41" s="3">
        <v>37781.5</v>
      </c>
      <c r="L41" s="48" t="s">
        <v>310</v>
      </c>
      <c r="M41" s="49" t="s">
        <v>338</v>
      </c>
      <c r="N41" s="3">
        <v>3863.0131249999999</v>
      </c>
      <c r="O41" s="3">
        <v>6411.7326190000003</v>
      </c>
      <c r="P41" s="3">
        <v>4194.4811719999998</v>
      </c>
      <c r="Q41" s="3">
        <v>4045.500896</v>
      </c>
      <c r="R41" s="3">
        <v>4127.3765469999998</v>
      </c>
      <c r="S41" s="3">
        <v>8133.9525489999996</v>
      </c>
      <c r="T41" s="3">
        <v>5803.9406600000002</v>
      </c>
      <c r="U41" s="3">
        <v>4126.6199319999996</v>
      </c>
      <c r="V41" s="3">
        <v>3256.4091920000001</v>
      </c>
      <c r="W41" s="3">
        <v>2029.228687</v>
      </c>
      <c r="X41" s="3">
        <v>4804.1723080000002</v>
      </c>
      <c r="Y41" s="3">
        <v>618.25274490000004</v>
      </c>
      <c r="Z41" s="3">
        <v>2321.9367080000002</v>
      </c>
      <c r="AA41" s="48" t="s">
        <v>310</v>
      </c>
      <c r="AB41" s="49" t="s">
        <v>338</v>
      </c>
      <c r="AC41" s="3">
        <v>0.13</v>
      </c>
      <c r="AD41" s="3">
        <v>0.86699999999999999</v>
      </c>
      <c r="AE41" s="3">
        <v>0.13200000000000001</v>
      </c>
      <c r="AF41" s="3">
        <v>0.98499999999999999</v>
      </c>
      <c r="AG41" s="3">
        <v>0.21299999999999999</v>
      </c>
      <c r="AH41" s="3">
        <v>0.98</v>
      </c>
      <c r="AI41" s="3">
        <v>0.252</v>
      </c>
      <c r="AJ41" s="3">
        <v>0.97399999999999998</v>
      </c>
      <c r="AK41" s="3">
        <v>0.126</v>
      </c>
      <c r="AL41" s="3">
        <v>0.98199999999999998</v>
      </c>
      <c r="AM41" s="3">
        <v>0.20300000000000001</v>
      </c>
      <c r="AN41" s="3">
        <v>0.82399999999999995</v>
      </c>
      <c r="AO41" s="3">
        <v>6.0999999999999999E-2</v>
      </c>
      <c r="AP41" s="3">
        <v>0.82399999999999995</v>
      </c>
      <c r="AQ41" s="3">
        <v>0.126</v>
      </c>
      <c r="AR41" s="3">
        <v>0.94799999999999995</v>
      </c>
      <c r="AS41" s="3">
        <v>0.13800000000000001</v>
      </c>
      <c r="AT41" s="3">
        <v>0.98199999999999998</v>
      </c>
      <c r="AU41" s="3">
        <v>0.13800000000000001</v>
      </c>
      <c r="AV41" s="3">
        <v>0.99299999999999999</v>
      </c>
      <c r="AW41" s="3">
        <v>0.13200000000000001</v>
      </c>
      <c r="AX41" s="3">
        <v>0.98799999999999999</v>
      </c>
      <c r="AY41" s="3">
        <v>0.13100000000000001</v>
      </c>
      <c r="AZ41" s="3">
        <v>0.98899999999999999</v>
      </c>
      <c r="BA41" s="3">
        <v>0.161</v>
      </c>
      <c r="BB41" s="3">
        <v>0.97399999999999998</v>
      </c>
      <c r="BC41" s="3">
        <v>0.98550000000000004</v>
      </c>
      <c r="BD41" s="3">
        <v>0.97950000000000004</v>
      </c>
      <c r="BE41" s="3">
        <v>0.97650000000000003</v>
      </c>
      <c r="BF41" s="3">
        <v>0.99133333300000004</v>
      </c>
      <c r="BG41" s="3">
        <v>0.97691666700000002</v>
      </c>
      <c r="BH41" s="3">
        <v>0.98599999999999999</v>
      </c>
      <c r="BI41" s="3">
        <v>0.98650000000000004</v>
      </c>
      <c r="BJ41" s="3">
        <v>0.96833333300000002</v>
      </c>
      <c r="BK41" s="3">
        <v>0.98250000000000004</v>
      </c>
      <c r="BL41" s="3">
        <v>0.98599999999999999</v>
      </c>
      <c r="BM41" s="3">
        <v>0.01</v>
      </c>
      <c r="BN41" s="3">
        <v>0.97666666700000004</v>
      </c>
      <c r="BO41" s="3">
        <v>0.99199999999999999</v>
      </c>
      <c r="BP41" s="48" t="s">
        <v>310</v>
      </c>
      <c r="BQ41" s="49" t="s">
        <v>338</v>
      </c>
      <c r="BR41" s="3">
        <v>8.3409999999999993</v>
      </c>
      <c r="BS41" s="3">
        <v>6.71</v>
      </c>
      <c r="BT41" s="3">
        <v>6.2469999999999999</v>
      </c>
      <c r="BU41" s="3">
        <v>2.665</v>
      </c>
      <c r="BV41" s="3">
        <v>9.0980000000000008</v>
      </c>
      <c r="BW41" s="3">
        <v>6.1109999999999998</v>
      </c>
      <c r="BX41" s="3">
        <v>1.516</v>
      </c>
      <c r="BY41" s="3">
        <v>9.6370000000000005</v>
      </c>
      <c r="BZ41" s="3">
        <v>9.3460000000000001</v>
      </c>
      <c r="CA41" s="3">
        <v>8.2560000000000002</v>
      </c>
      <c r="CB41" s="3">
        <v>6.9589999999999996</v>
      </c>
      <c r="CC41" s="3">
        <v>6.5410000000000004</v>
      </c>
      <c r="CD41" s="3">
        <v>4.8789999999999996</v>
      </c>
    </row>
    <row r="42" spans="1:82" x14ac:dyDescent="0.3">
      <c r="A42" s="48" t="s">
        <v>310</v>
      </c>
      <c r="B42" s="49" t="s">
        <v>339</v>
      </c>
      <c r="C42" s="3">
        <v>32.014772399999998</v>
      </c>
      <c r="D42" s="3">
        <v>33.842737200000002</v>
      </c>
      <c r="E42" s="3">
        <v>29.619800000000001</v>
      </c>
      <c r="F42" s="3">
        <v>26.192366</v>
      </c>
      <c r="G42" s="3">
        <v>26.192366</v>
      </c>
      <c r="H42" s="3">
        <v>33.428060000000002</v>
      </c>
      <c r="I42" s="48" t="s">
        <v>310</v>
      </c>
      <c r="J42" s="49" t="s">
        <v>339</v>
      </c>
      <c r="K42" s="3">
        <v>38239</v>
      </c>
      <c r="L42" s="48" t="s">
        <v>310</v>
      </c>
      <c r="M42" s="49" t="s">
        <v>339</v>
      </c>
      <c r="N42" s="3">
        <v>4163.769499</v>
      </c>
      <c r="O42" s="3">
        <v>6465.5432309999997</v>
      </c>
      <c r="P42" s="3">
        <v>4474.3123370000003</v>
      </c>
      <c r="Q42" s="3">
        <v>4473.4488609999999</v>
      </c>
      <c r="R42" s="3">
        <v>4318.5507420000004</v>
      </c>
      <c r="S42" s="3">
        <v>8071.2591540000003</v>
      </c>
      <c r="T42" s="3">
        <v>5805.3830079999998</v>
      </c>
      <c r="U42" s="3">
        <v>4461.1124970000001</v>
      </c>
      <c r="V42" s="3">
        <v>3218.4298279999998</v>
      </c>
      <c r="W42" s="3">
        <v>2057.1288129999998</v>
      </c>
      <c r="X42" s="3">
        <v>4899.4438920000002</v>
      </c>
      <c r="Y42" s="3">
        <v>573.81985269999996</v>
      </c>
      <c r="Z42" s="3">
        <v>1707.3512860000001</v>
      </c>
      <c r="AA42" s="48" t="s">
        <v>310</v>
      </c>
      <c r="AB42" s="49" t="s">
        <v>339</v>
      </c>
      <c r="AC42" s="3">
        <v>7.5999999999999998E-2</v>
      </c>
      <c r="AD42" s="3">
        <v>0.90300000000000002</v>
      </c>
      <c r="AE42" s="3">
        <v>9.1999999999999998E-2</v>
      </c>
      <c r="AF42" s="3">
        <v>0.98799999999999999</v>
      </c>
      <c r="AG42" s="3">
        <v>0.158</v>
      </c>
      <c r="AH42" s="3">
        <v>0.99199999999999999</v>
      </c>
      <c r="AI42" s="3">
        <v>9.7000000000000003E-2</v>
      </c>
      <c r="AJ42" s="3">
        <v>0.98</v>
      </c>
      <c r="AK42" s="3">
        <v>8.4000000000000005E-2</v>
      </c>
      <c r="AL42" s="3">
        <v>0.99299999999999999</v>
      </c>
      <c r="AM42" s="3">
        <v>0.11</v>
      </c>
      <c r="AN42" s="3">
        <v>0.67200000000000004</v>
      </c>
      <c r="AO42" s="3">
        <v>2.8000000000000001E-2</v>
      </c>
      <c r="AP42" s="3">
        <v>0.67200000000000004</v>
      </c>
      <c r="AQ42" s="3">
        <v>7.3999999999999996E-2</v>
      </c>
      <c r="AR42" s="3">
        <v>0.95299999999999996</v>
      </c>
      <c r="AS42" s="3">
        <v>9.2999999999999999E-2</v>
      </c>
      <c r="AT42" s="3">
        <v>0.98699999999999999</v>
      </c>
      <c r="AU42" s="3">
        <v>9.2999999999999999E-2</v>
      </c>
      <c r="AV42" s="3">
        <v>0.99</v>
      </c>
      <c r="AW42" s="3">
        <v>0.113</v>
      </c>
      <c r="AX42" s="3">
        <v>0.99199999999999999</v>
      </c>
      <c r="AY42" s="3">
        <v>0.107</v>
      </c>
      <c r="AZ42" s="3">
        <v>0.97899999999999998</v>
      </c>
      <c r="BA42" s="3">
        <v>7.2999999999999995E-2</v>
      </c>
      <c r="BB42" s="3">
        <v>0.94499999999999995</v>
      </c>
      <c r="BC42" s="3">
        <v>0.98550000000000004</v>
      </c>
      <c r="BD42" s="3">
        <v>0.97650000000000003</v>
      </c>
      <c r="BE42" s="3">
        <v>0.97499999999999998</v>
      </c>
      <c r="BF42" s="3">
        <v>0.99099999999999999</v>
      </c>
      <c r="BG42" s="3">
        <v>0.98141666699999996</v>
      </c>
      <c r="BH42" s="3">
        <v>0.98799999999999999</v>
      </c>
      <c r="BI42" s="3">
        <v>0.98550000000000004</v>
      </c>
      <c r="BJ42" s="3">
        <v>0.97733333300000003</v>
      </c>
      <c r="BK42" s="3">
        <v>0.98499999999999999</v>
      </c>
      <c r="BL42" s="3">
        <v>0.98166666700000005</v>
      </c>
      <c r="BM42" s="3">
        <v>0.01</v>
      </c>
      <c r="BN42" s="3">
        <v>0.97766666700000004</v>
      </c>
      <c r="BO42" s="3">
        <v>0.99199999999999999</v>
      </c>
      <c r="BP42" s="48" t="s">
        <v>310</v>
      </c>
      <c r="BQ42" s="49" t="s">
        <v>339</v>
      </c>
      <c r="BR42" s="3">
        <v>7.2320000000000002</v>
      </c>
      <c r="BS42" s="3">
        <v>5.8710000000000004</v>
      </c>
      <c r="BT42" s="3">
        <v>4.5179999999999998</v>
      </c>
      <c r="BU42" s="3">
        <v>2.8279999999999998</v>
      </c>
      <c r="BV42" s="3">
        <v>8.4930000000000003</v>
      </c>
      <c r="BW42" s="3">
        <v>6.359</v>
      </c>
      <c r="BX42" s="3">
        <v>1.5660000000000001</v>
      </c>
      <c r="BY42" s="3">
        <v>9.2829999999999995</v>
      </c>
      <c r="BZ42" s="3">
        <v>8.8529999999999998</v>
      </c>
      <c r="CA42" s="3">
        <v>7.7270000000000003</v>
      </c>
      <c r="CB42" s="3">
        <v>6.4039999999999999</v>
      </c>
      <c r="CC42" s="3">
        <v>6.1689999999999996</v>
      </c>
      <c r="CD42" s="3">
        <v>4.5540000000000003</v>
      </c>
    </row>
    <row r="43" spans="1:82" x14ac:dyDescent="0.3">
      <c r="A43" s="48" t="s">
        <v>310</v>
      </c>
      <c r="B43" s="49" t="s">
        <v>340</v>
      </c>
      <c r="C43" s="3">
        <v>32.539465999999997</v>
      </c>
      <c r="D43" s="3">
        <v>36.347726000000002</v>
      </c>
      <c r="E43" s="3">
        <v>31.853979200000001</v>
      </c>
      <c r="F43" s="3">
        <v>27.106348400000002</v>
      </c>
      <c r="G43" s="3">
        <v>27.106348400000002</v>
      </c>
      <c r="H43" s="3">
        <v>34.697479999999999</v>
      </c>
      <c r="I43" s="48" t="s">
        <v>310</v>
      </c>
      <c r="J43" s="49" t="s">
        <v>340</v>
      </c>
      <c r="K43" s="3">
        <v>39994</v>
      </c>
      <c r="L43" s="48" t="s">
        <v>310</v>
      </c>
      <c r="M43" s="49" t="s">
        <v>340</v>
      </c>
      <c r="N43" s="3">
        <v>5391.6790730000002</v>
      </c>
      <c r="O43" s="3">
        <v>7912.7628949999998</v>
      </c>
      <c r="P43" s="3">
        <v>5416.7762229999998</v>
      </c>
      <c r="Q43" s="3">
        <v>5194.9231129999998</v>
      </c>
      <c r="R43" s="3">
        <v>5708.7778049999997</v>
      </c>
      <c r="S43" s="3">
        <v>9508.4603389999993</v>
      </c>
      <c r="T43" s="3">
        <v>6793.6137790000002</v>
      </c>
      <c r="U43" s="3">
        <v>5746.6372600000004</v>
      </c>
      <c r="V43" s="3">
        <v>4302.637068</v>
      </c>
      <c r="W43" s="3">
        <v>2933.1233870000001</v>
      </c>
      <c r="X43" s="3">
        <v>6134.1042360000001</v>
      </c>
      <c r="Y43" s="3">
        <v>635.68547899999999</v>
      </c>
      <c r="Z43" s="3">
        <v>1901.366561</v>
      </c>
      <c r="AA43" s="48" t="s">
        <v>310</v>
      </c>
      <c r="AB43" s="49" t="s">
        <v>340</v>
      </c>
      <c r="AC43" s="3">
        <v>0.02</v>
      </c>
      <c r="AD43" s="3">
        <v>0.95199999999999996</v>
      </c>
      <c r="AE43" s="3">
        <v>3.1E-2</v>
      </c>
      <c r="AF43" s="3">
        <v>0.99199999999999999</v>
      </c>
      <c r="AG43" s="3">
        <v>3.9E-2</v>
      </c>
      <c r="AH43" s="3">
        <v>0.99</v>
      </c>
      <c r="AI43" s="3">
        <v>1.4999999999999999E-2</v>
      </c>
      <c r="AJ43" s="3">
        <v>0.99199999999999999</v>
      </c>
      <c r="AK43" s="3">
        <v>2.8000000000000001E-2</v>
      </c>
      <c r="AL43" s="3">
        <v>0.99299999999999999</v>
      </c>
      <c r="AM43" s="3">
        <v>1.7999999999999999E-2</v>
      </c>
      <c r="AN43" s="3">
        <v>0.47899999999999998</v>
      </c>
      <c r="AO43" s="3">
        <v>4.0000000000000001E-3</v>
      </c>
      <c r="AP43" s="3">
        <v>0.47899999999999998</v>
      </c>
      <c r="AQ43" s="3">
        <v>2.3E-2</v>
      </c>
      <c r="AR43" s="3">
        <v>0.97299999999999998</v>
      </c>
      <c r="AS43" s="3">
        <v>3.5000000000000003E-2</v>
      </c>
      <c r="AT43" s="3">
        <v>0.99299999999999999</v>
      </c>
      <c r="AU43" s="3">
        <v>3.5999999999999997E-2</v>
      </c>
      <c r="AV43" s="3">
        <v>0.97799999999999998</v>
      </c>
      <c r="AW43" s="3">
        <v>0.04</v>
      </c>
      <c r="AX43" s="3">
        <v>0.97499999999999998</v>
      </c>
      <c r="AY43" s="3">
        <v>3.5999999999999997E-2</v>
      </c>
      <c r="AZ43" s="3">
        <v>0.96399999999999997</v>
      </c>
      <c r="BA43" s="3">
        <v>1.9E-2</v>
      </c>
      <c r="BB43" s="3">
        <v>0.91500000000000004</v>
      </c>
      <c r="BC43" s="3">
        <v>0.98450000000000004</v>
      </c>
      <c r="BD43" s="3">
        <v>0.97250000000000003</v>
      </c>
      <c r="BE43" s="3">
        <v>0.97550000000000003</v>
      </c>
      <c r="BF43" s="3">
        <v>0.99033333300000004</v>
      </c>
      <c r="BG43" s="3">
        <v>0.98208333400000003</v>
      </c>
      <c r="BH43" s="3">
        <v>0.99099999999999999</v>
      </c>
      <c r="BI43" s="3">
        <v>0.98299999999999998</v>
      </c>
      <c r="BJ43" s="3">
        <v>0.97966666700000005</v>
      </c>
      <c r="BK43" s="3">
        <v>0.98350000000000004</v>
      </c>
      <c r="BL43" s="3">
        <v>0.98033333300000003</v>
      </c>
      <c r="BM43" s="3">
        <v>0.01</v>
      </c>
      <c r="BN43" s="3">
        <v>0.97766666700000004</v>
      </c>
      <c r="BO43" s="3">
        <v>0.99299999999999999</v>
      </c>
      <c r="BP43" s="48" t="s">
        <v>310</v>
      </c>
      <c r="BQ43" s="49" t="s">
        <v>340</v>
      </c>
      <c r="BR43" s="3">
        <v>6.2619999999999996</v>
      </c>
      <c r="BS43" s="3">
        <v>5.07</v>
      </c>
      <c r="BT43" s="3">
        <v>4.0060000000000002</v>
      </c>
      <c r="BU43" s="3">
        <v>3.0219999999999998</v>
      </c>
      <c r="BV43" s="3">
        <v>7.5750000000000002</v>
      </c>
      <c r="BW43" s="3">
        <v>6.8</v>
      </c>
      <c r="BX43" s="3">
        <v>1.474</v>
      </c>
      <c r="BY43" s="3">
        <v>8.6980000000000004</v>
      </c>
      <c r="BZ43" s="3">
        <v>8.1780000000000008</v>
      </c>
      <c r="CA43" s="3">
        <v>6.923</v>
      </c>
      <c r="CB43" s="3">
        <v>5.5869999999999997</v>
      </c>
      <c r="CC43" s="3">
        <v>5.6120000000000001</v>
      </c>
      <c r="CD43" s="3">
        <v>4.1260000000000003</v>
      </c>
    </row>
    <row r="44" spans="1:82" x14ac:dyDescent="0.3">
      <c r="A44" s="48" t="s">
        <v>310</v>
      </c>
      <c r="B44" s="49" t="s">
        <v>341</v>
      </c>
      <c r="C44" s="3">
        <v>42.203983600000001</v>
      </c>
      <c r="D44" s="3">
        <v>47.882522399999999</v>
      </c>
      <c r="E44" s="3">
        <v>33.851199999999999</v>
      </c>
      <c r="F44" s="3">
        <v>27.656430400000001</v>
      </c>
      <c r="G44" s="3">
        <v>27.8680004</v>
      </c>
      <c r="H44" s="3">
        <v>47.078556399999997</v>
      </c>
      <c r="I44" s="48" t="s">
        <v>310</v>
      </c>
      <c r="J44" s="49" t="s">
        <v>341</v>
      </c>
      <c r="K44" s="3">
        <v>42852.5</v>
      </c>
      <c r="L44" s="48" t="s">
        <v>310</v>
      </c>
      <c r="M44" s="49" t="s">
        <v>341</v>
      </c>
      <c r="N44" s="3">
        <v>7375.7891970000001</v>
      </c>
      <c r="O44" s="3">
        <v>10258.063959999999</v>
      </c>
      <c r="P44" s="3">
        <v>6836.0784880000001</v>
      </c>
      <c r="Q44" s="3">
        <v>5972.1074360000002</v>
      </c>
      <c r="R44" s="3">
        <v>7558.8435049999998</v>
      </c>
      <c r="S44" s="3">
        <v>11364.83166</v>
      </c>
      <c r="T44" s="3">
        <v>8053.2677910000002</v>
      </c>
      <c r="U44" s="3">
        <v>8971.5985479999999</v>
      </c>
      <c r="V44" s="3">
        <v>6870.8234069999999</v>
      </c>
      <c r="W44" s="3">
        <v>4927.5397130000001</v>
      </c>
      <c r="X44" s="3">
        <v>7490.7532979999996</v>
      </c>
      <c r="Y44" s="3">
        <v>972.45429960000001</v>
      </c>
      <c r="Z44" s="3">
        <v>2788.7218269999998</v>
      </c>
      <c r="AA44" s="48" t="s">
        <v>310</v>
      </c>
      <c r="AB44" s="49" t="s">
        <v>341</v>
      </c>
      <c r="AC44" s="3">
        <v>0</v>
      </c>
      <c r="AD44" s="3">
        <v>0.98199999999999998</v>
      </c>
      <c r="AE44" s="3">
        <v>0</v>
      </c>
      <c r="AF44" s="3">
        <v>0.98899999999999999</v>
      </c>
      <c r="AG44" s="3">
        <v>0</v>
      </c>
      <c r="AH44" s="3">
        <v>0.96299999999999997</v>
      </c>
      <c r="AI44" s="3">
        <v>0</v>
      </c>
      <c r="AJ44" s="3">
        <v>0.99</v>
      </c>
      <c r="AK44" s="3">
        <v>0</v>
      </c>
      <c r="AL44" s="3">
        <v>0.99299999999999999</v>
      </c>
      <c r="AM44" s="3">
        <v>0</v>
      </c>
      <c r="AN44" s="3">
        <v>0.374</v>
      </c>
      <c r="AO44" s="3">
        <v>0</v>
      </c>
      <c r="AP44" s="3">
        <v>0.374</v>
      </c>
      <c r="AQ44" s="3">
        <v>0</v>
      </c>
      <c r="AR44" s="3">
        <v>0.99099999999999999</v>
      </c>
      <c r="AS44" s="3">
        <v>0</v>
      </c>
      <c r="AT44" s="3">
        <v>0.98799999999999999</v>
      </c>
      <c r="AU44" s="3">
        <v>0</v>
      </c>
      <c r="AV44" s="3">
        <v>0.95499999999999996</v>
      </c>
      <c r="AW44" s="3">
        <v>0</v>
      </c>
      <c r="AX44" s="3">
        <v>0.93200000000000005</v>
      </c>
      <c r="AY44" s="3">
        <v>0</v>
      </c>
      <c r="AZ44" s="3">
        <v>0.94199999999999995</v>
      </c>
      <c r="BA44" s="3">
        <v>0</v>
      </c>
      <c r="BB44" s="3">
        <v>0.872</v>
      </c>
      <c r="BC44" s="3">
        <v>0.98350000000000004</v>
      </c>
      <c r="BD44" s="3">
        <v>0.97299999999999998</v>
      </c>
      <c r="BE44" s="3">
        <v>0.97899999999999998</v>
      </c>
      <c r="BF44" s="3">
        <v>0.98833333300000004</v>
      </c>
      <c r="BG44" s="3">
        <v>0.97941666699999996</v>
      </c>
      <c r="BH44" s="3">
        <v>0.99299999999999999</v>
      </c>
      <c r="BI44" s="3">
        <v>0.97099999999999997</v>
      </c>
      <c r="BJ44" s="3">
        <v>0.97533333300000002</v>
      </c>
      <c r="BK44" s="3">
        <v>0.97399999999999998</v>
      </c>
      <c r="BL44" s="3">
        <v>0.98266666700000005</v>
      </c>
      <c r="BM44" s="3">
        <v>0.01</v>
      </c>
      <c r="BN44" s="3">
        <v>0.97399999999999998</v>
      </c>
      <c r="BO44" s="3">
        <v>0.99099999999999999</v>
      </c>
      <c r="BP44" s="48" t="s">
        <v>310</v>
      </c>
      <c r="BQ44" s="49" t="s">
        <v>341</v>
      </c>
      <c r="BR44" s="3">
        <v>5.476</v>
      </c>
      <c r="BS44" s="3">
        <v>4.7640000000000002</v>
      </c>
      <c r="BT44" s="3">
        <v>4.0549999999999997</v>
      </c>
      <c r="BU44" s="3">
        <v>2.99</v>
      </c>
      <c r="BV44" s="3">
        <v>6.6959999999999997</v>
      </c>
      <c r="BW44" s="3">
        <v>6.3979999999999997</v>
      </c>
      <c r="BX44" s="3">
        <v>1.181</v>
      </c>
      <c r="BY44" s="3">
        <v>8.0370000000000008</v>
      </c>
      <c r="BZ44" s="3">
        <v>7.4480000000000004</v>
      </c>
      <c r="CA44" s="3">
        <v>5.9580000000000002</v>
      </c>
      <c r="CB44" s="3">
        <v>4.8289999999999997</v>
      </c>
      <c r="CC44" s="3">
        <v>5.0869999999999997</v>
      </c>
      <c r="CD44" s="3">
        <v>3.6829999999999998</v>
      </c>
    </row>
    <row r="45" spans="1:82" x14ac:dyDescent="0.3">
      <c r="A45" s="48" t="s">
        <v>310</v>
      </c>
      <c r="B45" s="49" t="s">
        <v>342</v>
      </c>
      <c r="C45" s="3">
        <v>93.124651200000002</v>
      </c>
      <c r="D45" s="3">
        <v>49.744338399999997</v>
      </c>
      <c r="E45" s="3">
        <v>33.004919999999998</v>
      </c>
      <c r="F45" s="3">
        <v>27.0301832</v>
      </c>
      <c r="G45" s="3">
        <v>27.157125199999999</v>
      </c>
      <c r="H45" s="3">
        <v>37.828716</v>
      </c>
      <c r="I45" s="48" t="s">
        <v>310</v>
      </c>
      <c r="J45" s="49" t="s">
        <v>342</v>
      </c>
      <c r="K45" s="3">
        <v>45038.5</v>
      </c>
      <c r="L45" s="48" t="s">
        <v>310</v>
      </c>
      <c r="M45" s="49" t="s">
        <v>342</v>
      </c>
      <c r="N45" s="3">
        <v>8591.5417589999997</v>
      </c>
      <c r="O45" s="3">
        <v>11714.55214</v>
      </c>
      <c r="P45" s="3">
        <v>7452.7206550000001</v>
      </c>
      <c r="Q45" s="3">
        <v>6225.7847769999998</v>
      </c>
      <c r="R45" s="3">
        <v>9213.6279460000005</v>
      </c>
      <c r="S45" s="3">
        <v>12830.00448</v>
      </c>
      <c r="T45" s="3">
        <v>8911.8229080000001</v>
      </c>
      <c r="U45" s="3">
        <v>10850.92848</v>
      </c>
      <c r="V45" s="3">
        <v>8208.6078510000007</v>
      </c>
      <c r="W45" s="3">
        <v>6439.0267670000003</v>
      </c>
      <c r="X45" s="3">
        <v>8759.2110209999992</v>
      </c>
      <c r="Y45" s="3">
        <v>1151.365969</v>
      </c>
      <c r="Z45" s="3">
        <v>3703.9041219999999</v>
      </c>
      <c r="AA45" s="48" t="s">
        <v>310</v>
      </c>
      <c r="AB45" s="49" t="s">
        <v>342</v>
      </c>
      <c r="AC45" s="3">
        <v>0</v>
      </c>
      <c r="AD45" s="3">
        <v>0.99299999999999999</v>
      </c>
      <c r="AE45" s="3">
        <v>0</v>
      </c>
      <c r="AF45" s="3">
        <v>0.94799999999999995</v>
      </c>
      <c r="AG45" s="3">
        <v>0</v>
      </c>
      <c r="AH45" s="3">
        <v>0.88700000000000001</v>
      </c>
      <c r="AI45" s="3">
        <v>0</v>
      </c>
      <c r="AJ45" s="3">
        <v>0.97</v>
      </c>
      <c r="AK45" s="3">
        <v>0</v>
      </c>
      <c r="AL45" s="3">
        <v>0.97499999999999998</v>
      </c>
      <c r="AM45" s="3">
        <v>0</v>
      </c>
      <c r="AN45" s="3">
        <v>0.38</v>
      </c>
      <c r="AO45" s="3">
        <v>0</v>
      </c>
      <c r="AP45" s="3">
        <v>0.38</v>
      </c>
      <c r="AQ45" s="3">
        <v>0</v>
      </c>
      <c r="AR45" s="3">
        <v>0.99199999999999999</v>
      </c>
      <c r="AS45" s="3">
        <v>0</v>
      </c>
      <c r="AT45" s="3">
        <v>0.96899999999999997</v>
      </c>
      <c r="AU45" s="3">
        <v>0</v>
      </c>
      <c r="AV45" s="3">
        <v>0.92600000000000005</v>
      </c>
      <c r="AW45" s="3">
        <v>0</v>
      </c>
      <c r="AX45" s="3">
        <v>0.86399999999999999</v>
      </c>
      <c r="AY45" s="3">
        <v>0</v>
      </c>
      <c r="AZ45" s="3">
        <v>0.91500000000000004</v>
      </c>
      <c r="BA45" s="3">
        <v>0</v>
      </c>
      <c r="BB45" s="3">
        <v>0.83299999999999996</v>
      </c>
      <c r="BC45" s="3">
        <v>0.98250000000000004</v>
      </c>
      <c r="BD45" s="3">
        <v>0.97350000000000003</v>
      </c>
      <c r="BE45" s="3">
        <v>0.98250000000000004</v>
      </c>
      <c r="BF45" s="3">
        <v>0.98866666700000005</v>
      </c>
      <c r="BG45" s="3">
        <v>0.97424999999999995</v>
      </c>
      <c r="BH45" s="3">
        <v>0.99199999999999999</v>
      </c>
      <c r="BI45" s="3">
        <v>0.95</v>
      </c>
      <c r="BJ45" s="3">
        <v>0.96599999999999997</v>
      </c>
      <c r="BK45" s="3">
        <v>0.96599999999999997</v>
      </c>
      <c r="BL45" s="3">
        <v>0.98299999999999998</v>
      </c>
      <c r="BM45" s="3">
        <v>0.01</v>
      </c>
      <c r="BN45" s="3">
        <v>0.97399999999999998</v>
      </c>
      <c r="BO45" s="3">
        <v>0.98899999999999999</v>
      </c>
      <c r="BP45" s="48" t="s">
        <v>310</v>
      </c>
      <c r="BQ45" s="49" t="s">
        <v>342</v>
      </c>
      <c r="BR45" s="3">
        <v>5.1429999999999998</v>
      </c>
      <c r="BS45" s="3">
        <v>4.577</v>
      </c>
      <c r="BT45" s="3">
        <v>4.0609999999999999</v>
      </c>
      <c r="BU45" s="3">
        <v>2.7959999999999998</v>
      </c>
      <c r="BV45" s="3">
        <v>5.9470000000000001</v>
      </c>
      <c r="BW45" s="3">
        <v>5.359</v>
      </c>
      <c r="BX45" s="3">
        <v>1.0189999999999999</v>
      </c>
      <c r="BY45" s="3">
        <v>7.5359999999999996</v>
      </c>
      <c r="BZ45" s="3">
        <v>6.867</v>
      </c>
      <c r="CA45" s="3">
        <v>5.4130000000000003</v>
      </c>
      <c r="CB45" s="3">
        <v>4.3529999999999998</v>
      </c>
      <c r="CC45" s="3">
        <v>4.8019999999999996</v>
      </c>
      <c r="CD45" s="3">
        <v>3.3730000000000002</v>
      </c>
    </row>
    <row r="46" spans="1:82" x14ac:dyDescent="0.3">
      <c r="A46" s="48" t="s">
        <v>310</v>
      </c>
      <c r="B46" s="49" t="s">
        <v>343</v>
      </c>
      <c r="C46" s="3">
        <v>92.633808799999997</v>
      </c>
      <c r="D46" s="3">
        <v>43.854229599999996</v>
      </c>
      <c r="E46" s="3">
        <v>33.851199999999999</v>
      </c>
      <c r="F46" s="3">
        <v>25.828465600000001</v>
      </c>
      <c r="G46" s="3">
        <v>25.4899536</v>
      </c>
      <c r="H46" s="3">
        <v>36.390039999999999</v>
      </c>
      <c r="I46" s="48" t="s">
        <v>310</v>
      </c>
      <c r="J46" s="49" t="s">
        <v>343</v>
      </c>
      <c r="K46" s="3">
        <v>43740.5</v>
      </c>
      <c r="L46" s="48" t="s">
        <v>310</v>
      </c>
      <c r="M46" s="49" t="s">
        <v>343</v>
      </c>
      <c r="N46" s="3">
        <v>8831.7434919999996</v>
      </c>
      <c r="O46" s="3">
        <v>11935.548070000001</v>
      </c>
      <c r="P46" s="3">
        <v>7396.4947119999997</v>
      </c>
      <c r="Q46" s="3">
        <v>6189.8722330000001</v>
      </c>
      <c r="R46" s="3">
        <v>10300.910540000001</v>
      </c>
      <c r="S46" s="3">
        <v>13319.77282</v>
      </c>
      <c r="T46" s="3">
        <v>9239.6782409999996</v>
      </c>
      <c r="U46" s="3">
        <v>11494.080749999999</v>
      </c>
      <c r="V46" s="3">
        <v>8171.3823130000001</v>
      </c>
      <c r="W46" s="3">
        <v>6932.5280169999996</v>
      </c>
      <c r="X46" s="3">
        <v>9241.427592</v>
      </c>
      <c r="Y46" s="3">
        <v>1214.999534</v>
      </c>
      <c r="Z46" s="3">
        <v>4278.7016000000003</v>
      </c>
      <c r="AA46" s="48" t="s">
        <v>310</v>
      </c>
      <c r="AB46" s="49" t="s">
        <v>343</v>
      </c>
      <c r="AC46" s="3">
        <v>0</v>
      </c>
      <c r="AD46" s="3">
        <v>0.98499999999999999</v>
      </c>
      <c r="AE46" s="3">
        <v>0</v>
      </c>
      <c r="AF46" s="3">
        <v>0.85699999999999998</v>
      </c>
      <c r="AG46" s="3">
        <v>0</v>
      </c>
      <c r="AH46" s="3">
        <v>0.77500000000000002</v>
      </c>
      <c r="AI46" s="3">
        <v>0</v>
      </c>
      <c r="AJ46" s="3">
        <v>0.92700000000000005</v>
      </c>
      <c r="AK46" s="3">
        <v>0</v>
      </c>
      <c r="AL46" s="3">
        <v>0.85899999999999999</v>
      </c>
      <c r="AM46" s="3">
        <v>0</v>
      </c>
      <c r="AN46" s="3">
        <v>0.41199999999999998</v>
      </c>
      <c r="AO46" s="3">
        <v>0</v>
      </c>
      <c r="AP46" s="3">
        <v>0.41199999999999998</v>
      </c>
      <c r="AQ46" s="3">
        <v>0</v>
      </c>
      <c r="AR46" s="3">
        <v>0.98099999999999998</v>
      </c>
      <c r="AS46" s="3">
        <v>0</v>
      </c>
      <c r="AT46" s="3">
        <v>0.93500000000000005</v>
      </c>
      <c r="AU46" s="3">
        <v>0</v>
      </c>
      <c r="AV46" s="3">
        <v>0.88800000000000001</v>
      </c>
      <c r="AW46" s="3">
        <v>0</v>
      </c>
      <c r="AX46" s="3">
        <v>0.77600000000000002</v>
      </c>
      <c r="AY46" s="3">
        <v>0</v>
      </c>
      <c r="AZ46" s="3">
        <v>0.876</v>
      </c>
      <c r="BA46" s="3">
        <v>0</v>
      </c>
      <c r="BB46" s="3">
        <v>0.79200000000000004</v>
      </c>
      <c r="BC46" s="3">
        <v>0.98299999999999998</v>
      </c>
      <c r="BD46" s="3">
        <v>0.97299999999999998</v>
      </c>
      <c r="BE46" s="3">
        <v>0.98450000000000004</v>
      </c>
      <c r="BF46" s="3">
        <v>0.99166666699999995</v>
      </c>
      <c r="BG46" s="3">
        <v>0.97166666700000004</v>
      </c>
      <c r="BH46" s="3">
        <v>0.99199999999999999</v>
      </c>
      <c r="BI46" s="3">
        <v>0.92500000000000004</v>
      </c>
      <c r="BJ46" s="3">
        <v>0.96033333300000001</v>
      </c>
      <c r="BK46" s="3">
        <v>0.97350000000000003</v>
      </c>
      <c r="BL46" s="3">
        <v>0.97533333300000002</v>
      </c>
      <c r="BM46" s="3">
        <v>0.01</v>
      </c>
      <c r="BN46" s="3">
        <v>0.97433333300000002</v>
      </c>
      <c r="BO46" s="3">
        <v>0.98299999999999998</v>
      </c>
      <c r="BP46" s="48" t="s">
        <v>310</v>
      </c>
      <c r="BQ46" s="49" t="s">
        <v>343</v>
      </c>
      <c r="BR46" s="3">
        <v>4.9000000000000004</v>
      </c>
      <c r="BS46" s="3">
        <v>4.3360000000000003</v>
      </c>
      <c r="BT46" s="3">
        <v>3.9420000000000002</v>
      </c>
      <c r="BU46" s="3">
        <v>2.4689999999999999</v>
      </c>
      <c r="BV46" s="3">
        <v>5.2610000000000001</v>
      </c>
      <c r="BW46" s="3">
        <v>4.9909999999999997</v>
      </c>
      <c r="BX46" s="3">
        <v>1.014</v>
      </c>
      <c r="BY46" s="3">
        <v>6.984</v>
      </c>
      <c r="BZ46" s="3">
        <v>6.29</v>
      </c>
      <c r="CA46" s="3">
        <v>5.0540000000000003</v>
      </c>
      <c r="CB46" s="3">
        <v>3.931</v>
      </c>
      <c r="CC46" s="3">
        <v>4.548</v>
      </c>
      <c r="CD46" s="3">
        <v>3.2530000000000001</v>
      </c>
    </row>
    <row r="47" spans="1:82" x14ac:dyDescent="0.3">
      <c r="A47" s="48" t="s">
        <v>310</v>
      </c>
      <c r="B47" s="49" t="s">
        <v>344</v>
      </c>
      <c r="C47" s="3">
        <v>44.937468000000003</v>
      </c>
      <c r="D47" s="3">
        <v>40.342167600000003</v>
      </c>
      <c r="E47" s="3">
        <v>29.619800000000001</v>
      </c>
      <c r="F47" s="3">
        <v>25.599969999999999</v>
      </c>
      <c r="G47" s="3">
        <v>25.4899536</v>
      </c>
      <c r="H47" s="3">
        <v>29.619800000000001</v>
      </c>
      <c r="I47" s="48" t="s">
        <v>310</v>
      </c>
      <c r="J47" s="49" t="s">
        <v>344</v>
      </c>
      <c r="K47" s="3">
        <v>40867</v>
      </c>
      <c r="L47" s="48" t="s">
        <v>310</v>
      </c>
      <c r="M47" s="49" t="s">
        <v>344</v>
      </c>
      <c r="N47" s="3">
        <v>8121.5359189999999</v>
      </c>
      <c r="O47" s="3">
        <v>10754.430990000001</v>
      </c>
      <c r="P47" s="3">
        <v>6614.0523990000002</v>
      </c>
      <c r="Q47" s="3">
        <v>5661.4890320000004</v>
      </c>
      <c r="R47" s="3">
        <v>9828.7544809999999</v>
      </c>
      <c r="S47" s="3">
        <v>12384.72078</v>
      </c>
      <c r="T47" s="3">
        <v>8665.0950250000005</v>
      </c>
      <c r="U47" s="3">
        <v>10535.48846</v>
      </c>
      <c r="V47" s="3">
        <v>7087.0269550000003</v>
      </c>
      <c r="W47" s="3">
        <v>6156.4231499999996</v>
      </c>
      <c r="X47" s="3">
        <v>8552.2035830000004</v>
      </c>
      <c r="Y47" s="3">
        <v>1123.9907129999999</v>
      </c>
      <c r="Z47" s="3">
        <v>4170.1346910000002</v>
      </c>
      <c r="AA47" s="48" t="s">
        <v>310</v>
      </c>
      <c r="AB47" s="49" t="s">
        <v>344</v>
      </c>
      <c r="AC47" s="3">
        <v>0</v>
      </c>
      <c r="AD47" s="3">
        <v>0.93600000000000005</v>
      </c>
      <c r="AE47" s="3">
        <v>0</v>
      </c>
      <c r="AF47" s="3">
        <v>0.67700000000000005</v>
      </c>
      <c r="AG47" s="3">
        <v>0</v>
      </c>
      <c r="AH47" s="3">
        <v>0.628</v>
      </c>
      <c r="AI47" s="3">
        <v>0</v>
      </c>
      <c r="AJ47" s="3">
        <v>0.85099999999999998</v>
      </c>
      <c r="AK47" s="3">
        <v>0</v>
      </c>
      <c r="AL47" s="3">
        <v>0.95599999999999996</v>
      </c>
      <c r="AM47" s="3">
        <v>0</v>
      </c>
      <c r="AN47" s="3">
        <v>0.42799999999999999</v>
      </c>
      <c r="AO47" s="3">
        <v>0</v>
      </c>
      <c r="AP47" s="3">
        <v>0.42799999999999999</v>
      </c>
      <c r="AQ47" s="3">
        <v>0</v>
      </c>
      <c r="AR47" s="3">
        <v>0.94799999999999995</v>
      </c>
      <c r="AS47" s="3">
        <v>0</v>
      </c>
      <c r="AT47" s="3">
        <v>0.873</v>
      </c>
      <c r="AU47" s="3">
        <v>0</v>
      </c>
      <c r="AV47" s="3">
        <v>0.84299999999999997</v>
      </c>
      <c r="AW47" s="3">
        <v>0</v>
      </c>
      <c r="AX47" s="3">
        <v>0.69399999999999995</v>
      </c>
      <c r="AY47" s="3">
        <v>0</v>
      </c>
      <c r="AZ47" s="3">
        <v>0.82899999999999996</v>
      </c>
      <c r="BA47" s="3">
        <v>0</v>
      </c>
      <c r="BB47" s="3">
        <v>0.75600000000000001</v>
      </c>
      <c r="BC47" s="3">
        <v>0.98650000000000004</v>
      </c>
      <c r="BD47" s="3">
        <v>0.97899999999999998</v>
      </c>
      <c r="BE47" s="3">
        <v>0.98350000000000004</v>
      </c>
      <c r="BF47" s="3">
        <v>0.99033333300000004</v>
      </c>
      <c r="BG47" s="3">
        <v>0.97541666699999996</v>
      </c>
      <c r="BH47" s="3">
        <v>0.99199999999999999</v>
      </c>
      <c r="BI47" s="3">
        <v>0.89400000000000002</v>
      </c>
      <c r="BJ47" s="3">
        <v>0.96433333300000001</v>
      </c>
      <c r="BK47" s="3">
        <v>0.98450000000000004</v>
      </c>
      <c r="BL47" s="3">
        <v>0.96633333300000002</v>
      </c>
      <c r="BM47" s="3">
        <v>0.01</v>
      </c>
      <c r="BN47" s="3">
        <v>0.97866666700000005</v>
      </c>
      <c r="BO47" s="3">
        <v>0.96599999999999997</v>
      </c>
      <c r="BP47" s="48" t="s">
        <v>310</v>
      </c>
      <c r="BQ47" s="49" t="s">
        <v>344</v>
      </c>
      <c r="BR47" s="3">
        <v>4.66</v>
      </c>
      <c r="BS47" s="3">
        <v>3.9910000000000001</v>
      </c>
      <c r="BT47" s="3">
        <v>3.6890000000000001</v>
      </c>
      <c r="BU47" s="3">
        <v>2.1989999999999998</v>
      </c>
      <c r="BV47" s="3">
        <v>4.7169999999999996</v>
      </c>
      <c r="BW47" s="3">
        <v>5.3360000000000003</v>
      </c>
      <c r="BX47" s="3">
        <v>1.0169999999999999</v>
      </c>
      <c r="BY47" s="3">
        <v>6.4640000000000004</v>
      </c>
      <c r="BZ47" s="3">
        <v>5.7649999999999997</v>
      </c>
      <c r="CA47" s="3">
        <v>4.7009999999999996</v>
      </c>
      <c r="CB47" s="3">
        <v>3.5960000000000001</v>
      </c>
      <c r="CC47" s="3">
        <v>4.3339999999999996</v>
      </c>
      <c r="CD47" s="3">
        <v>3.1880000000000002</v>
      </c>
    </row>
    <row r="48" spans="1:82" x14ac:dyDescent="0.3">
      <c r="A48" s="48" t="s">
        <v>310</v>
      </c>
      <c r="B48" s="49" t="s">
        <v>345</v>
      </c>
      <c r="C48" s="3">
        <v>60.864457600000001</v>
      </c>
      <c r="D48" s="3">
        <v>40.452184000000003</v>
      </c>
      <c r="E48" s="3">
        <v>26.023109999999999</v>
      </c>
      <c r="F48" s="3">
        <v>25.193755599999999</v>
      </c>
      <c r="G48" s="3">
        <v>24.609822399999999</v>
      </c>
      <c r="H48" s="3">
        <v>35.543759999999999</v>
      </c>
      <c r="I48" s="48" t="s">
        <v>310</v>
      </c>
      <c r="J48" s="49" t="s">
        <v>345</v>
      </c>
      <c r="K48" s="3">
        <v>37407.5</v>
      </c>
      <c r="L48" s="48" t="s">
        <v>310</v>
      </c>
      <c r="M48" s="49" t="s">
        <v>345</v>
      </c>
      <c r="N48" s="3">
        <v>7196.1625260000001</v>
      </c>
      <c r="O48" s="3">
        <v>9216.8154070000001</v>
      </c>
      <c r="P48" s="3">
        <v>5640.9394190000003</v>
      </c>
      <c r="Q48" s="3">
        <v>4906.9157349999996</v>
      </c>
      <c r="R48" s="3">
        <v>9061.5497219999997</v>
      </c>
      <c r="S48" s="3">
        <v>11017.514150000001</v>
      </c>
      <c r="T48" s="3">
        <v>7898.507243</v>
      </c>
      <c r="U48" s="3">
        <v>9361.5110380000006</v>
      </c>
      <c r="V48" s="3">
        <v>6230.2223160000003</v>
      </c>
      <c r="W48" s="3">
        <v>5296.781027</v>
      </c>
      <c r="X48" s="3">
        <v>7595.2505419999998</v>
      </c>
      <c r="Y48" s="3">
        <v>993.46077979999995</v>
      </c>
      <c r="Z48" s="3">
        <v>3544.04315</v>
      </c>
      <c r="AA48" s="48" t="s">
        <v>310</v>
      </c>
      <c r="AB48" s="49" t="s">
        <v>345</v>
      </c>
      <c r="AC48" s="3">
        <v>0</v>
      </c>
      <c r="AD48" s="3">
        <v>0.83899999999999997</v>
      </c>
      <c r="AE48" s="3">
        <v>0</v>
      </c>
      <c r="AF48" s="3">
        <v>0.55000000000000004</v>
      </c>
      <c r="AG48" s="3">
        <v>0</v>
      </c>
      <c r="AH48" s="3">
        <v>0.505</v>
      </c>
      <c r="AI48" s="3">
        <v>0</v>
      </c>
      <c r="AJ48" s="3">
        <v>0.74399999999999999</v>
      </c>
      <c r="AK48" s="3">
        <v>0</v>
      </c>
      <c r="AL48" s="3">
        <v>0.99</v>
      </c>
      <c r="AM48" s="3">
        <v>0</v>
      </c>
      <c r="AN48" s="3">
        <v>0.45400000000000001</v>
      </c>
      <c r="AO48" s="3">
        <v>0</v>
      </c>
      <c r="AP48" s="3">
        <v>0.45400000000000001</v>
      </c>
      <c r="AQ48" s="3">
        <v>0</v>
      </c>
      <c r="AR48" s="3">
        <v>0.879</v>
      </c>
      <c r="AS48" s="3">
        <v>0</v>
      </c>
      <c r="AT48" s="3">
        <v>0.78900000000000003</v>
      </c>
      <c r="AU48" s="3">
        <v>0</v>
      </c>
      <c r="AV48" s="3">
        <v>0.79500000000000004</v>
      </c>
      <c r="AW48" s="3">
        <v>0</v>
      </c>
      <c r="AX48" s="3">
        <v>0.65200000000000002</v>
      </c>
      <c r="AY48" s="3">
        <v>0</v>
      </c>
      <c r="AZ48" s="3">
        <v>0.78900000000000003</v>
      </c>
      <c r="BA48" s="3">
        <v>0</v>
      </c>
      <c r="BB48" s="3">
        <v>0.71699999999999997</v>
      </c>
      <c r="BC48" s="3">
        <v>0.98799999999999999</v>
      </c>
      <c r="BD48" s="3">
        <v>0.98350000000000004</v>
      </c>
      <c r="BE48" s="3">
        <v>0.98250000000000004</v>
      </c>
      <c r="BF48" s="3">
        <v>0.99133333300000004</v>
      </c>
      <c r="BG48" s="3">
        <v>0.97950000000000004</v>
      </c>
      <c r="BH48" s="3">
        <v>0.99</v>
      </c>
      <c r="BI48" s="3">
        <v>0.87549999999999994</v>
      </c>
      <c r="BJ48" s="3">
        <v>0.97099999999999997</v>
      </c>
      <c r="BK48" s="3">
        <v>0.98550000000000004</v>
      </c>
      <c r="BL48" s="3">
        <v>0.95166666700000002</v>
      </c>
      <c r="BM48" s="3">
        <v>0.01</v>
      </c>
      <c r="BN48" s="3">
        <v>0.98266666700000005</v>
      </c>
      <c r="BO48" s="3">
        <v>0.95099999999999996</v>
      </c>
      <c r="BP48" s="48" t="s">
        <v>310</v>
      </c>
      <c r="BQ48" s="49" t="s">
        <v>345</v>
      </c>
      <c r="BR48" s="3">
        <v>4.2709999999999999</v>
      </c>
      <c r="BS48" s="3">
        <v>3.5169999999999999</v>
      </c>
      <c r="BT48" s="3">
        <v>3.153</v>
      </c>
      <c r="BU48" s="3">
        <v>1.954</v>
      </c>
      <c r="BV48" s="3">
        <v>4.1539999999999999</v>
      </c>
      <c r="BW48" s="3">
        <v>5.4829999999999997</v>
      </c>
      <c r="BX48" s="3">
        <v>1.0509999999999999</v>
      </c>
      <c r="BY48" s="3">
        <v>6.01</v>
      </c>
      <c r="BZ48" s="3">
        <v>5.2690000000000001</v>
      </c>
      <c r="CA48" s="3">
        <v>4.3120000000000003</v>
      </c>
      <c r="CB48" s="3">
        <v>3.3119999999999998</v>
      </c>
      <c r="CC48" s="3">
        <v>4.0659999999999998</v>
      </c>
      <c r="CD48" s="3">
        <v>2.9790000000000001</v>
      </c>
    </row>
    <row r="49" spans="1:82" x14ac:dyDescent="0.3">
      <c r="A49" s="48" t="s">
        <v>310</v>
      </c>
      <c r="B49" s="49" t="s">
        <v>346</v>
      </c>
      <c r="C49" s="3">
        <v>75.555878399999997</v>
      </c>
      <c r="D49" s="3">
        <v>38.954268399999997</v>
      </c>
      <c r="E49" s="3">
        <v>25.303771999999999</v>
      </c>
      <c r="F49" s="3">
        <v>24.753689999999999</v>
      </c>
      <c r="G49" s="3">
        <v>8.8013119999999994</v>
      </c>
      <c r="H49" s="3">
        <v>29.619800000000001</v>
      </c>
      <c r="I49" s="48" t="s">
        <v>310</v>
      </c>
      <c r="J49" s="49" t="s">
        <v>346</v>
      </c>
      <c r="K49" s="3">
        <v>33417.5</v>
      </c>
      <c r="L49" s="48" t="s">
        <v>310</v>
      </c>
      <c r="M49" s="49" t="s">
        <v>346</v>
      </c>
      <c r="N49" s="3">
        <v>5912.5531719999999</v>
      </c>
      <c r="O49" s="3">
        <v>7359.3325160000004</v>
      </c>
      <c r="P49" s="3">
        <v>4495.4397120000003</v>
      </c>
      <c r="Q49" s="3">
        <v>3921.649175</v>
      </c>
      <c r="R49" s="3">
        <v>7789.0214120000001</v>
      </c>
      <c r="S49" s="3">
        <v>8592.1908789999998</v>
      </c>
      <c r="T49" s="3">
        <v>6764.5773310000004</v>
      </c>
      <c r="U49" s="3">
        <v>7679.3991939999996</v>
      </c>
      <c r="V49" s="3">
        <v>5071.0749759999999</v>
      </c>
      <c r="W49" s="3">
        <v>4205.5643410000002</v>
      </c>
      <c r="X49" s="3">
        <v>6300.1044760000004</v>
      </c>
      <c r="Y49" s="3">
        <v>790.55925360000003</v>
      </c>
      <c r="Z49" s="3">
        <v>2784.8449519999999</v>
      </c>
      <c r="AA49" s="48" t="s">
        <v>310</v>
      </c>
      <c r="AB49" s="49" t="s">
        <v>346</v>
      </c>
      <c r="AC49" s="3">
        <v>0</v>
      </c>
      <c r="AD49" s="3">
        <v>0.66200000000000003</v>
      </c>
      <c r="AE49" s="3">
        <v>0</v>
      </c>
      <c r="AF49" s="3">
        <v>0.52</v>
      </c>
      <c r="AG49" s="3">
        <v>0</v>
      </c>
      <c r="AH49" s="3">
        <v>0.44900000000000001</v>
      </c>
      <c r="AI49" s="3">
        <v>0</v>
      </c>
      <c r="AJ49" s="3">
        <v>0.56899999999999995</v>
      </c>
      <c r="AK49" s="3">
        <v>0</v>
      </c>
      <c r="AL49" s="3">
        <v>0.99299999999999999</v>
      </c>
      <c r="AM49" s="3">
        <v>0</v>
      </c>
      <c r="AN49" s="3">
        <v>0.51200000000000001</v>
      </c>
      <c r="AO49" s="3">
        <v>0</v>
      </c>
      <c r="AP49" s="3">
        <v>0.51200000000000001</v>
      </c>
      <c r="AQ49" s="3">
        <v>0</v>
      </c>
      <c r="AR49" s="3">
        <v>0.79500000000000004</v>
      </c>
      <c r="AS49" s="3">
        <v>0</v>
      </c>
      <c r="AT49" s="3">
        <v>0.65300000000000002</v>
      </c>
      <c r="AU49" s="3">
        <v>0</v>
      </c>
      <c r="AV49" s="3">
        <v>0.74</v>
      </c>
      <c r="AW49" s="3">
        <v>0</v>
      </c>
      <c r="AX49" s="3">
        <v>0.64600000000000002</v>
      </c>
      <c r="AY49" s="3">
        <v>0</v>
      </c>
      <c r="AZ49" s="3">
        <v>0.748</v>
      </c>
      <c r="BA49" s="3">
        <v>0</v>
      </c>
      <c r="BB49" s="3">
        <v>0.68200000000000005</v>
      </c>
      <c r="BC49" s="3">
        <v>0.98950000000000005</v>
      </c>
      <c r="BD49" s="3">
        <v>0.98650000000000004</v>
      </c>
      <c r="BE49" s="3">
        <v>0.98050000000000004</v>
      </c>
      <c r="BF49" s="3">
        <v>0.99133333300000004</v>
      </c>
      <c r="BG49" s="3">
        <v>0.98408333400000003</v>
      </c>
      <c r="BH49" s="3">
        <v>0.99099999999999999</v>
      </c>
      <c r="BI49" s="3">
        <v>0.90200000000000002</v>
      </c>
      <c r="BJ49" s="3">
        <v>0.97866666700000005</v>
      </c>
      <c r="BK49" s="3">
        <v>0.98599999999999999</v>
      </c>
      <c r="BL49" s="3">
        <v>0.92900000000000005</v>
      </c>
      <c r="BM49" s="3">
        <v>0.01</v>
      </c>
      <c r="BN49" s="3">
        <v>0.98033333300000003</v>
      </c>
      <c r="BO49" s="3">
        <v>0.96799999999999997</v>
      </c>
      <c r="BP49" s="48" t="s">
        <v>310</v>
      </c>
      <c r="BQ49" s="49" t="s">
        <v>346</v>
      </c>
      <c r="BR49" s="3">
        <v>3.7370000000000001</v>
      </c>
      <c r="BS49" s="3">
        <v>3.14</v>
      </c>
      <c r="BT49" s="3">
        <v>2.677</v>
      </c>
      <c r="BU49" s="3">
        <v>1.917</v>
      </c>
      <c r="BV49" s="3">
        <v>3.4289999999999998</v>
      </c>
      <c r="BW49" s="3">
        <v>5.5650000000000004</v>
      </c>
      <c r="BX49" s="3">
        <v>1.0609999999999999</v>
      </c>
      <c r="BY49" s="3">
        <v>5.5650000000000004</v>
      </c>
      <c r="BZ49" s="3">
        <v>4.6710000000000003</v>
      </c>
      <c r="CA49" s="3">
        <v>3.8559999999999999</v>
      </c>
      <c r="CB49" s="3">
        <v>3.09</v>
      </c>
      <c r="CC49" s="3">
        <v>3.7549999999999999</v>
      </c>
      <c r="CD49" s="3">
        <v>2.77</v>
      </c>
    </row>
    <row r="50" spans="1:82" x14ac:dyDescent="0.3">
      <c r="A50" s="48" t="s">
        <v>310</v>
      </c>
      <c r="B50" s="49" t="s">
        <v>347</v>
      </c>
      <c r="C50" s="3">
        <v>39.622829600000003</v>
      </c>
      <c r="D50" s="3">
        <v>35.010603600000003</v>
      </c>
      <c r="E50" s="3">
        <v>25.447639599999999</v>
      </c>
      <c r="F50" s="3">
        <v>25.388400000000001</v>
      </c>
      <c r="G50" s="3">
        <v>5.8647204000000004</v>
      </c>
      <c r="H50" s="3">
        <v>25.447639599999999</v>
      </c>
      <c r="I50" s="48" t="s">
        <v>310</v>
      </c>
      <c r="J50" s="49" t="s">
        <v>347</v>
      </c>
      <c r="K50" s="3">
        <v>30791</v>
      </c>
      <c r="L50" s="48" t="s">
        <v>310</v>
      </c>
      <c r="M50" s="49" t="s">
        <v>347</v>
      </c>
      <c r="N50" s="3">
        <v>3896.9421040000002</v>
      </c>
      <c r="O50" s="3">
        <v>4785.555163</v>
      </c>
      <c r="P50" s="3">
        <v>2936.5389449999998</v>
      </c>
      <c r="Q50" s="3">
        <v>2663.8079429999998</v>
      </c>
      <c r="R50" s="3">
        <v>5485.1613600000001</v>
      </c>
      <c r="S50" s="3">
        <v>5834.374581</v>
      </c>
      <c r="T50" s="3">
        <v>4553.8161369999998</v>
      </c>
      <c r="U50" s="3">
        <v>4643.3959160000004</v>
      </c>
      <c r="V50" s="3">
        <v>3314.41795</v>
      </c>
      <c r="W50" s="3">
        <v>2561.8419760000002</v>
      </c>
      <c r="X50" s="3">
        <v>4195.5086220000003</v>
      </c>
      <c r="Y50" s="3">
        <v>509.36836069999998</v>
      </c>
      <c r="Z50" s="3">
        <v>2025.3053990000001</v>
      </c>
      <c r="AA50" s="48" t="s">
        <v>310</v>
      </c>
      <c r="AB50" s="49" t="s">
        <v>347</v>
      </c>
      <c r="AC50" s="3">
        <v>0</v>
      </c>
      <c r="AD50" s="3">
        <v>0.52300000000000002</v>
      </c>
      <c r="AE50" s="3">
        <v>0</v>
      </c>
      <c r="AF50" s="3">
        <v>0.42899999999999999</v>
      </c>
      <c r="AG50" s="3">
        <v>0</v>
      </c>
      <c r="AH50" s="3">
        <v>0.39100000000000001</v>
      </c>
      <c r="AI50" s="3">
        <v>0</v>
      </c>
      <c r="AJ50" s="3">
        <v>0.505</v>
      </c>
      <c r="AK50" s="3">
        <v>0</v>
      </c>
      <c r="AL50" s="3">
        <v>0.98899999999999999</v>
      </c>
      <c r="AM50" s="3">
        <v>0</v>
      </c>
      <c r="AN50" s="3">
        <v>0.54900000000000004</v>
      </c>
      <c r="AO50" s="3">
        <v>0</v>
      </c>
      <c r="AP50" s="3">
        <v>0.54900000000000004</v>
      </c>
      <c r="AQ50" s="3">
        <v>0</v>
      </c>
      <c r="AR50" s="3">
        <v>0.71199999999999997</v>
      </c>
      <c r="AS50" s="3">
        <v>0</v>
      </c>
      <c r="AT50" s="3">
        <v>0.61599999999999999</v>
      </c>
      <c r="AU50" s="3">
        <v>0</v>
      </c>
      <c r="AV50" s="3">
        <v>0.69299999999999995</v>
      </c>
      <c r="AW50" s="3">
        <v>0</v>
      </c>
      <c r="AX50" s="3">
        <v>0.61799999999999999</v>
      </c>
      <c r="AY50" s="3">
        <v>0</v>
      </c>
      <c r="AZ50" s="3">
        <v>0.65800000000000003</v>
      </c>
      <c r="BA50" s="3">
        <v>0</v>
      </c>
      <c r="BB50" s="3">
        <v>0.65</v>
      </c>
      <c r="BC50" s="3">
        <v>0.99050000000000005</v>
      </c>
      <c r="BD50" s="3">
        <v>0.98650000000000004</v>
      </c>
      <c r="BE50" s="3">
        <v>0.97350000000000003</v>
      </c>
      <c r="BF50" s="3">
        <v>0.98899999999999999</v>
      </c>
      <c r="BG50" s="3">
        <v>0.98708333400000003</v>
      </c>
      <c r="BH50" s="3">
        <v>0.99199999999999999</v>
      </c>
      <c r="BI50" s="3">
        <v>0.95950000000000002</v>
      </c>
      <c r="BJ50" s="3">
        <v>0.98366666700000005</v>
      </c>
      <c r="BK50" s="3">
        <v>0.98850000000000005</v>
      </c>
      <c r="BL50" s="3">
        <v>0.91600000000000004</v>
      </c>
      <c r="BM50" s="3">
        <v>0.01</v>
      </c>
      <c r="BN50" s="3">
        <v>0.97733333300000003</v>
      </c>
      <c r="BO50" s="3">
        <v>0.98599999999999999</v>
      </c>
      <c r="BP50" s="48" t="s">
        <v>310</v>
      </c>
      <c r="BQ50" s="49" t="s">
        <v>347</v>
      </c>
      <c r="BR50" s="3">
        <v>3.0019999999999998</v>
      </c>
      <c r="BS50" s="3">
        <v>2.8809999999999998</v>
      </c>
      <c r="BT50" s="3">
        <v>2.4569999999999999</v>
      </c>
      <c r="BU50" s="3">
        <v>2.0059999999999998</v>
      </c>
      <c r="BV50" s="3">
        <v>2.7829999999999999</v>
      </c>
      <c r="BW50" s="3">
        <v>5.7009999999999996</v>
      </c>
      <c r="BX50" s="3">
        <v>0.90700000000000003</v>
      </c>
      <c r="BY50" s="3">
        <v>5.1079999999999997</v>
      </c>
      <c r="BZ50" s="3">
        <v>4.1509999999999998</v>
      </c>
      <c r="CA50" s="3">
        <v>3.4510000000000001</v>
      </c>
      <c r="CB50" s="3">
        <v>2.7839999999999998</v>
      </c>
      <c r="CC50" s="3">
        <v>3.3540000000000001</v>
      </c>
      <c r="CD50" s="3">
        <v>2.6179999999999999</v>
      </c>
    </row>
    <row r="51" spans="1:82" x14ac:dyDescent="0.3">
      <c r="A51" s="48" t="s">
        <v>311</v>
      </c>
      <c r="B51" s="49" t="s">
        <v>324</v>
      </c>
      <c r="C51" s="3">
        <v>32.789262000000001</v>
      </c>
      <c r="D51" s="3">
        <v>26.019642000000001</v>
      </c>
      <c r="E51" s="3">
        <v>26.019642000000001</v>
      </c>
      <c r="F51" s="3">
        <v>25.307963999999998</v>
      </c>
      <c r="G51" s="3">
        <v>15.630879</v>
      </c>
      <c r="H51" s="3">
        <v>26.019642000000001</v>
      </c>
      <c r="I51" s="48" t="s">
        <v>311</v>
      </c>
      <c r="J51" s="49" t="s">
        <v>324</v>
      </c>
      <c r="K51" s="3">
        <v>28695.5</v>
      </c>
      <c r="L51" s="48" t="s">
        <v>311</v>
      </c>
      <c r="M51" s="49" t="s">
        <v>324</v>
      </c>
      <c r="N51" s="3">
        <v>1820.8896669999999</v>
      </c>
      <c r="O51" s="3">
        <v>2689.7144560000002</v>
      </c>
      <c r="P51" s="3">
        <v>1427.7076159999999</v>
      </c>
      <c r="Q51" s="3">
        <v>1562.905992</v>
      </c>
      <c r="R51" s="3">
        <v>2768.2160530000001</v>
      </c>
      <c r="S51" s="3">
        <v>2823.6683630000002</v>
      </c>
      <c r="T51" s="3">
        <v>2323.825977</v>
      </c>
      <c r="U51" s="3">
        <v>2058.9656260000002</v>
      </c>
      <c r="V51" s="3">
        <v>1474.5171720000001</v>
      </c>
      <c r="W51" s="3">
        <v>1071.5278800000001</v>
      </c>
      <c r="X51" s="3">
        <v>2033.556282</v>
      </c>
      <c r="Y51" s="3">
        <v>224.57956809999999</v>
      </c>
      <c r="Z51" s="3">
        <v>497.65705939999998</v>
      </c>
      <c r="AA51" s="48" t="s">
        <v>311</v>
      </c>
      <c r="AB51" s="49" t="s">
        <v>324</v>
      </c>
      <c r="AC51" s="3">
        <v>0</v>
      </c>
      <c r="AD51" s="3">
        <v>0.57599999999999996</v>
      </c>
      <c r="AE51" s="3">
        <v>0</v>
      </c>
      <c r="AF51" s="3">
        <v>0.435</v>
      </c>
      <c r="AG51" s="3">
        <v>0</v>
      </c>
      <c r="AH51" s="3">
        <v>0.216</v>
      </c>
      <c r="AI51" s="3">
        <v>0</v>
      </c>
      <c r="AJ51" s="3">
        <v>0.63</v>
      </c>
      <c r="AK51" s="3">
        <v>0</v>
      </c>
      <c r="AL51" s="3">
        <v>0.56699999999999995</v>
      </c>
      <c r="AM51" s="3">
        <v>0</v>
      </c>
      <c r="AN51" s="3">
        <v>3.2000000000000001E-2</v>
      </c>
      <c r="AO51" s="3">
        <v>0</v>
      </c>
      <c r="AP51" s="3">
        <v>3.2000000000000001E-2</v>
      </c>
      <c r="AQ51" s="3">
        <v>0</v>
      </c>
      <c r="AR51" s="3">
        <v>0.69399999999999995</v>
      </c>
      <c r="AS51" s="3">
        <v>0</v>
      </c>
      <c r="AT51" s="3">
        <v>0.73199999999999998</v>
      </c>
      <c r="AU51" s="3">
        <v>0</v>
      </c>
      <c r="AV51" s="3">
        <v>0.89100000000000001</v>
      </c>
      <c r="AW51" s="3">
        <v>0</v>
      </c>
      <c r="AX51" s="3">
        <v>0.622</v>
      </c>
      <c r="AY51" s="3">
        <v>0</v>
      </c>
      <c r="AZ51" s="3">
        <v>0.746</v>
      </c>
      <c r="BA51" s="3">
        <v>0</v>
      </c>
      <c r="BB51" s="3">
        <v>0.23499999999999999</v>
      </c>
      <c r="BC51" s="3">
        <v>0.435</v>
      </c>
      <c r="BD51" s="3">
        <v>0.438</v>
      </c>
      <c r="BE51" s="3">
        <v>8.4000000000000005E-2</v>
      </c>
      <c r="BF51" s="3">
        <v>0.177666667</v>
      </c>
      <c r="BG51" s="3">
        <v>0.63949999999999996</v>
      </c>
      <c r="BH51" s="3">
        <v>0.19700000000000001</v>
      </c>
      <c r="BI51" s="3">
        <v>0.71799999999999997</v>
      </c>
      <c r="BJ51" s="3">
        <v>0.84399999999999997</v>
      </c>
      <c r="BK51" s="3">
        <v>0.86050000000000004</v>
      </c>
      <c r="BL51" s="3">
        <v>0.5</v>
      </c>
      <c r="BM51" s="3">
        <v>0.01</v>
      </c>
      <c r="BN51" s="3">
        <v>0.34933333300000002</v>
      </c>
      <c r="BO51" s="3">
        <v>0.50600000000000001</v>
      </c>
      <c r="BP51" s="48" t="s">
        <v>311</v>
      </c>
      <c r="BQ51" s="49" t="s">
        <v>324</v>
      </c>
      <c r="BR51" s="3">
        <v>3.206</v>
      </c>
      <c r="BS51" s="3">
        <v>3.9529999999999998</v>
      </c>
      <c r="BT51" s="3">
        <v>2.6680000000000001</v>
      </c>
      <c r="BU51" s="3">
        <v>1.4630000000000001</v>
      </c>
      <c r="BV51" s="3">
        <v>4.0220000000000002</v>
      </c>
      <c r="BW51" s="3">
        <v>7.2240000000000002</v>
      </c>
      <c r="BX51" s="3">
        <v>0.13500000000000001</v>
      </c>
      <c r="BY51" s="3">
        <v>6.5590000000000002</v>
      </c>
      <c r="BZ51" s="3">
        <v>6.3860000000000001</v>
      </c>
      <c r="CA51" s="3">
        <v>6.4710000000000001</v>
      </c>
      <c r="CB51" s="3">
        <v>3.8170000000000002</v>
      </c>
      <c r="CC51" s="3">
        <v>5.2380000000000004</v>
      </c>
      <c r="CD51" s="3">
        <v>1.621</v>
      </c>
    </row>
    <row r="52" spans="1:82" x14ac:dyDescent="0.3">
      <c r="A52" s="48" t="s">
        <v>311</v>
      </c>
      <c r="B52" s="49" t="s">
        <v>325</v>
      </c>
      <c r="C52" s="3">
        <v>28.423725000000001</v>
      </c>
      <c r="D52" s="3">
        <v>25.342680000000001</v>
      </c>
      <c r="E52" s="3">
        <v>25.342680000000001</v>
      </c>
      <c r="F52" s="3">
        <v>25.281927</v>
      </c>
      <c r="G52" s="3">
        <v>15.674274</v>
      </c>
      <c r="H52" s="3">
        <v>25.342680000000001</v>
      </c>
      <c r="I52" s="48" t="s">
        <v>311</v>
      </c>
      <c r="J52" s="49" t="s">
        <v>325</v>
      </c>
      <c r="K52" s="3">
        <v>29241</v>
      </c>
      <c r="L52" s="48" t="s">
        <v>311</v>
      </c>
      <c r="M52" s="49" t="s">
        <v>325</v>
      </c>
      <c r="N52" s="3">
        <v>1259.1843329999999</v>
      </c>
      <c r="O52" s="3">
        <v>1949.3244950000001</v>
      </c>
      <c r="P52" s="3">
        <v>1053.5936979999999</v>
      </c>
      <c r="Q52" s="3">
        <v>1266.06917</v>
      </c>
      <c r="R52" s="3">
        <v>1750.2644869999999</v>
      </c>
      <c r="S52" s="3">
        <v>1845.362014</v>
      </c>
      <c r="T52" s="3">
        <v>1527.458052</v>
      </c>
      <c r="U52" s="3">
        <v>1589.3559909999999</v>
      </c>
      <c r="V52" s="3">
        <v>1144.6144939999999</v>
      </c>
      <c r="W52" s="3">
        <v>735.0039696</v>
      </c>
      <c r="X52" s="3">
        <v>1437.9816949999999</v>
      </c>
      <c r="Y52" s="3">
        <v>141.19824929999999</v>
      </c>
      <c r="Z52" s="3">
        <v>321.65168899999998</v>
      </c>
      <c r="AA52" s="48" t="s">
        <v>311</v>
      </c>
      <c r="AB52" s="49" t="s">
        <v>325</v>
      </c>
      <c r="AC52" s="3">
        <v>0</v>
      </c>
      <c r="AD52" s="3">
        <v>0.60899999999999999</v>
      </c>
      <c r="AE52" s="3">
        <v>0</v>
      </c>
      <c r="AF52" s="3">
        <v>0.46300000000000002</v>
      </c>
      <c r="AG52" s="3">
        <v>0</v>
      </c>
      <c r="AH52" s="3">
        <v>0.22700000000000001</v>
      </c>
      <c r="AI52" s="3">
        <v>0</v>
      </c>
      <c r="AJ52" s="3">
        <v>0.64</v>
      </c>
      <c r="AK52" s="3">
        <v>0</v>
      </c>
      <c r="AL52" s="3">
        <v>0.57199999999999995</v>
      </c>
      <c r="AM52" s="3">
        <v>0</v>
      </c>
      <c r="AN52" s="3">
        <v>3.7999999999999999E-2</v>
      </c>
      <c r="AO52" s="3">
        <v>0</v>
      </c>
      <c r="AP52" s="3">
        <v>3.7999999999999999E-2</v>
      </c>
      <c r="AQ52" s="3">
        <v>0</v>
      </c>
      <c r="AR52" s="3">
        <v>0.72099999999999997</v>
      </c>
      <c r="AS52" s="3">
        <v>0</v>
      </c>
      <c r="AT52" s="3">
        <v>0.73899999999999999</v>
      </c>
      <c r="AU52" s="3">
        <v>0</v>
      </c>
      <c r="AV52" s="3">
        <v>0.90400000000000003</v>
      </c>
      <c r="AW52" s="3">
        <v>0</v>
      </c>
      <c r="AX52" s="3">
        <v>0.63900000000000001</v>
      </c>
      <c r="AY52" s="3">
        <v>0</v>
      </c>
      <c r="AZ52" s="3">
        <v>0.65300000000000002</v>
      </c>
      <c r="BA52" s="3">
        <v>0</v>
      </c>
      <c r="BB52" s="3">
        <v>0.221</v>
      </c>
      <c r="BC52" s="3">
        <v>0.35799999999999998</v>
      </c>
      <c r="BD52" s="3">
        <v>0.35249999999999998</v>
      </c>
      <c r="BE52" s="3">
        <v>6.4000000000000001E-2</v>
      </c>
      <c r="BF52" s="3">
        <v>0.174666667</v>
      </c>
      <c r="BG52" s="3">
        <v>0.58383333400000004</v>
      </c>
      <c r="BH52" s="3">
        <v>0.13900000000000001</v>
      </c>
      <c r="BI52" s="3">
        <v>0.75900000000000001</v>
      </c>
      <c r="BJ52" s="3">
        <v>0.80966666700000001</v>
      </c>
      <c r="BK52" s="3">
        <v>0.83850000000000002</v>
      </c>
      <c r="BL52" s="3">
        <v>0.49299999999999999</v>
      </c>
      <c r="BM52" s="3">
        <v>0.01</v>
      </c>
      <c r="BN52" s="3">
        <v>0.31266666700000001</v>
      </c>
      <c r="BO52" s="3">
        <v>0.48699999999999999</v>
      </c>
      <c r="BP52" s="48" t="s">
        <v>311</v>
      </c>
      <c r="BQ52" s="49" t="s">
        <v>325</v>
      </c>
      <c r="BR52" s="3">
        <v>3.0840000000000001</v>
      </c>
      <c r="BS52" s="3">
        <v>3.5859999999999999</v>
      </c>
      <c r="BT52" s="3">
        <v>2.7839999999999998</v>
      </c>
      <c r="BU52" s="3">
        <v>1.0549999999999999</v>
      </c>
      <c r="BV52" s="3">
        <v>3.944</v>
      </c>
      <c r="BW52" s="3">
        <v>7.1539999999999999</v>
      </c>
      <c r="BX52" s="3">
        <v>-6.7000000000000004E-2</v>
      </c>
      <c r="BY52" s="3">
        <v>6.5330000000000004</v>
      </c>
      <c r="BZ52" s="3">
        <v>6.2450000000000001</v>
      </c>
      <c r="CA52" s="3">
        <v>6.6139999999999999</v>
      </c>
      <c r="CB52" s="3">
        <v>3.7149999999999999</v>
      </c>
      <c r="CC52" s="3">
        <v>5.2220000000000004</v>
      </c>
      <c r="CD52" s="3">
        <v>1.7090000000000001</v>
      </c>
    </row>
    <row r="53" spans="1:82" x14ac:dyDescent="0.3">
      <c r="A53" s="48" t="s">
        <v>311</v>
      </c>
      <c r="B53" s="49" t="s">
        <v>326</v>
      </c>
      <c r="C53" s="3">
        <v>28.389009000000001</v>
      </c>
      <c r="D53" s="3">
        <v>25.212495000000001</v>
      </c>
      <c r="E53" s="3">
        <v>25.212495000000001</v>
      </c>
      <c r="F53" s="3">
        <v>25.325322</v>
      </c>
      <c r="G53" s="3">
        <v>18.043641000000001</v>
      </c>
      <c r="H53" s="3">
        <v>25.212495000000001</v>
      </c>
      <c r="I53" s="48" t="s">
        <v>311</v>
      </c>
      <c r="J53" s="49" t="s">
        <v>326</v>
      </c>
      <c r="K53" s="3">
        <v>28368</v>
      </c>
      <c r="L53" s="48" t="s">
        <v>311</v>
      </c>
      <c r="M53" s="49" t="s">
        <v>326</v>
      </c>
      <c r="N53" s="3">
        <v>1161.1519800000001</v>
      </c>
      <c r="O53" s="3">
        <v>1823.4313099999999</v>
      </c>
      <c r="P53" s="3">
        <v>925.29850180000005</v>
      </c>
      <c r="Q53" s="3">
        <v>1149.6273289999999</v>
      </c>
      <c r="R53" s="3">
        <v>1439.545372</v>
      </c>
      <c r="S53" s="3">
        <v>1655.719466</v>
      </c>
      <c r="T53" s="3">
        <v>1512.7319399999999</v>
      </c>
      <c r="U53" s="3">
        <v>1223.218374</v>
      </c>
      <c r="V53" s="3">
        <v>1120.436958</v>
      </c>
      <c r="W53" s="3">
        <v>668.29852549999998</v>
      </c>
      <c r="X53" s="3">
        <v>1255.8001839999999</v>
      </c>
      <c r="Y53" s="3">
        <v>110.5588891</v>
      </c>
      <c r="Z53" s="3">
        <v>302.33421499999997</v>
      </c>
      <c r="AA53" s="48" t="s">
        <v>311</v>
      </c>
      <c r="AB53" s="49" t="s">
        <v>326</v>
      </c>
      <c r="AC53" s="3">
        <v>0</v>
      </c>
      <c r="AD53" s="3">
        <v>0.63500000000000001</v>
      </c>
      <c r="AE53" s="3">
        <v>0</v>
      </c>
      <c r="AF53" s="3">
        <v>0.47899999999999998</v>
      </c>
      <c r="AG53" s="3">
        <v>0</v>
      </c>
      <c r="AH53" s="3">
        <v>0.27</v>
      </c>
      <c r="AI53" s="3">
        <v>0</v>
      </c>
      <c r="AJ53" s="3">
        <v>0.64500000000000002</v>
      </c>
      <c r="AK53" s="3">
        <v>0</v>
      </c>
      <c r="AL53" s="3">
        <v>0.59699999999999998</v>
      </c>
      <c r="AM53" s="3">
        <v>0</v>
      </c>
      <c r="AN53" s="3">
        <v>5.6000000000000001E-2</v>
      </c>
      <c r="AO53" s="3">
        <v>0</v>
      </c>
      <c r="AP53" s="3">
        <v>5.6000000000000001E-2</v>
      </c>
      <c r="AQ53" s="3">
        <v>0</v>
      </c>
      <c r="AR53" s="3">
        <v>0.72899999999999998</v>
      </c>
      <c r="AS53" s="3">
        <v>0</v>
      </c>
      <c r="AT53" s="3">
        <v>0.79700000000000004</v>
      </c>
      <c r="AU53" s="3">
        <v>0</v>
      </c>
      <c r="AV53" s="3">
        <v>0.88600000000000001</v>
      </c>
      <c r="AW53" s="3">
        <v>0</v>
      </c>
      <c r="AX53" s="3">
        <v>0.65200000000000002</v>
      </c>
      <c r="AY53" s="3">
        <v>0</v>
      </c>
      <c r="AZ53" s="3">
        <v>0.45600000000000002</v>
      </c>
      <c r="BA53" s="3">
        <v>0</v>
      </c>
      <c r="BB53" s="3">
        <v>0.216</v>
      </c>
      <c r="BC53" s="3">
        <v>0.28349999999999997</v>
      </c>
      <c r="BD53" s="3">
        <v>0.26800000000000002</v>
      </c>
      <c r="BE53" s="3">
        <v>5.8000000000000003E-2</v>
      </c>
      <c r="BF53" s="3">
        <v>0.196333333</v>
      </c>
      <c r="BG53" s="3">
        <v>0.52675000000000005</v>
      </c>
      <c r="BH53" s="3">
        <v>0.106</v>
      </c>
      <c r="BI53" s="3">
        <v>0.79049999999999998</v>
      </c>
      <c r="BJ53" s="3">
        <v>0.77</v>
      </c>
      <c r="BK53" s="3">
        <v>0.8</v>
      </c>
      <c r="BL53" s="3">
        <v>0.49399999999999999</v>
      </c>
      <c r="BM53" s="3">
        <v>0.01</v>
      </c>
      <c r="BN53" s="3">
        <v>0.27966666699999998</v>
      </c>
      <c r="BO53" s="3">
        <v>0.39300000000000002</v>
      </c>
      <c r="BP53" s="48" t="s">
        <v>311</v>
      </c>
      <c r="BQ53" s="49" t="s">
        <v>326</v>
      </c>
      <c r="BR53" s="3">
        <v>3.085</v>
      </c>
      <c r="BS53" s="3">
        <v>3.2709999999999999</v>
      </c>
      <c r="BT53" s="3">
        <v>3.0430000000000001</v>
      </c>
      <c r="BU53" s="3">
        <v>0.80400000000000005</v>
      </c>
      <c r="BV53" s="3">
        <v>3.7829999999999999</v>
      </c>
      <c r="BW53" s="3">
        <v>7.149</v>
      </c>
      <c r="BX53" s="3">
        <v>-0.378</v>
      </c>
      <c r="BY53" s="3">
        <v>6.375</v>
      </c>
      <c r="BZ53" s="3">
        <v>6.11</v>
      </c>
      <c r="CA53" s="3">
        <v>6.641</v>
      </c>
      <c r="CB53" s="3">
        <v>3.7290000000000001</v>
      </c>
      <c r="CC53" s="3">
        <v>5.0759999999999996</v>
      </c>
      <c r="CD53" s="3">
        <v>2.0049999999999999</v>
      </c>
    </row>
    <row r="54" spans="1:82" x14ac:dyDescent="0.3">
      <c r="A54" s="48" t="s">
        <v>311</v>
      </c>
      <c r="B54" s="49" t="s">
        <v>327</v>
      </c>
      <c r="C54" s="3">
        <v>28.163354999999999</v>
      </c>
      <c r="D54" s="3">
        <v>25.212495000000001</v>
      </c>
      <c r="E54" s="3">
        <v>25.212495000000001</v>
      </c>
      <c r="F54" s="3">
        <v>25.386075000000002</v>
      </c>
      <c r="G54" s="3">
        <v>23.424620999999998</v>
      </c>
      <c r="H54" s="3">
        <v>25.212495000000001</v>
      </c>
      <c r="I54" s="48" t="s">
        <v>311</v>
      </c>
      <c r="J54" s="49" t="s">
        <v>327</v>
      </c>
      <c r="K54" s="3">
        <v>27620.5</v>
      </c>
      <c r="L54" s="48" t="s">
        <v>311</v>
      </c>
      <c r="M54" s="49" t="s">
        <v>327</v>
      </c>
      <c r="N54" s="3">
        <v>1039.0774100000001</v>
      </c>
      <c r="O54" s="3">
        <v>1676.456999</v>
      </c>
      <c r="P54" s="3">
        <v>892.49588440000002</v>
      </c>
      <c r="Q54" s="3">
        <v>1102.268734</v>
      </c>
      <c r="R54" s="3">
        <v>1294.97478</v>
      </c>
      <c r="S54" s="3">
        <v>1475.2202729999999</v>
      </c>
      <c r="T54" s="3">
        <v>1342.3997670000001</v>
      </c>
      <c r="U54" s="3">
        <v>1052.7209150000001</v>
      </c>
      <c r="V54" s="3">
        <v>1091.25575</v>
      </c>
      <c r="W54" s="3">
        <v>595.54481469999996</v>
      </c>
      <c r="X54" s="3">
        <v>1150.9148230000001</v>
      </c>
      <c r="Y54" s="3">
        <v>105.61817430000001</v>
      </c>
      <c r="Z54" s="3">
        <v>223.9291063</v>
      </c>
      <c r="AA54" s="48" t="s">
        <v>311</v>
      </c>
      <c r="AB54" s="49" t="s">
        <v>327</v>
      </c>
      <c r="AC54" s="3">
        <v>0</v>
      </c>
      <c r="AD54" s="3">
        <v>0.65800000000000003</v>
      </c>
      <c r="AE54" s="3">
        <v>0</v>
      </c>
      <c r="AF54" s="3">
        <v>0.505</v>
      </c>
      <c r="AG54" s="3">
        <v>0</v>
      </c>
      <c r="AH54" s="3">
        <v>0.33800000000000002</v>
      </c>
      <c r="AI54" s="3">
        <v>0</v>
      </c>
      <c r="AJ54" s="3">
        <v>0.64500000000000002</v>
      </c>
      <c r="AK54" s="3">
        <v>0</v>
      </c>
      <c r="AL54" s="3">
        <v>0.63300000000000001</v>
      </c>
      <c r="AM54" s="3">
        <v>0</v>
      </c>
      <c r="AN54" s="3">
        <v>9.6000000000000002E-2</v>
      </c>
      <c r="AO54" s="3">
        <v>0</v>
      </c>
      <c r="AP54" s="3">
        <v>9.6000000000000002E-2</v>
      </c>
      <c r="AQ54" s="3">
        <v>0</v>
      </c>
      <c r="AR54" s="3">
        <v>0.73599999999999999</v>
      </c>
      <c r="AS54" s="3">
        <v>0</v>
      </c>
      <c r="AT54" s="3">
        <v>0.82099999999999995</v>
      </c>
      <c r="AU54" s="3">
        <v>0</v>
      </c>
      <c r="AV54" s="3">
        <v>0.879</v>
      </c>
      <c r="AW54" s="3">
        <v>0</v>
      </c>
      <c r="AX54" s="3">
        <v>0.66700000000000004</v>
      </c>
      <c r="AY54" s="3">
        <v>0</v>
      </c>
      <c r="AZ54" s="3">
        <v>0.314</v>
      </c>
      <c r="BA54" s="3">
        <v>0</v>
      </c>
      <c r="BB54" s="3">
        <v>0.314</v>
      </c>
      <c r="BC54" s="3">
        <v>0.23949999999999999</v>
      </c>
      <c r="BD54" s="3">
        <v>0.191</v>
      </c>
      <c r="BE54" s="3">
        <v>7.0999999999999994E-2</v>
      </c>
      <c r="BF54" s="3">
        <v>0.23833333300000001</v>
      </c>
      <c r="BG54" s="3">
        <v>0.50391666700000004</v>
      </c>
      <c r="BH54" s="3">
        <v>0.11</v>
      </c>
      <c r="BI54" s="3">
        <v>0.8075</v>
      </c>
      <c r="BJ54" s="3">
        <v>0.76833333299999995</v>
      </c>
      <c r="BK54" s="3">
        <v>0.76800000000000002</v>
      </c>
      <c r="BL54" s="3">
        <v>0.46700000000000003</v>
      </c>
      <c r="BM54" s="3">
        <v>0.01</v>
      </c>
      <c r="BN54" s="3">
        <v>0.25866666700000002</v>
      </c>
      <c r="BO54" s="3">
        <v>0.30599999999999999</v>
      </c>
      <c r="BP54" s="48" t="s">
        <v>311</v>
      </c>
      <c r="BQ54" s="49" t="s">
        <v>327</v>
      </c>
      <c r="BR54" s="3">
        <v>3.2280000000000002</v>
      </c>
      <c r="BS54" s="3">
        <v>2.9849999999999999</v>
      </c>
      <c r="BT54" s="3">
        <v>3.4449999999999998</v>
      </c>
      <c r="BU54" s="3">
        <v>1.35</v>
      </c>
      <c r="BV54" s="3">
        <v>3.5979999999999999</v>
      </c>
      <c r="BW54" s="3">
        <v>7.2110000000000003</v>
      </c>
      <c r="BX54" s="3">
        <v>-0.53700000000000003</v>
      </c>
      <c r="BY54" s="3">
        <v>6.1340000000000003</v>
      </c>
      <c r="BZ54" s="3">
        <v>5.9960000000000004</v>
      </c>
      <c r="CA54" s="3">
        <v>6.5890000000000004</v>
      </c>
      <c r="CB54" s="3">
        <v>3.8370000000000002</v>
      </c>
      <c r="CC54" s="3">
        <v>4.8650000000000002</v>
      </c>
      <c r="CD54" s="3">
        <v>2.6869999999999998</v>
      </c>
    </row>
    <row r="55" spans="1:82" x14ac:dyDescent="0.3">
      <c r="A55" s="48" t="s">
        <v>311</v>
      </c>
      <c r="B55" s="49" t="s">
        <v>328</v>
      </c>
      <c r="C55" s="3">
        <v>27.885626999999999</v>
      </c>
      <c r="D55" s="3">
        <v>26.392838999999999</v>
      </c>
      <c r="E55" s="3">
        <v>26.392838999999999</v>
      </c>
      <c r="F55" s="3">
        <v>25.542297000000001</v>
      </c>
      <c r="G55" s="3">
        <v>25.368717</v>
      </c>
      <c r="H55" s="3">
        <v>26.392838999999999</v>
      </c>
      <c r="I55" s="48" t="s">
        <v>311</v>
      </c>
      <c r="J55" s="49" t="s">
        <v>328</v>
      </c>
      <c r="K55" s="3">
        <v>27017</v>
      </c>
      <c r="L55" s="48" t="s">
        <v>311</v>
      </c>
      <c r="M55" s="49" t="s">
        <v>328</v>
      </c>
      <c r="N55" s="3">
        <v>888.64447610000002</v>
      </c>
      <c r="O55" s="3">
        <v>1512.0266959999999</v>
      </c>
      <c r="P55" s="3">
        <v>820.06848300000001</v>
      </c>
      <c r="Q55" s="3">
        <v>1146.5563099999999</v>
      </c>
      <c r="R55" s="3">
        <v>912.66381799999999</v>
      </c>
      <c r="S55" s="3">
        <v>1283.751125</v>
      </c>
      <c r="T55" s="3">
        <v>1178.9301780000001</v>
      </c>
      <c r="U55" s="3">
        <v>611.12450360000003</v>
      </c>
      <c r="V55" s="3">
        <v>1055.018624</v>
      </c>
      <c r="W55" s="3">
        <v>400.48652149999998</v>
      </c>
      <c r="X55" s="3">
        <v>873.88879510000004</v>
      </c>
      <c r="Y55" s="3">
        <v>70.561671799999999</v>
      </c>
      <c r="Z55" s="3">
        <v>651.69705880000004</v>
      </c>
      <c r="AA55" s="48" t="s">
        <v>311</v>
      </c>
      <c r="AB55" s="49" t="s">
        <v>328</v>
      </c>
      <c r="AC55" s="3">
        <v>0</v>
      </c>
      <c r="AD55" s="3">
        <v>0.66900000000000004</v>
      </c>
      <c r="AE55" s="3">
        <v>0</v>
      </c>
      <c r="AF55" s="3">
        <v>0.51600000000000001</v>
      </c>
      <c r="AG55" s="3">
        <v>0</v>
      </c>
      <c r="AH55" s="3">
        <v>0.36</v>
      </c>
      <c r="AI55" s="3">
        <v>0</v>
      </c>
      <c r="AJ55" s="3">
        <v>0.64</v>
      </c>
      <c r="AK55" s="3">
        <v>0</v>
      </c>
      <c r="AL55" s="3">
        <v>0.65200000000000002</v>
      </c>
      <c r="AM55" s="3">
        <v>0</v>
      </c>
      <c r="AN55" s="3">
        <v>0.16900000000000001</v>
      </c>
      <c r="AO55" s="3">
        <v>0</v>
      </c>
      <c r="AP55" s="3">
        <v>0.16900000000000001</v>
      </c>
      <c r="AQ55" s="3">
        <v>0</v>
      </c>
      <c r="AR55" s="3">
        <v>0.74399999999999999</v>
      </c>
      <c r="AS55" s="3">
        <v>0</v>
      </c>
      <c r="AT55" s="3">
        <v>0.82899999999999996</v>
      </c>
      <c r="AU55" s="3">
        <v>0</v>
      </c>
      <c r="AV55" s="3">
        <v>0.86199999999999999</v>
      </c>
      <c r="AW55" s="3">
        <v>0</v>
      </c>
      <c r="AX55" s="3">
        <v>0.60899999999999999</v>
      </c>
      <c r="AY55" s="3">
        <v>0</v>
      </c>
      <c r="AZ55" s="3">
        <v>0.214</v>
      </c>
      <c r="BA55" s="3">
        <v>0</v>
      </c>
      <c r="BB55" s="3">
        <v>0.22900000000000001</v>
      </c>
      <c r="BC55" s="3">
        <v>0.2225</v>
      </c>
      <c r="BD55" s="3">
        <v>0.14549999999999999</v>
      </c>
      <c r="BE55" s="3">
        <v>9.4E-2</v>
      </c>
      <c r="BF55" s="3">
        <v>0.28199999999999997</v>
      </c>
      <c r="BG55" s="3">
        <v>0.49091666699999997</v>
      </c>
      <c r="BH55" s="3">
        <v>0.13300000000000001</v>
      </c>
      <c r="BI55" s="3">
        <v>0.80800000000000005</v>
      </c>
      <c r="BJ55" s="3">
        <v>0.75933333300000005</v>
      </c>
      <c r="BK55" s="3">
        <v>0.745</v>
      </c>
      <c r="BL55" s="3">
        <v>0.42433333299999998</v>
      </c>
      <c r="BM55" s="3">
        <v>0.01</v>
      </c>
      <c r="BN55" s="3">
        <v>0.25</v>
      </c>
      <c r="BO55" s="3">
        <v>0.252</v>
      </c>
      <c r="BP55" s="48" t="s">
        <v>311</v>
      </c>
      <c r="BQ55" s="49" t="s">
        <v>328</v>
      </c>
      <c r="BR55" s="3">
        <v>3.375</v>
      </c>
      <c r="BS55" s="3">
        <v>2.7629999999999999</v>
      </c>
      <c r="BT55" s="3">
        <v>3.452</v>
      </c>
      <c r="BU55" s="3">
        <v>1.1850000000000001</v>
      </c>
      <c r="BV55" s="3">
        <v>3.4660000000000002</v>
      </c>
      <c r="BW55" s="3">
        <v>7.2939999999999996</v>
      </c>
      <c r="BX55" s="3">
        <v>-0.79800000000000004</v>
      </c>
      <c r="BY55" s="3">
        <v>5.867</v>
      </c>
      <c r="BZ55" s="3">
        <v>5.9359999999999999</v>
      </c>
      <c r="CA55" s="3">
        <v>6.4340000000000002</v>
      </c>
      <c r="CB55" s="3">
        <v>3.9060000000000001</v>
      </c>
      <c r="CC55" s="3">
        <v>4.577</v>
      </c>
      <c r="CD55" s="3">
        <v>3.0659999999999998</v>
      </c>
    </row>
    <row r="56" spans="1:82" x14ac:dyDescent="0.3">
      <c r="A56" s="48" t="s">
        <v>311</v>
      </c>
      <c r="B56" s="49" t="s">
        <v>329</v>
      </c>
      <c r="C56" s="3">
        <v>26.766036</v>
      </c>
      <c r="D56" s="3">
        <v>30.541401</v>
      </c>
      <c r="E56" s="3">
        <v>30.541401</v>
      </c>
      <c r="F56" s="3">
        <v>26.436233999999999</v>
      </c>
      <c r="G56" s="3">
        <v>26.436233999999999</v>
      </c>
      <c r="H56" s="3">
        <v>30.541401</v>
      </c>
      <c r="I56" s="48" t="s">
        <v>311</v>
      </c>
      <c r="J56" s="49" t="s">
        <v>329</v>
      </c>
      <c r="K56" s="3">
        <v>28359</v>
      </c>
      <c r="L56" s="48" t="s">
        <v>311</v>
      </c>
      <c r="M56" s="49" t="s">
        <v>329</v>
      </c>
      <c r="N56" s="3">
        <v>1335.692389</v>
      </c>
      <c r="O56" s="3">
        <v>2044.0194469999999</v>
      </c>
      <c r="P56" s="3">
        <v>1083.2726889999999</v>
      </c>
      <c r="Q56" s="3">
        <v>1468.97695</v>
      </c>
      <c r="R56" s="3">
        <v>1395.216563</v>
      </c>
      <c r="S56" s="3">
        <v>1743.99008</v>
      </c>
      <c r="T56" s="3">
        <v>1626.196631</v>
      </c>
      <c r="U56" s="3">
        <v>1261.146561</v>
      </c>
      <c r="V56" s="3">
        <v>1529.535879</v>
      </c>
      <c r="W56" s="3">
        <v>735.08873019999999</v>
      </c>
      <c r="X56" s="3">
        <v>1295.899124</v>
      </c>
      <c r="Y56" s="3">
        <v>81.325273800000005</v>
      </c>
      <c r="Z56" s="3">
        <v>703.78883640000004</v>
      </c>
      <c r="AA56" s="48" t="s">
        <v>311</v>
      </c>
      <c r="AB56" s="49" t="s">
        <v>329</v>
      </c>
      <c r="AC56" s="3">
        <v>0</v>
      </c>
      <c r="AD56" s="3">
        <v>0.66100000000000003</v>
      </c>
      <c r="AE56" s="3">
        <v>0</v>
      </c>
      <c r="AF56" s="3">
        <v>0.50900000000000001</v>
      </c>
      <c r="AG56" s="3">
        <v>0</v>
      </c>
      <c r="AH56" s="3">
        <v>0.40300000000000002</v>
      </c>
      <c r="AI56" s="3">
        <v>0</v>
      </c>
      <c r="AJ56" s="3">
        <v>0.63200000000000001</v>
      </c>
      <c r="AK56" s="3">
        <v>0</v>
      </c>
      <c r="AL56" s="3">
        <v>0.69899999999999995</v>
      </c>
      <c r="AM56" s="3">
        <v>0</v>
      </c>
      <c r="AN56" s="3">
        <v>0.28100000000000003</v>
      </c>
      <c r="AO56" s="3">
        <v>0</v>
      </c>
      <c r="AP56" s="3">
        <v>0.28100000000000003</v>
      </c>
      <c r="AQ56" s="3">
        <v>0</v>
      </c>
      <c r="AR56" s="3">
        <v>0.748</v>
      </c>
      <c r="AS56" s="3">
        <v>0</v>
      </c>
      <c r="AT56" s="3">
        <v>0.83399999999999996</v>
      </c>
      <c r="AU56" s="3">
        <v>0</v>
      </c>
      <c r="AV56" s="3">
        <v>0.81399999999999995</v>
      </c>
      <c r="AW56" s="3">
        <v>0</v>
      </c>
      <c r="AX56" s="3">
        <v>0.55100000000000005</v>
      </c>
      <c r="AY56" s="3">
        <v>0</v>
      </c>
      <c r="AZ56" s="3">
        <v>0.125</v>
      </c>
      <c r="BA56" s="3">
        <v>0</v>
      </c>
      <c r="BB56" s="3">
        <v>0.16200000000000001</v>
      </c>
      <c r="BC56" s="3">
        <v>0.21</v>
      </c>
      <c r="BD56" s="3">
        <v>0.11600000000000001</v>
      </c>
      <c r="BE56" s="3">
        <v>0.1135</v>
      </c>
      <c r="BF56" s="3">
        <v>0.31466666700000001</v>
      </c>
      <c r="BG56" s="3">
        <v>0.47616666699999999</v>
      </c>
      <c r="BH56" s="3">
        <v>0.15</v>
      </c>
      <c r="BI56" s="3">
        <v>0.80700000000000005</v>
      </c>
      <c r="BJ56" s="3">
        <v>0.74233333300000004</v>
      </c>
      <c r="BK56" s="3">
        <v>0.74</v>
      </c>
      <c r="BL56" s="3">
        <v>0.39566666700000003</v>
      </c>
      <c r="BM56" s="3">
        <v>0.01</v>
      </c>
      <c r="BN56" s="3">
        <v>0.247</v>
      </c>
      <c r="BO56" s="3">
        <v>0.20699999999999999</v>
      </c>
      <c r="BP56" s="48" t="s">
        <v>311</v>
      </c>
      <c r="BQ56" s="49" t="s">
        <v>329</v>
      </c>
      <c r="BR56" s="3">
        <v>3.4319999999999999</v>
      </c>
      <c r="BS56" s="3">
        <v>2.7090000000000001</v>
      </c>
      <c r="BT56" s="3">
        <v>3.3849999999999998</v>
      </c>
      <c r="BU56" s="3">
        <v>0.998</v>
      </c>
      <c r="BV56" s="3">
        <v>3.4940000000000002</v>
      </c>
      <c r="BW56" s="3">
        <v>7.3639999999999999</v>
      </c>
      <c r="BX56" s="3">
        <v>-1.099</v>
      </c>
      <c r="BY56" s="3">
        <v>5.6349999999999998</v>
      </c>
      <c r="BZ56" s="3">
        <v>6.0110000000000001</v>
      </c>
      <c r="CA56" s="3">
        <v>6.1429999999999998</v>
      </c>
      <c r="CB56" s="3">
        <v>3.8530000000000002</v>
      </c>
      <c r="CC56" s="3">
        <v>4.3659999999999997</v>
      </c>
      <c r="CD56" s="3">
        <v>3.12</v>
      </c>
    </row>
    <row r="57" spans="1:82" x14ac:dyDescent="0.3">
      <c r="A57" s="48" t="s">
        <v>311</v>
      </c>
      <c r="B57" s="49" t="s">
        <v>330</v>
      </c>
      <c r="C57" s="3">
        <v>30.775734</v>
      </c>
      <c r="D57" s="3">
        <v>34.880901000000001</v>
      </c>
      <c r="E57" s="3">
        <v>34.880901000000001</v>
      </c>
      <c r="F57" s="3">
        <v>27.347529000000002</v>
      </c>
      <c r="G57" s="3">
        <v>27.347529000000002</v>
      </c>
      <c r="H57" s="3">
        <v>34.880901000000001</v>
      </c>
      <c r="I57" s="48" t="s">
        <v>311</v>
      </c>
      <c r="J57" s="49" t="s">
        <v>330</v>
      </c>
      <c r="K57" s="3">
        <v>32193.5</v>
      </c>
      <c r="L57" s="48" t="s">
        <v>311</v>
      </c>
      <c r="M57" s="49" t="s">
        <v>330</v>
      </c>
      <c r="N57" s="3">
        <v>3072.6889940000001</v>
      </c>
      <c r="O57" s="3">
        <v>3694.8366940000001</v>
      </c>
      <c r="P57" s="3">
        <v>2227.624859</v>
      </c>
      <c r="Q57" s="3">
        <v>2409.3645409999999</v>
      </c>
      <c r="R57" s="3">
        <v>3365.796969</v>
      </c>
      <c r="S57" s="3">
        <v>3242.642476</v>
      </c>
      <c r="T57" s="3">
        <v>2769.8844720000002</v>
      </c>
      <c r="U57" s="3">
        <v>3672.2630680000002</v>
      </c>
      <c r="V57" s="3">
        <v>3300.255572</v>
      </c>
      <c r="W57" s="3">
        <v>1758.743166</v>
      </c>
      <c r="X57" s="3">
        <v>2281.3177470000001</v>
      </c>
      <c r="Y57" s="3">
        <v>179.1101032</v>
      </c>
      <c r="Z57" s="3">
        <v>542.42274650000002</v>
      </c>
      <c r="AA57" s="48" t="s">
        <v>311</v>
      </c>
      <c r="AB57" s="49" t="s">
        <v>330</v>
      </c>
      <c r="AC57" s="3">
        <v>2.5999999999999999E-2</v>
      </c>
      <c r="AD57" s="3">
        <v>0.625</v>
      </c>
      <c r="AE57" s="3">
        <v>2.8000000000000001E-2</v>
      </c>
      <c r="AF57" s="3">
        <v>0.51300000000000001</v>
      </c>
      <c r="AG57" s="3">
        <v>1.7000000000000001E-2</v>
      </c>
      <c r="AH57" s="3">
        <v>0.42899999999999999</v>
      </c>
      <c r="AI57" s="3">
        <v>1.4999999999999999E-2</v>
      </c>
      <c r="AJ57" s="3">
        <v>0.60899999999999999</v>
      </c>
      <c r="AK57" s="3">
        <v>2.7E-2</v>
      </c>
      <c r="AL57" s="3">
        <v>0.77900000000000003</v>
      </c>
      <c r="AM57" s="3">
        <v>1.2999999999999999E-2</v>
      </c>
      <c r="AN57" s="3">
        <v>0.39900000000000002</v>
      </c>
      <c r="AO57" s="3">
        <v>0</v>
      </c>
      <c r="AP57" s="3">
        <v>0.39900000000000002</v>
      </c>
      <c r="AQ57" s="3">
        <v>2.5999999999999999E-2</v>
      </c>
      <c r="AR57" s="3">
        <v>0.74199999999999999</v>
      </c>
      <c r="AS57" s="3">
        <v>2.8000000000000001E-2</v>
      </c>
      <c r="AT57" s="3">
        <v>0.83299999999999996</v>
      </c>
      <c r="AU57" s="3">
        <v>2.8000000000000001E-2</v>
      </c>
      <c r="AV57" s="3">
        <v>0.69399999999999995</v>
      </c>
      <c r="AW57" s="3">
        <v>8.9999999999999993E-3</v>
      </c>
      <c r="AX57" s="3">
        <v>0.51600000000000001</v>
      </c>
      <c r="AY57" s="3">
        <v>1.0999999999999999E-2</v>
      </c>
      <c r="AZ57" s="3">
        <v>7.5999999999999998E-2</v>
      </c>
      <c r="BA57" s="3">
        <v>8.0000000000000002E-3</v>
      </c>
      <c r="BB57" s="3">
        <v>0.113</v>
      </c>
      <c r="BC57" s="3">
        <v>0.19550000000000001</v>
      </c>
      <c r="BD57" s="3">
        <v>9.5500000000000002E-2</v>
      </c>
      <c r="BE57" s="3">
        <v>0.13800000000000001</v>
      </c>
      <c r="BF57" s="3">
        <v>0.33800000000000002</v>
      </c>
      <c r="BG57" s="3">
        <v>0.45424999999999999</v>
      </c>
      <c r="BH57" s="3">
        <v>0.17</v>
      </c>
      <c r="BI57" s="3">
        <v>0.8</v>
      </c>
      <c r="BJ57" s="3">
        <v>0.71299999999999997</v>
      </c>
      <c r="BK57" s="3">
        <v>0.74</v>
      </c>
      <c r="BL57" s="3">
        <v>0.34733333300000002</v>
      </c>
      <c r="BM57" s="3">
        <v>0.01</v>
      </c>
      <c r="BN57" s="3">
        <v>0.23933333300000001</v>
      </c>
      <c r="BO57" s="3">
        <v>0.16800000000000001</v>
      </c>
      <c r="BP57" s="48" t="s">
        <v>311</v>
      </c>
      <c r="BQ57" s="49" t="s">
        <v>330</v>
      </c>
      <c r="BR57" s="3">
        <v>4.2389999999999999</v>
      </c>
      <c r="BS57" s="3">
        <v>3.1349999999999998</v>
      </c>
      <c r="BT57" s="3">
        <v>3.3929999999999998</v>
      </c>
      <c r="BU57" s="3">
        <v>1.117</v>
      </c>
      <c r="BV57" s="3">
        <v>4.07</v>
      </c>
      <c r="BW57" s="3">
        <v>7.4089999999999998</v>
      </c>
      <c r="BX57" s="3">
        <v>-0.72699999999999998</v>
      </c>
      <c r="BY57" s="3">
        <v>5.8650000000000002</v>
      </c>
      <c r="BZ57" s="3">
        <v>6.3380000000000001</v>
      </c>
      <c r="CA57" s="3">
        <v>5.8310000000000004</v>
      </c>
      <c r="CB57" s="3">
        <v>3.8279999999999998</v>
      </c>
      <c r="CC57" s="3">
        <v>4.2640000000000002</v>
      </c>
      <c r="CD57" s="3">
        <v>3.2050000000000001</v>
      </c>
    </row>
    <row r="58" spans="1:82" x14ac:dyDescent="0.3">
      <c r="A58" s="48" t="s">
        <v>311</v>
      </c>
      <c r="B58" s="49" t="s">
        <v>331</v>
      </c>
      <c r="C58" s="3">
        <v>26.713961999999999</v>
      </c>
      <c r="D58" s="3">
        <v>37.337057999999999</v>
      </c>
      <c r="E58" s="3">
        <v>37.337057999999999</v>
      </c>
      <c r="F58" s="3">
        <v>27.963737999999999</v>
      </c>
      <c r="G58" s="3">
        <v>27.963737999999999</v>
      </c>
      <c r="H58" s="3">
        <v>37.337057999999999</v>
      </c>
      <c r="I58" s="48" t="s">
        <v>311</v>
      </c>
      <c r="J58" s="49" t="s">
        <v>331</v>
      </c>
      <c r="K58" s="3">
        <v>37389.5</v>
      </c>
      <c r="L58" s="48" t="s">
        <v>311</v>
      </c>
      <c r="M58" s="49" t="s">
        <v>331</v>
      </c>
      <c r="N58" s="3">
        <v>7081.5039850000003</v>
      </c>
      <c r="O58" s="3">
        <v>8372.020305</v>
      </c>
      <c r="P58" s="3">
        <v>4959.0250930000002</v>
      </c>
      <c r="Q58" s="3">
        <v>4604.8394669999998</v>
      </c>
      <c r="R58" s="3">
        <v>7386.021917</v>
      </c>
      <c r="S58" s="3">
        <v>8079.0909570000003</v>
      </c>
      <c r="T58" s="3">
        <v>6545.8837430000003</v>
      </c>
      <c r="U58" s="3">
        <v>9399.8668440000001</v>
      </c>
      <c r="V58" s="3">
        <v>7241.5462029999999</v>
      </c>
      <c r="W58" s="3">
        <v>5012.5853829999996</v>
      </c>
      <c r="X58" s="3">
        <v>6168.5292950000003</v>
      </c>
      <c r="Y58" s="3">
        <v>630.48035919999995</v>
      </c>
      <c r="Z58" s="3">
        <v>1960.83538</v>
      </c>
      <c r="AA58" s="48" t="s">
        <v>311</v>
      </c>
      <c r="AB58" s="49" t="s">
        <v>331</v>
      </c>
      <c r="AC58" s="3">
        <v>0.14199999999999999</v>
      </c>
      <c r="AD58" s="3">
        <v>0.58099999999999996</v>
      </c>
      <c r="AE58" s="3">
        <v>0.17399999999999999</v>
      </c>
      <c r="AF58" s="3">
        <v>0.52300000000000002</v>
      </c>
      <c r="AG58" s="3">
        <v>0.124</v>
      </c>
      <c r="AH58" s="3">
        <v>0.46600000000000003</v>
      </c>
      <c r="AI58" s="3">
        <v>0.122</v>
      </c>
      <c r="AJ58" s="3">
        <v>0.58799999999999997</v>
      </c>
      <c r="AK58" s="3">
        <v>0.16800000000000001</v>
      </c>
      <c r="AL58" s="3">
        <v>0.86499999999999999</v>
      </c>
      <c r="AM58" s="3">
        <v>0.121</v>
      </c>
      <c r="AN58" s="3">
        <v>0.46100000000000002</v>
      </c>
      <c r="AO58" s="3">
        <v>1.0999999999999999E-2</v>
      </c>
      <c r="AP58" s="3">
        <v>0.46100000000000002</v>
      </c>
      <c r="AQ58" s="3">
        <v>0.13800000000000001</v>
      </c>
      <c r="AR58" s="3">
        <v>0.77500000000000002</v>
      </c>
      <c r="AS58" s="3">
        <v>0.21099999999999999</v>
      </c>
      <c r="AT58" s="3">
        <v>0.84299999999999997</v>
      </c>
      <c r="AU58" s="3">
        <v>0.21099999999999999</v>
      </c>
      <c r="AV58" s="3">
        <v>0.44400000000000001</v>
      </c>
      <c r="AW58" s="3">
        <v>0.13900000000000001</v>
      </c>
      <c r="AX58" s="3">
        <v>0.51</v>
      </c>
      <c r="AY58" s="3">
        <v>9.6000000000000002E-2</v>
      </c>
      <c r="AZ58" s="3">
        <v>5.8000000000000003E-2</v>
      </c>
      <c r="BA58" s="3">
        <v>9.1999999999999998E-2</v>
      </c>
      <c r="BB58" s="3">
        <v>8.7999999999999995E-2</v>
      </c>
      <c r="BC58" s="3">
        <v>0.17599999999999999</v>
      </c>
      <c r="BD58" s="3">
        <v>7.5499999999999998E-2</v>
      </c>
      <c r="BE58" s="3">
        <v>0.14349999999999999</v>
      </c>
      <c r="BF58" s="3">
        <v>0.31433333299999999</v>
      </c>
      <c r="BG58" s="3">
        <v>0.414333334</v>
      </c>
      <c r="BH58" s="3">
        <v>0.16800000000000001</v>
      </c>
      <c r="BI58" s="3">
        <v>0.78900000000000003</v>
      </c>
      <c r="BJ58" s="3">
        <v>0.65266666699999998</v>
      </c>
      <c r="BK58" s="3">
        <v>0.71350000000000002</v>
      </c>
      <c r="BL58" s="3">
        <v>0.28866666699999999</v>
      </c>
      <c r="BM58" s="3">
        <v>0.01</v>
      </c>
      <c r="BN58" s="3">
        <v>0.22333333299999999</v>
      </c>
      <c r="BO58" s="3">
        <v>0.13400000000000001</v>
      </c>
      <c r="BP58" s="48" t="s">
        <v>311</v>
      </c>
      <c r="BQ58" s="49" t="s">
        <v>331</v>
      </c>
      <c r="BR58" s="3">
        <v>6.02</v>
      </c>
      <c r="BS58" s="3">
        <v>4.5060000000000002</v>
      </c>
      <c r="BT58" s="3">
        <v>4.2679999999999998</v>
      </c>
      <c r="BU58" s="3">
        <v>1.494</v>
      </c>
      <c r="BV58" s="3">
        <v>5.6779999999999999</v>
      </c>
      <c r="BW58" s="3">
        <v>7.47</v>
      </c>
      <c r="BX58" s="3">
        <v>0.47699999999999998</v>
      </c>
      <c r="BY58" s="3">
        <v>6.7549999999999999</v>
      </c>
      <c r="BZ58" s="3">
        <v>7.117</v>
      </c>
      <c r="CA58" s="3">
        <v>5.8680000000000003</v>
      </c>
      <c r="CB58" s="3">
        <v>4.25</v>
      </c>
      <c r="CC58" s="3">
        <v>4.4720000000000004</v>
      </c>
      <c r="CD58" s="3">
        <v>3.5670000000000002</v>
      </c>
    </row>
    <row r="59" spans="1:82" x14ac:dyDescent="0.3">
      <c r="A59" s="48" t="s">
        <v>311</v>
      </c>
      <c r="B59" s="49" t="s">
        <v>332</v>
      </c>
      <c r="C59" s="3">
        <v>52.447197000000003</v>
      </c>
      <c r="D59" s="3">
        <v>36.226146</v>
      </c>
      <c r="E59" s="3">
        <v>36.226146</v>
      </c>
      <c r="F59" s="3">
        <v>27.451677</v>
      </c>
      <c r="G59" s="3">
        <v>27.451677</v>
      </c>
      <c r="H59" s="3">
        <v>36.226146</v>
      </c>
      <c r="I59" s="48" t="s">
        <v>311</v>
      </c>
      <c r="J59" s="49" t="s">
        <v>332</v>
      </c>
      <c r="K59" s="3">
        <v>38996</v>
      </c>
      <c r="L59" s="48" t="s">
        <v>311</v>
      </c>
      <c r="M59" s="49" t="s">
        <v>332</v>
      </c>
      <c r="N59" s="3">
        <v>7810.7662140000002</v>
      </c>
      <c r="O59" s="3">
        <v>9970.8726000000006</v>
      </c>
      <c r="P59" s="3">
        <v>5953.2335419999999</v>
      </c>
      <c r="Q59" s="3">
        <v>5706.6137859999999</v>
      </c>
      <c r="R59" s="3">
        <v>8448.5737939999999</v>
      </c>
      <c r="S59" s="3">
        <v>10344.14435</v>
      </c>
      <c r="T59" s="3">
        <v>8517.3730930000002</v>
      </c>
      <c r="U59" s="3">
        <v>9955.0860680000005</v>
      </c>
      <c r="V59" s="3">
        <v>8172.0278559999997</v>
      </c>
      <c r="W59" s="3">
        <v>5977.3964930000002</v>
      </c>
      <c r="X59" s="3">
        <v>7681.2861650000004</v>
      </c>
      <c r="Y59" s="3">
        <v>937.53636180000001</v>
      </c>
      <c r="Z59" s="3">
        <v>2771.3009969999998</v>
      </c>
      <c r="AA59" s="48" t="s">
        <v>311</v>
      </c>
      <c r="AB59" s="49" t="s">
        <v>332</v>
      </c>
      <c r="AC59" s="3">
        <v>0.32</v>
      </c>
      <c r="AD59" s="3">
        <v>0.77400000000000002</v>
      </c>
      <c r="AE59" s="3">
        <v>0.379</v>
      </c>
      <c r="AF59" s="3">
        <v>0.57599999999999996</v>
      </c>
      <c r="AG59" s="3">
        <v>0.245</v>
      </c>
      <c r="AH59" s="3">
        <v>0.505</v>
      </c>
      <c r="AI59" s="3">
        <v>0.33900000000000002</v>
      </c>
      <c r="AJ59" s="3">
        <v>0.84</v>
      </c>
      <c r="AK59" s="3">
        <v>0.32200000000000001</v>
      </c>
      <c r="AL59" s="3">
        <v>0.88400000000000001</v>
      </c>
      <c r="AM59" s="3">
        <v>0.3</v>
      </c>
      <c r="AN59" s="3">
        <v>0.5</v>
      </c>
      <c r="AO59" s="3">
        <v>3.3000000000000002E-2</v>
      </c>
      <c r="AP59" s="3">
        <v>0.5</v>
      </c>
      <c r="AQ59" s="3">
        <v>0.25600000000000001</v>
      </c>
      <c r="AR59" s="3">
        <v>0.873</v>
      </c>
      <c r="AS59" s="3">
        <v>0.41899999999999998</v>
      </c>
      <c r="AT59" s="3">
        <v>0.91500000000000004</v>
      </c>
      <c r="AU59" s="3">
        <v>0.42</v>
      </c>
      <c r="AV59" s="3">
        <v>0.217</v>
      </c>
      <c r="AW59" s="3">
        <v>0.34599999999999997</v>
      </c>
      <c r="AX59" s="3">
        <v>0.54100000000000004</v>
      </c>
      <c r="AY59" s="3">
        <v>0.29299999999999998</v>
      </c>
      <c r="AZ59" s="3">
        <v>6.8000000000000005E-2</v>
      </c>
      <c r="BA59" s="3">
        <v>0.23400000000000001</v>
      </c>
      <c r="BB59" s="3">
        <v>8.3000000000000004E-2</v>
      </c>
      <c r="BC59" s="3">
        <v>0.1555</v>
      </c>
      <c r="BD59" s="3">
        <v>6.8500000000000005E-2</v>
      </c>
      <c r="BE59" s="3">
        <v>0.157</v>
      </c>
      <c r="BF59" s="3">
        <v>0.32500000000000001</v>
      </c>
      <c r="BG59" s="3">
        <v>0.40058333400000001</v>
      </c>
      <c r="BH59" s="3">
        <v>0.16300000000000001</v>
      </c>
      <c r="BI59" s="3">
        <v>0.77749999999999997</v>
      </c>
      <c r="BJ59" s="3">
        <v>0.64566666699999997</v>
      </c>
      <c r="BK59" s="3">
        <v>0.73199999999999998</v>
      </c>
      <c r="BL59" s="3">
        <v>0.24566666700000001</v>
      </c>
      <c r="BM59" s="3">
        <v>0.01</v>
      </c>
      <c r="BN59" s="3">
        <v>0.21566666700000001</v>
      </c>
      <c r="BO59" s="3">
        <v>9.0999999999999998E-2</v>
      </c>
      <c r="BP59" s="48" t="s">
        <v>311</v>
      </c>
      <c r="BQ59" s="49" t="s">
        <v>332</v>
      </c>
      <c r="BR59" s="3">
        <v>7.9340000000000002</v>
      </c>
      <c r="BS59" s="3">
        <v>6.1079999999999997</v>
      </c>
      <c r="BT59" s="3">
        <v>5.5890000000000004</v>
      </c>
      <c r="BU59" s="3">
        <v>2.278</v>
      </c>
      <c r="BV59" s="3">
        <v>7.5140000000000002</v>
      </c>
      <c r="BW59" s="3">
        <v>7.4080000000000004</v>
      </c>
      <c r="BX59" s="3">
        <v>1.4239999999999999</v>
      </c>
      <c r="BY59" s="3">
        <v>7.6609999999999996</v>
      </c>
      <c r="BZ59" s="3">
        <v>7.6390000000000002</v>
      </c>
      <c r="CA59" s="3">
        <v>6.2830000000000004</v>
      </c>
      <c r="CB59" s="3">
        <v>5.1059999999999999</v>
      </c>
      <c r="CC59" s="3">
        <v>4.8739999999999997</v>
      </c>
      <c r="CD59" s="3">
        <v>3.8140000000000001</v>
      </c>
    </row>
    <row r="60" spans="1:82" x14ac:dyDescent="0.3">
      <c r="A60" s="48" t="s">
        <v>311</v>
      </c>
      <c r="B60" s="49" t="s">
        <v>333</v>
      </c>
      <c r="C60" s="3">
        <v>52.438518000000002</v>
      </c>
      <c r="D60" s="3">
        <v>32.580965999999997</v>
      </c>
      <c r="E60" s="3">
        <v>32.580965999999997</v>
      </c>
      <c r="F60" s="3">
        <v>27.234701999999999</v>
      </c>
      <c r="G60" s="3">
        <v>27.234701999999999</v>
      </c>
      <c r="H60" s="3">
        <v>32.580965999999997</v>
      </c>
      <c r="I60" s="48" t="s">
        <v>311</v>
      </c>
      <c r="J60" s="49" t="s">
        <v>333</v>
      </c>
      <c r="K60" s="3">
        <v>39448.5</v>
      </c>
      <c r="L60" s="48" t="s">
        <v>311</v>
      </c>
      <c r="M60" s="49" t="s">
        <v>333</v>
      </c>
      <c r="N60" s="3">
        <v>5792.1219529999998</v>
      </c>
      <c r="O60" s="3">
        <v>8060.8766219999998</v>
      </c>
      <c r="P60" s="3">
        <v>4890.2335519999997</v>
      </c>
      <c r="Q60" s="3">
        <v>4939.5967559999999</v>
      </c>
      <c r="R60" s="3">
        <v>6847.1514319999997</v>
      </c>
      <c r="S60" s="3">
        <v>8846.720566</v>
      </c>
      <c r="T60" s="3">
        <v>7298.2106659999999</v>
      </c>
      <c r="U60" s="3">
        <v>7366.5002850000001</v>
      </c>
      <c r="V60" s="3">
        <v>6184.0024899999999</v>
      </c>
      <c r="W60" s="3">
        <v>4496.219317</v>
      </c>
      <c r="X60" s="3">
        <v>6392.6853490000003</v>
      </c>
      <c r="Y60" s="3">
        <v>756.56144510000001</v>
      </c>
      <c r="Z60" s="3">
        <v>2422.7268760000002</v>
      </c>
      <c r="AA60" s="48" t="s">
        <v>311</v>
      </c>
      <c r="AB60" s="49" t="s">
        <v>333</v>
      </c>
      <c r="AC60" s="3">
        <v>0.436</v>
      </c>
      <c r="AD60" s="3">
        <v>0.84299999999999997</v>
      </c>
      <c r="AE60" s="3">
        <v>0.501</v>
      </c>
      <c r="AF60" s="3">
        <v>0.67700000000000005</v>
      </c>
      <c r="AG60" s="3">
        <v>0.36499999999999999</v>
      </c>
      <c r="AH60" s="3">
        <v>0.58299999999999996</v>
      </c>
      <c r="AI60" s="3">
        <v>0.52700000000000002</v>
      </c>
      <c r="AJ60" s="3">
        <v>0.89600000000000002</v>
      </c>
      <c r="AK60" s="3">
        <v>0.504</v>
      </c>
      <c r="AL60" s="3">
        <v>0.89900000000000002</v>
      </c>
      <c r="AM60" s="3">
        <v>0.52</v>
      </c>
      <c r="AN60" s="3">
        <v>0.65900000000000003</v>
      </c>
      <c r="AO60" s="3">
        <v>6.6000000000000003E-2</v>
      </c>
      <c r="AP60" s="3">
        <v>0.65900000000000003</v>
      </c>
      <c r="AQ60" s="3">
        <v>0.40899999999999997</v>
      </c>
      <c r="AR60" s="3">
        <v>0.91200000000000003</v>
      </c>
      <c r="AS60" s="3">
        <v>0.58799999999999997</v>
      </c>
      <c r="AT60" s="3">
        <v>0.93300000000000005</v>
      </c>
      <c r="AU60" s="3">
        <v>0.58899999999999997</v>
      </c>
      <c r="AV60" s="3">
        <v>0.21099999999999999</v>
      </c>
      <c r="AW60" s="3">
        <v>0.58299999999999996</v>
      </c>
      <c r="AX60" s="3">
        <v>0.6</v>
      </c>
      <c r="AY60" s="3">
        <v>0.55100000000000005</v>
      </c>
      <c r="AZ60" s="3">
        <v>0.10100000000000001</v>
      </c>
      <c r="BA60" s="3">
        <v>0.54600000000000004</v>
      </c>
      <c r="BB60" s="3">
        <v>0.08</v>
      </c>
      <c r="BC60" s="3">
        <v>0.13750000000000001</v>
      </c>
      <c r="BD60" s="3">
        <v>6.9500000000000006E-2</v>
      </c>
      <c r="BE60" s="3">
        <v>0.18049999999999999</v>
      </c>
      <c r="BF60" s="3">
        <v>0.33633333300000001</v>
      </c>
      <c r="BG60" s="3">
        <v>0.37658333399999999</v>
      </c>
      <c r="BH60" s="3">
        <v>0.16</v>
      </c>
      <c r="BI60" s="3">
        <v>0.78949999999999998</v>
      </c>
      <c r="BJ60" s="3">
        <v>0.61566666699999995</v>
      </c>
      <c r="BK60" s="3">
        <v>0.72799999999999998</v>
      </c>
      <c r="BL60" s="3">
        <v>0.19666666699999999</v>
      </c>
      <c r="BM60" s="3">
        <v>0.01</v>
      </c>
      <c r="BN60" s="3">
        <v>0.201333333</v>
      </c>
      <c r="BO60" s="3">
        <v>5.8999999999999997E-2</v>
      </c>
      <c r="BP60" s="48" t="s">
        <v>311</v>
      </c>
      <c r="BQ60" s="49" t="s">
        <v>333</v>
      </c>
      <c r="BR60" s="3">
        <v>9.2080000000000002</v>
      </c>
      <c r="BS60" s="3">
        <v>7.758</v>
      </c>
      <c r="BT60" s="3">
        <v>6.9290000000000003</v>
      </c>
      <c r="BU60" s="3">
        <v>3.0979999999999999</v>
      </c>
      <c r="BV60" s="3">
        <v>8.1349999999999998</v>
      </c>
      <c r="BW60" s="3">
        <v>7.2720000000000002</v>
      </c>
      <c r="BX60" s="3">
        <v>2.3780000000000001</v>
      </c>
      <c r="BY60" s="3">
        <v>8.4120000000000008</v>
      </c>
      <c r="BZ60" s="3">
        <v>7.2439999999999998</v>
      </c>
      <c r="CA60" s="3">
        <v>6.9980000000000002</v>
      </c>
      <c r="CB60" s="3">
        <v>5.806</v>
      </c>
      <c r="CC60" s="3">
        <v>5.3319999999999999</v>
      </c>
      <c r="CD60" s="3">
        <v>3.9390000000000001</v>
      </c>
    </row>
    <row r="61" spans="1:82" x14ac:dyDescent="0.3">
      <c r="A61" s="48" t="s">
        <v>311</v>
      </c>
      <c r="B61" s="49" t="s">
        <v>334</v>
      </c>
      <c r="C61" s="3">
        <v>48.975597</v>
      </c>
      <c r="D61" s="3">
        <v>31.843250999999999</v>
      </c>
      <c r="E61" s="3">
        <v>31.843250999999999</v>
      </c>
      <c r="F61" s="3">
        <v>27.043763999999999</v>
      </c>
      <c r="G61" s="3">
        <v>27.043763999999999</v>
      </c>
      <c r="H61" s="3">
        <v>31.843250999999999</v>
      </c>
      <c r="I61" s="48" t="s">
        <v>311</v>
      </c>
      <c r="J61" s="49" t="s">
        <v>334</v>
      </c>
      <c r="K61" s="3">
        <v>39357.5</v>
      </c>
      <c r="L61" s="48" t="s">
        <v>311</v>
      </c>
      <c r="M61" s="49" t="s">
        <v>334</v>
      </c>
      <c r="N61" s="3">
        <v>4186.9025140000003</v>
      </c>
      <c r="O61" s="3">
        <v>6474.8868709999997</v>
      </c>
      <c r="P61" s="3">
        <v>3913.8822129999999</v>
      </c>
      <c r="Q61" s="3">
        <v>4125.4999289999996</v>
      </c>
      <c r="R61" s="3">
        <v>5149.6459320000004</v>
      </c>
      <c r="S61" s="3">
        <v>7278.7453489999998</v>
      </c>
      <c r="T61" s="3">
        <v>5719.2400580000003</v>
      </c>
      <c r="U61" s="3">
        <v>5502.952209</v>
      </c>
      <c r="V61" s="3">
        <v>4670.8052310000003</v>
      </c>
      <c r="W61" s="3">
        <v>3181.0320029999998</v>
      </c>
      <c r="X61" s="3">
        <v>5038.643341</v>
      </c>
      <c r="Y61" s="3">
        <v>540.48114469999996</v>
      </c>
      <c r="Z61" s="3">
        <v>1966.650339</v>
      </c>
      <c r="AA61" s="48" t="s">
        <v>311</v>
      </c>
      <c r="AB61" s="49" t="s">
        <v>334</v>
      </c>
      <c r="AC61" s="3">
        <v>0.63300000000000001</v>
      </c>
      <c r="AD61" s="3">
        <v>0.878</v>
      </c>
      <c r="AE61" s="3">
        <v>0.55900000000000005</v>
      </c>
      <c r="AF61" s="3">
        <v>0.70099999999999996</v>
      </c>
      <c r="AG61" s="3">
        <v>0.46400000000000002</v>
      </c>
      <c r="AH61" s="3">
        <v>0.60199999999999998</v>
      </c>
      <c r="AI61" s="3">
        <v>0.59099999999999997</v>
      </c>
      <c r="AJ61" s="3">
        <v>0.89900000000000002</v>
      </c>
      <c r="AK61" s="3">
        <v>0.63700000000000001</v>
      </c>
      <c r="AL61" s="3">
        <v>0.91100000000000003</v>
      </c>
      <c r="AM61" s="3">
        <v>0.61599999999999999</v>
      </c>
      <c r="AN61" s="3">
        <v>0.78800000000000003</v>
      </c>
      <c r="AO61" s="3">
        <v>0.14099999999999999</v>
      </c>
      <c r="AP61" s="3">
        <v>0.78800000000000003</v>
      </c>
      <c r="AQ61" s="3">
        <v>0.51500000000000001</v>
      </c>
      <c r="AR61" s="3">
        <v>0.92800000000000005</v>
      </c>
      <c r="AS61" s="3">
        <v>0.69099999999999995</v>
      </c>
      <c r="AT61" s="3">
        <v>0.92900000000000005</v>
      </c>
      <c r="AU61" s="3">
        <v>0.69199999999999995</v>
      </c>
      <c r="AV61" s="3">
        <v>0.21199999999999999</v>
      </c>
      <c r="AW61" s="3">
        <v>0.69799999999999995</v>
      </c>
      <c r="AX61" s="3">
        <v>0.56299999999999994</v>
      </c>
      <c r="AY61" s="3">
        <v>0.64600000000000002</v>
      </c>
      <c r="AZ61" s="3">
        <v>0.13800000000000001</v>
      </c>
      <c r="BA61" s="3">
        <v>0.68</v>
      </c>
      <c r="BB61" s="3">
        <v>6.9000000000000006E-2</v>
      </c>
      <c r="BC61" s="3">
        <v>0.1265</v>
      </c>
      <c r="BD61" s="3">
        <v>7.4999999999999997E-2</v>
      </c>
      <c r="BE61" s="3">
        <v>0.22650000000000001</v>
      </c>
      <c r="BF61" s="3">
        <v>0.35399999999999998</v>
      </c>
      <c r="BG61" s="3">
        <v>0.33941666700000001</v>
      </c>
      <c r="BH61" s="3">
        <v>0.161</v>
      </c>
      <c r="BI61" s="3">
        <v>0.83199999999999996</v>
      </c>
      <c r="BJ61" s="3">
        <v>0.55233333299999998</v>
      </c>
      <c r="BK61" s="3">
        <v>0.70650000000000002</v>
      </c>
      <c r="BL61" s="3">
        <v>0.14933333300000001</v>
      </c>
      <c r="BM61" s="3">
        <v>0.01</v>
      </c>
      <c r="BN61" s="3">
        <v>0.182</v>
      </c>
      <c r="BO61" s="3">
        <v>3.9E-2</v>
      </c>
      <c r="BP61" s="48" t="s">
        <v>311</v>
      </c>
      <c r="BQ61" s="49" t="s">
        <v>334</v>
      </c>
      <c r="BR61" s="3">
        <v>9.9949999999999992</v>
      </c>
      <c r="BS61" s="3">
        <v>8.8719999999999999</v>
      </c>
      <c r="BT61" s="3">
        <v>7.827</v>
      </c>
      <c r="BU61" s="3">
        <v>4.0179999999999998</v>
      </c>
      <c r="BV61" s="3">
        <v>7.5860000000000003</v>
      </c>
      <c r="BW61" s="3">
        <v>7.1870000000000003</v>
      </c>
      <c r="BX61" s="3">
        <v>3.18</v>
      </c>
      <c r="BY61" s="3">
        <v>8.9459999999999997</v>
      </c>
      <c r="BZ61" s="3">
        <v>6.78</v>
      </c>
      <c r="CA61" s="3">
        <v>8.0519999999999996</v>
      </c>
      <c r="CB61" s="3">
        <v>6.1079999999999997</v>
      </c>
      <c r="CC61" s="3">
        <v>5.9020000000000001</v>
      </c>
      <c r="CD61" s="3">
        <v>4.1379999999999999</v>
      </c>
    </row>
    <row r="62" spans="1:82" x14ac:dyDescent="0.3">
      <c r="A62" s="48" t="s">
        <v>311</v>
      </c>
      <c r="B62" s="49" t="s">
        <v>335</v>
      </c>
      <c r="C62" s="3">
        <v>31.461375</v>
      </c>
      <c r="D62" s="3">
        <v>31.461375</v>
      </c>
      <c r="E62" s="3">
        <v>31.461375</v>
      </c>
      <c r="F62" s="3">
        <v>26.983011000000001</v>
      </c>
      <c r="G62" s="3">
        <v>26.983011000000001</v>
      </c>
      <c r="H62" s="3">
        <v>31.461375</v>
      </c>
      <c r="I62" s="48" t="s">
        <v>311</v>
      </c>
      <c r="J62" s="49" t="s">
        <v>335</v>
      </c>
      <c r="K62" s="3">
        <v>39429.5</v>
      </c>
      <c r="L62" s="48" t="s">
        <v>311</v>
      </c>
      <c r="M62" s="49" t="s">
        <v>335</v>
      </c>
      <c r="N62" s="3">
        <v>3401.8525239999999</v>
      </c>
      <c r="O62" s="3">
        <v>5881.9997919999996</v>
      </c>
      <c r="P62" s="3">
        <v>3551.2200769999999</v>
      </c>
      <c r="Q62" s="3">
        <v>3726.9958270000002</v>
      </c>
      <c r="R62" s="3">
        <v>4836.6576359999999</v>
      </c>
      <c r="S62" s="3">
        <v>6497.1610950000004</v>
      </c>
      <c r="T62" s="3">
        <v>4843.991524</v>
      </c>
      <c r="U62" s="3">
        <v>5049.47469</v>
      </c>
      <c r="V62" s="3">
        <v>4104.9164650000002</v>
      </c>
      <c r="W62" s="3">
        <v>2259.6634570000001</v>
      </c>
      <c r="X62" s="3">
        <v>4270.477022</v>
      </c>
      <c r="Y62" s="3">
        <v>418.27231649999999</v>
      </c>
      <c r="Z62" s="3">
        <v>1537.813042</v>
      </c>
      <c r="AA62" s="48" t="s">
        <v>311</v>
      </c>
      <c r="AB62" s="49" t="s">
        <v>335</v>
      </c>
      <c r="AC62" s="3">
        <v>0.73199999999999998</v>
      </c>
      <c r="AD62" s="3">
        <v>0.90300000000000002</v>
      </c>
      <c r="AE62" s="3">
        <v>0.57099999999999995</v>
      </c>
      <c r="AF62" s="3">
        <v>0.73599999999999999</v>
      </c>
      <c r="AG62" s="3">
        <v>0.53200000000000003</v>
      </c>
      <c r="AH62" s="3">
        <v>0.628</v>
      </c>
      <c r="AI62" s="3">
        <v>0.57999999999999996</v>
      </c>
      <c r="AJ62" s="3">
        <v>0.876</v>
      </c>
      <c r="AK62" s="3">
        <v>0.73099999999999998</v>
      </c>
      <c r="AL62" s="3">
        <v>0.91</v>
      </c>
      <c r="AM62" s="3">
        <v>0.67700000000000005</v>
      </c>
      <c r="AN62" s="3">
        <v>0.84699999999999998</v>
      </c>
      <c r="AO62" s="3">
        <v>0.19700000000000001</v>
      </c>
      <c r="AP62" s="3">
        <v>0.84699999999999998</v>
      </c>
      <c r="AQ62" s="3">
        <v>0.621</v>
      </c>
      <c r="AR62" s="3">
        <v>0.91900000000000004</v>
      </c>
      <c r="AS62" s="3">
        <v>0.75800000000000001</v>
      </c>
      <c r="AT62" s="3">
        <v>0.89</v>
      </c>
      <c r="AU62" s="3">
        <v>0.75800000000000001</v>
      </c>
      <c r="AV62" s="3">
        <v>0.19400000000000001</v>
      </c>
      <c r="AW62" s="3">
        <v>0.75700000000000001</v>
      </c>
      <c r="AX62" s="3">
        <v>0.443</v>
      </c>
      <c r="AY62" s="3">
        <v>0.64700000000000002</v>
      </c>
      <c r="AZ62" s="3">
        <v>0.17</v>
      </c>
      <c r="BA62" s="3">
        <v>0.74199999999999999</v>
      </c>
      <c r="BB62" s="3">
        <v>5.1999999999999998E-2</v>
      </c>
      <c r="BC62" s="3">
        <v>0.1245</v>
      </c>
      <c r="BD62" s="3">
        <v>8.1500000000000003E-2</v>
      </c>
      <c r="BE62" s="3">
        <v>0.28399999999999997</v>
      </c>
      <c r="BF62" s="3">
        <v>0.38300000000000001</v>
      </c>
      <c r="BG62" s="3">
        <v>0.29558333399999998</v>
      </c>
      <c r="BH62" s="3">
        <v>0.16700000000000001</v>
      </c>
      <c r="BI62" s="3">
        <v>0.84950000000000003</v>
      </c>
      <c r="BJ62" s="3">
        <v>0.46666666699999998</v>
      </c>
      <c r="BK62" s="3">
        <v>0.66049999999999998</v>
      </c>
      <c r="BL62" s="3">
        <v>0.12166666700000001</v>
      </c>
      <c r="BM62" s="3">
        <v>0.01</v>
      </c>
      <c r="BN62" s="3">
        <v>0.17100000000000001</v>
      </c>
      <c r="BO62" s="3">
        <v>2.5000000000000001E-2</v>
      </c>
      <c r="BP62" s="48" t="s">
        <v>311</v>
      </c>
      <c r="BQ62" s="49" t="s">
        <v>335</v>
      </c>
      <c r="BR62" s="3">
        <v>10.359</v>
      </c>
      <c r="BS62" s="3">
        <v>9.2550000000000008</v>
      </c>
      <c r="BT62" s="3">
        <v>8.3680000000000003</v>
      </c>
      <c r="BU62" s="3">
        <v>4.9459999999999997</v>
      </c>
      <c r="BV62" s="3">
        <v>6.9560000000000004</v>
      </c>
      <c r="BW62" s="3">
        <v>7.2220000000000004</v>
      </c>
      <c r="BX62" s="3">
        <v>3.8330000000000002</v>
      </c>
      <c r="BY62" s="3">
        <v>8.9890000000000008</v>
      </c>
      <c r="BZ62" s="3">
        <v>6.6449999999999996</v>
      </c>
      <c r="CA62" s="3">
        <v>8.6199999999999992</v>
      </c>
      <c r="CB62" s="3">
        <v>6.4390000000000001</v>
      </c>
      <c r="CC62" s="3">
        <v>6.4509999999999996</v>
      </c>
      <c r="CD62" s="3">
        <v>4.5019999999999998</v>
      </c>
    </row>
    <row r="63" spans="1:82" x14ac:dyDescent="0.3">
      <c r="A63" s="48" t="s">
        <v>311</v>
      </c>
      <c r="B63" s="49" t="s">
        <v>336</v>
      </c>
      <c r="C63" s="3">
        <v>28.406366999999999</v>
      </c>
      <c r="D63" s="3">
        <v>31.201004999999999</v>
      </c>
      <c r="E63" s="3">
        <v>31.201004999999999</v>
      </c>
      <c r="F63" s="3">
        <v>26.766036</v>
      </c>
      <c r="G63" s="3">
        <v>26.766036</v>
      </c>
      <c r="H63" s="3">
        <v>31.201004999999999</v>
      </c>
      <c r="I63" s="48" t="s">
        <v>311</v>
      </c>
      <c r="J63" s="49" t="s">
        <v>336</v>
      </c>
      <c r="K63" s="3">
        <v>39094.5</v>
      </c>
      <c r="L63" s="48" t="s">
        <v>311</v>
      </c>
      <c r="M63" s="49" t="s">
        <v>336</v>
      </c>
      <c r="N63" s="3">
        <v>3616.467259</v>
      </c>
      <c r="O63" s="3">
        <v>5710.2311980000004</v>
      </c>
      <c r="P63" s="3">
        <v>3670.2151239999998</v>
      </c>
      <c r="Q63" s="3">
        <v>3603.98405</v>
      </c>
      <c r="R63" s="3">
        <v>4977.0831799999996</v>
      </c>
      <c r="S63" s="3">
        <v>6306.0082730000004</v>
      </c>
      <c r="T63" s="3">
        <v>4651.3207259999999</v>
      </c>
      <c r="U63" s="3">
        <v>5102.528851</v>
      </c>
      <c r="V63" s="3">
        <v>3767.014572</v>
      </c>
      <c r="W63" s="3">
        <v>2209.959973</v>
      </c>
      <c r="X63" s="3">
        <v>4143.085333</v>
      </c>
      <c r="Y63" s="3">
        <v>422.6210724</v>
      </c>
      <c r="Z63" s="3">
        <v>1416.9239009999999</v>
      </c>
      <c r="AA63" s="48" t="s">
        <v>311</v>
      </c>
      <c r="AB63" s="49" t="s">
        <v>336</v>
      </c>
      <c r="AC63" s="3">
        <v>0.70899999999999996</v>
      </c>
      <c r="AD63" s="3">
        <v>0.90900000000000003</v>
      </c>
      <c r="AE63" s="3">
        <v>0.53500000000000003</v>
      </c>
      <c r="AF63" s="3">
        <v>0.76500000000000001</v>
      </c>
      <c r="AG63" s="3">
        <v>0.57999999999999996</v>
      </c>
      <c r="AH63" s="3">
        <v>0.67400000000000004</v>
      </c>
      <c r="AI63" s="3">
        <v>0.55100000000000005</v>
      </c>
      <c r="AJ63" s="3">
        <v>0.81899999999999995</v>
      </c>
      <c r="AK63" s="3">
        <v>0.74399999999999999</v>
      </c>
      <c r="AL63" s="3">
        <v>0.91400000000000003</v>
      </c>
      <c r="AM63" s="3">
        <v>0.69699999999999995</v>
      </c>
      <c r="AN63" s="3">
        <v>0.89100000000000001</v>
      </c>
      <c r="AO63" s="3">
        <v>0.23300000000000001</v>
      </c>
      <c r="AP63" s="3">
        <v>0.89100000000000001</v>
      </c>
      <c r="AQ63" s="3">
        <v>0.69199999999999995</v>
      </c>
      <c r="AR63" s="3">
        <v>0.90100000000000002</v>
      </c>
      <c r="AS63" s="3">
        <v>0.76100000000000001</v>
      </c>
      <c r="AT63" s="3">
        <v>0.79900000000000004</v>
      </c>
      <c r="AU63" s="3">
        <v>0.76100000000000001</v>
      </c>
      <c r="AV63" s="3">
        <v>0.192</v>
      </c>
      <c r="AW63" s="3">
        <v>0.76200000000000001</v>
      </c>
      <c r="AX63" s="3">
        <v>0.30399999999999999</v>
      </c>
      <c r="AY63" s="3">
        <v>0.61299999999999999</v>
      </c>
      <c r="AZ63" s="3">
        <v>0.19700000000000001</v>
      </c>
      <c r="BA63" s="3">
        <v>0.73699999999999999</v>
      </c>
      <c r="BB63" s="3">
        <v>3.4000000000000002E-2</v>
      </c>
      <c r="BC63" s="3">
        <v>0.1225</v>
      </c>
      <c r="BD63" s="3">
        <v>8.0500000000000002E-2</v>
      </c>
      <c r="BE63" s="3">
        <v>0.33650000000000002</v>
      </c>
      <c r="BF63" s="3">
        <v>0.41399999999999998</v>
      </c>
      <c r="BG63" s="3">
        <v>0.26141666699999999</v>
      </c>
      <c r="BH63" s="3">
        <v>0.17399999999999999</v>
      </c>
      <c r="BI63" s="3">
        <v>0.84850000000000003</v>
      </c>
      <c r="BJ63" s="3">
        <v>0.40033333300000001</v>
      </c>
      <c r="BK63" s="3">
        <v>0.59150000000000003</v>
      </c>
      <c r="BL63" s="3">
        <v>0.112666667</v>
      </c>
      <c r="BM63" s="3">
        <v>0.01</v>
      </c>
      <c r="BN63" s="3">
        <v>0.16466666699999999</v>
      </c>
      <c r="BO63" s="3">
        <v>1.7000000000000001E-2</v>
      </c>
      <c r="BP63" s="48" t="s">
        <v>311</v>
      </c>
      <c r="BQ63" s="49" t="s">
        <v>336</v>
      </c>
      <c r="BR63" s="3">
        <v>10.156000000000001</v>
      </c>
      <c r="BS63" s="3">
        <v>8.9920000000000009</v>
      </c>
      <c r="BT63" s="3">
        <v>8.5079999999999991</v>
      </c>
      <c r="BU63" s="3">
        <v>5.5389999999999997</v>
      </c>
      <c r="BV63" s="3">
        <v>6.7759999999999998</v>
      </c>
      <c r="BW63" s="3">
        <v>7.2910000000000004</v>
      </c>
      <c r="BX63" s="3">
        <v>4.2709999999999999</v>
      </c>
      <c r="BY63" s="3">
        <v>8.9350000000000005</v>
      </c>
      <c r="BZ63" s="3">
        <v>6.7869999999999999</v>
      </c>
      <c r="CA63" s="3">
        <v>8.843</v>
      </c>
      <c r="CB63" s="3">
        <v>6.96</v>
      </c>
      <c r="CC63" s="3">
        <v>6.6840000000000002</v>
      </c>
      <c r="CD63" s="3">
        <v>4.8810000000000002</v>
      </c>
    </row>
    <row r="64" spans="1:82" x14ac:dyDescent="0.3">
      <c r="A64" s="48" t="s">
        <v>311</v>
      </c>
      <c r="B64" s="49" t="s">
        <v>337</v>
      </c>
      <c r="C64" s="3">
        <v>28.111281000000002</v>
      </c>
      <c r="D64" s="3">
        <v>30.393858000000002</v>
      </c>
      <c r="E64" s="3">
        <v>30.393858000000002</v>
      </c>
      <c r="F64" s="3">
        <v>26.557739999999999</v>
      </c>
      <c r="G64" s="3">
        <v>26.557739999999999</v>
      </c>
      <c r="H64" s="3">
        <v>30.393858000000002</v>
      </c>
      <c r="I64" s="48" t="s">
        <v>311</v>
      </c>
      <c r="J64" s="49" t="s">
        <v>337</v>
      </c>
      <c r="K64" s="3">
        <v>38394.5</v>
      </c>
      <c r="L64" s="48" t="s">
        <v>311</v>
      </c>
      <c r="M64" s="49" t="s">
        <v>337</v>
      </c>
      <c r="N64" s="3">
        <v>4371.402204</v>
      </c>
      <c r="O64" s="3">
        <v>6078.7175969999998</v>
      </c>
      <c r="P64" s="3">
        <v>3897.9949550000001</v>
      </c>
      <c r="Q64" s="3">
        <v>3456.6289339999998</v>
      </c>
      <c r="R64" s="3">
        <v>5079.6413579999999</v>
      </c>
      <c r="S64" s="3">
        <v>6620.8125829999999</v>
      </c>
      <c r="T64" s="3">
        <v>4737.35592</v>
      </c>
      <c r="U64" s="3">
        <v>5273.7862930000001</v>
      </c>
      <c r="V64" s="3">
        <v>3525.6984120000002</v>
      </c>
      <c r="W64" s="3">
        <v>2295.422638</v>
      </c>
      <c r="X64" s="3">
        <v>4316.5623020000003</v>
      </c>
      <c r="Y64" s="3">
        <v>402.20735250000001</v>
      </c>
      <c r="Z64" s="3">
        <v>1486.8193229999999</v>
      </c>
      <c r="AA64" s="48" t="s">
        <v>311</v>
      </c>
      <c r="AB64" s="49" t="s">
        <v>337</v>
      </c>
      <c r="AC64" s="3">
        <v>0.56899999999999995</v>
      </c>
      <c r="AD64" s="3">
        <v>0.89300000000000002</v>
      </c>
      <c r="AE64" s="3">
        <v>0.47299999999999998</v>
      </c>
      <c r="AF64" s="3">
        <v>0.752</v>
      </c>
      <c r="AG64" s="3">
        <v>0.59499999999999997</v>
      </c>
      <c r="AH64" s="3">
        <v>0.70399999999999996</v>
      </c>
      <c r="AI64" s="3">
        <v>0.5</v>
      </c>
      <c r="AJ64" s="3">
        <v>0.68300000000000005</v>
      </c>
      <c r="AK64" s="3">
        <v>0.68899999999999995</v>
      </c>
      <c r="AL64" s="3">
        <v>0.92</v>
      </c>
      <c r="AM64" s="3">
        <v>0.66700000000000004</v>
      </c>
      <c r="AN64" s="3">
        <v>0.90300000000000002</v>
      </c>
      <c r="AO64" s="3">
        <v>0.219</v>
      </c>
      <c r="AP64" s="3">
        <v>0.90300000000000002</v>
      </c>
      <c r="AQ64" s="3">
        <v>0.66500000000000004</v>
      </c>
      <c r="AR64" s="3">
        <v>0.85</v>
      </c>
      <c r="AS64" s="3">
        <v>0.70899999999999996</v>
      </c>
      <c r="AT64" s="3">
        <v>0.621</v>
      </c>
      <c r="AU64" s="3">
        <v>0.70899999999999996</v>
      </c>
      <c r="AV64" s="3">
        <v>0.17599999999999999</v>
      </c>
      <c r="AW64" s="3">
        <v>0.70799999999999996</v>
      </c>
      <c r="AX64" s="3">
        <v>0.22700000000000001</v>
      </c>
      <c r="AY64" s="3">
        <v>0.55400000000000005</v>
      </c>
      <c r="AZ64" s="3">
        <v>0.215</v>
      </c>
      <c r="BA64" s="3">
        <v>0.68400000000000005</v>
      </c>
      <c r="BB64" s="3">
        <v>3.6999999999999998E-2</v>
      </c>
      <c r="BC64" s="3">
        <v>0.11899999999999999</v>
      </c>
      <c r="BD64" s="3">
        <v>7.3999999999999996E-2</v>
      </c>
      <c r="BE64" s="3">
        <v>0.36799999999999999</v>
      </c>
      <c r="BF64" s="3">
        <v>0.44166666700000001</v>
      </c>
      <c r="BG64" s="3">
        <v>0.233333334</v>
      </c>
      <c r="BH64" s="3">
        <v>0.183</v>
      </c>
      <c r="BI64" s="3">
        <v>0.83599999999999997</v>
      </c>
      <c r="BJ64" s="3">
        <v>0.34766666699999998</v>
      </c>
      <c r="BK64" s="3">
        <v>0.53100000000000003</v>
      </c>
      <c r="BL64" s="3">
        <v>0.109</v>
      </c>
      <c r="BM64" s="3">
        <v>0.01</v>
      </c>
      <c r="BN64" s="3">
        <v>0.15766666700000001</v>
      </c>
      <c r="BO64" s="3">
        <v>1.0999999999999999E-2</v>
      </c>
      <c r="BP64" s="48" t="s">
        <v>311</v>
      </c>
      <c r="BQ64" s="49" t="s">
        <v>337</v>
      </c>
      <c r="BR64" s="3">
        <v>9.4260000000000002</v>
      </c>
      <c r="BS64" s="3">
        <v>8.2840000000000007</v>
      </c>
      <c r="BT64" s="3">
        <v>8.3330000000000002</v>
      </c>
      <c r="BU64" s="3">
        <v>5.7619999999999996</v>
      </c>
      <c r="BV64" s="3">
        <v>6.9029999999999996</v>
      </c>
      <c r="BW64" s="3">
        <v>7.4020000000000001</v>
      </c>
      <c r="BX64" s="3">
        <v>4.383</v>
      </c>
      <c r="BY64" s="3">
        <v>8.7149999999999999</v>
      </c>
      <c r="BZ64" s="3">
        <v>7.133</v>
      </c>
      <c r="CA64" s="3">
        <v>8.8490000000000002</v>
      </c>
      <c r="CB64" s="3">
        <v>7.5060000000000002</v>
      </c>
      <c r="CC64" s="3">
        <v>6.6989999999999998</v>
      </c>
      <c r="CD64" s="3">
        <v>5.1769999999999996</v>
      </c>
    </row>
    <row r="65" spans="1:82" x14ac:dyDescent="0.3">
      <c r="A65" s="48" t="s">
        <v>311</v>
      </c>
      <c r="B65" s="49" t="s">
        <v>338</v>
      </c>
      <c r="C65" s="3">
        <v>27.7728</v>
      </c>
      <c r="D65" s="3">
        <v>31.548165000000001</v>
      </c>
      <c r="E65" s="3">
        <v>31.548165000000001</v>
      </c>
      <c r="F65" s="3">
        <v>26.64453</v>
      </c>
      <c r="G65" s="3">
        <v>26.64453</v>
      </c>
      <c r="H65" s="3">
        <v>31.548165000000001</v>
      </c>
      <c r="I65" s="48" t="s">
        <v>311</v>
      </c>
      <c r="J65" s="49" t="s">
        <v>338</v>
      </c>
      <c r="K65" s="3">
        <v>37813.5</v>
      </c>
      <c r="L65" s="48" t="s">
        <v>311</v>
      </c>
      <c r="M65" s="49" t="s">
        <v>338</v>
      </c>
      <c r="N65" s="3">
        <v>4091.7070709999998</v>
      </c>
      <c r="O65" s="3">
        <v>6423.874452</v>
      </c>
      <c r="P65" s="3">
        <v>4024.5069060000001</v>
      </c>
      <c r="Q65" s="3">
        <v>3421.2769050000002</v>
      </c>
      <c r="R65" s="3">
        <v>4764.0417710000002</v>
      </c>
      <c r="S65" s="3">
        <v>6596.594263</v>
      </c>
      <c r="T65" s="3">
        <v>4751.1621510000004</v>
      </c>
      <c r="U65" s="3">
        <v>4710.2906759999996</v>
      </c>
      <c r="V65" s="3">
        <v>2971.4042519999998</v>
      </c>
      <c r="W65" s="3">
        <v>1924.5460849999999</v>
      </c>
      <c r="X65" s="3">
        <v>4310.2716300000002</v>
      </c>
      <c r="Y65" s="3">
        <v>399.65792349999998</v>
      </c>
      <c r="Z65" s="3">
        <v>1511.5167859999999</v>
      </c>
      <c r="AA65" s="48" t="s">
        <v>311</v>
      </c>
      <c r="AB65" s="49" t="s">
        <v>338</v>
      </c>
      <c r="AC65" s="3">
        <v>0.39500000000000002</v>
      </c>
      <c r="AD65" s="3">
        <v>0.83499999999999996</v>
      </c>
      <c r="AE65" s="3">
        <v>0.38900000000000001</v>
      </c>
      <c r="AF65" s="3">
        <v>0.68</v>
      </c>
      <c r="AG65" s="3">
        <v>0.46600000000000003</v>
      </c>
      <c r="AH65" s="3">
        <v>0.69399999999999995</v>
      </c>
      <c r="AI65" s="3">
        <v>0.34699999999999998</v>
      </c>
      <c r="AJ65" s="3">
        <v>0.505</v>
      </c>
      <c r="AK65" s="3">
        <v>0.56299999999999994</v>
      </c>
      <c r="AL65" s="3">
        <v>0.91800000000000004</v>
      </c>
      <c r="AM65" s="3">
        <v>0.56599999999999995</v>
      </c>
      <c r="AN65" s="3">
        <v>0.91300000000000003</v>
      </c>
      <c r="AO65" s="3">
        <v>0.157</v>
      </c>
      <c r="AP65" s="3">
        <v>0.91300000000000003</v>
      </c>
      <c r="AQ65" s="3">
        <v>0.56999999999999995</v>
      </c>
      <c r="AR65" s="3">
        <v>0.73</v>
      </c>
      <c r="AS65" s="3">
        <v>0.60199999999999998</v>
      </c>
      <c r="AT65" s="3">
        <v>0.442</v>
      </c>
      <c r="AU65" s="3">
        <v>0.60199999999999998</v>
      </c>
      <c r="AV65" s="3">
        <v>0.14199999999999999</v>
      </c>
      <c r="AW65" s="3">
        <v>0.60399999999999998</v>
      </c>
      <c r="AX65" s="3">
        <v>0.19900000000000001</v>
      </c>
      <c r="AY65" s="3">
        <v>0.46500000000000002</v>
      </c>
      <c r="AZ65" s="3">
        <v>0.22700000000000001</v>
      </c>
      <c r="BA65" s="3">
        <v>0.58499999999999996</v>
      </c>
      <c r="BB65" s="3">
        <v>6.2E-2</v>
      </c>
      <c r="BC65" s="3">
        <v>0.1205</v>
      </c>
      <c r="BD65" s="3">
        <v>6.9500000000000006E-2</v>
      </c>
      <c r="BE65" s="3">
        <v>0.38400000000000001</v>
      </c>
      <c r="BF65" s="3">
        <v>0.46100000000000002</v>
      </c>
      <c r="BG65" s="3">
        <v>0.20408333400000001</v>
      </c>
      <c r="BH65" s="3">
        <v>0.191</v>
      </c>
      <c r="BI65" s="3">
        <v>0.86250000000000004</v>
      </c>
      <c r="BJ65" s="3">
        <v>0.28766666699999999</v>
      </c>
      <c r="BK65" s="3">
        <v>0.48099999999999998</v>
      </c>
      <c r="BL65" s="3">
        <v>9.7666666999999999E-2</v>
      </c>
      <c r="BM65" s="3">
        <v>0.01</v>
      </c>
      <c r="BN65" s="3">
        <v>0.16</v>
      </c>
      <c r="BO65" s="3">
        <v>6.0000000000000001E-3</v>
      </c>
      <c r="BP65" s="48" t="s">
        <v>311</v>
      </c>
      <c r="BQ65" s="49" t="s">
        <v>338</v>
      </c>
      <c r="BR65" s="3">
        <v>8.6189999999999998</v>
      </c>
      <c r="BS65" s="3">
        <v>7.4340000000000002</v>
      </c>
      <c r="BT65" s="3">
        <v>7.7919999999999998</v>
      </c>
      <c r="BU65" s="3">
        <v>5.6849999999999996</v>
      </c>
      <c r="BV65" s="3">
        <v>7.218</v>
      </c>
      <c r="BW65" s="3">
        <v>7.5339999999999998</v>
      </c>
      <c r="BX65" s="3">
        <v>4.3730000000000002</v>
      </c>
      <c r="BY65" s="3">
        <v>8.359</v>
      </c>
      <c r="BZ65" s="3">
        <v>7.53</v>
      </c>
      <c r="CA65" s="3">
        <v>8.8019999999999996</v>
      </c>
      <c r="CB65" s="3">
        <v>7.7549999999999999</v>
      </c>
      <c r="CC65" s="3">
        <v>6.6230000000000002</v>
      </c>
      <c r="CD65" s="3">
        <v>5.3129999999999997</v>
      </c>
    </row>
    <row r="66" spans="1:82" x14ac:dyDescent="0.3">
      <c r="A66" s="48" t="s">
        <v>311</v>
      </c>
      <c r="B66" s="49" t="s">
        <v>339</v>
      </c>
      <c r="C66" s="3">
        <v>27.929022</v>
      </c>
      <c r="D66" s="3">
        <v>32.025509999999997</v>
      </c>
      <c r="E66" s="3">
        <v>32.025509999999997</v>
      </c>
      <c r="F66" s="3">
        <v>26.818110000000001</v>
      </c>
      <c r="G66" s="3">
        <v>26.818110000000001</v>
      </c>
      <c r="H66" s="3">
        <v>32.025509999999997</v>
      </c>
      <c r="I66" s="48" t="s">
        <v>311</v>
      </c>
      <c r="J66" s="49" t="s">
        <v>339</v>
      </c>
      <c r="K66" s="3">
        <v>37871</v>
      </c>
      <c r="L66" s="48" t="s">
        <v>311</v>
      </c>
      <c r="M66" s="49" t="s">
        <v>339</v>
      </c>
      <c r="N66" s="3">
        <v>3815.1471099999999</v>
      </c>
      <c r="O66" s="3">
        <v>6397.725657</v>
      </c>
      <c r="P66" s="3">
        <v>4195.9698580000004</v>
      </c>
      <c r="Q66" s="3">
        <v>3685.7514510000001</v>
      </c>
      <c r="R66" s="3">
        <v>4314.9828619999998</v>
      </c>
      <c r="S66" s="3">
        <v>6646.9821590000001</v>
      </c>
      <c r="T66" s="3">
        <v>5044.3327920000002</v>
      </c>
      <c r="U66" s="3">
        <v>4567.3901889999997</v>
      </c>
      <c r="V66" s="3">
        <v>2791.0322120000001</v>
      </c>
      <c r="W66" s="3">
        <v>2028.0584180000001</v>
      </c>
      <c r="X66" s="3">
        <v>4310.239834</v>
      </c>
      <c r="Y66" s="3">
        <v>424.11896380000002</v>
      </c>
      <c r="Z66" s="3">
        <v>1527.6630809999999</v>
      </c>
      <c r="AA66" s="48" t="s">
        <v>311</v>
      </c>
      <c r="AB66" s="49" t="s">
        <v>339</v>
      </c>
      <c r="AC66" s="3">
        <v>0.24</v>
      </c>
      <c r="AD66" s="3">
        <v>0.69499999999999995</v>
      </c>
      <c r="AE66" s="3">
        <v>0.27300000000000002</v>
      </c>
      <c r="AF66" s="3">
        <v>0.56499999999999995</v>
      </c>
      <c r="AG66" s="3">
        <v>0.309</v>
      </c>
      <c r="AH66" s="3">
        <v>0.66300000000000003</v>
      </c>
      <c r="AI66" s="3">
        <v>0.20300000000000001</v>
      </c>
      <c r="AJ66" s="3">
        <v>0.374</v>
      </c>
      <c r="AK66" s="3">
        <v>0.36799999999999999</v>
      </c>
      <c r="AL66" s="3">
        <v>0.90300000000000002</v>
      </c>
      <c r="AM66" s="3">
        <v>0.376</v>
      </c>
      <c r="AN66" s="3">
        <v>0.91</v>
      </c>
      <c r="AO66" s="3">
        <v>0.109</v>
      </c>
      <c r="AP66" s="3">
        <v>0.91</v>
      </c>
      <c r="AQ66" s="3">
        <v>0.42599999999999999</v>
      </c>
      <c r="AR66" s="3">
        <v>0.54600000000000004</v>
      </c>
      <c r="AS66" s="3">
        <v>0.437</v>
      </c>
      <c r="AT66" s="3">
        <v>0.32</v>
      </c>
      <c r="AU66" s="3">
        <v>0.437</v>
      </c>
      <c r="AV66" s="3">
        <v>9.6000000000000002E-2</v>
      </c>
      <c r="AW66" s="3">
        <v>0.45</v>
      </c>
      <c r="AX66" s="3">
        <v>0.186</v>
      </c>
      <c r="AY66" s="3">
        <v>0.34200000000000003</v>
      </c>
      <c r="AZ66" s="3">
        <v>0.221</v>
      </c>
      <c r="BA66" s="3">
        <v>0.44</v>
      </c>
      <c r="BB66" s="3">
        <v>9.6000000000000002E-2</v>
      </c>
      <c r="BC66" s="3">
        <v>0.127</v>
      </c>
      <c r="BD66" s="3">
        <v>7.1499999999999994E-2</v>
      </c>
      <c r="BE66" s="3">
        <v>0.3785</v>
      </c>
      <c r="BF66" s="3">
        <v>0.46466666699999998</v>
      </c>
      <c r="BG66" s="3">
        <v>0.18433333399999999</v>
      </c>
      <c r="BH66" s="3">
        <v>0.189</v>
      </c>
      <c r="BI66" s="3">
        <v>0.85199999999999998</v>
      </c>
      <c r="BJ66" s="3">
        <v>0.241666667</v>
      </c>
      <c r="BK66" s="3">
        <v>0.42799999999999999</v>
      </c>
      <c r="BL66" s="3">
        <v>8.8666667000000005E-2</v>
      </c>
      <c r="BM66" s="3">
        <v>0.01</v>
      </c>
      <c r="BN66" s="3">
        <v>0.174666667</v>
      </c>
      <c r="BO66" s="3">
        <v>4.0000000000000001E-3</v>
      </c>
      <c r="BP66" s="48" t="s">
        <v>311</v>
      </c>
      <c r="BQ66" s="49" t="s">
        <v>339</v>
      </c>
      <c r="BR66" s="3">
        <v>7.9249999999999998</v>
      </c>
      <c r="BS66" s="3">
        <v>6.9359999999999999</v>
      </c>
      <c r="BT66" s="3">
        <v>6.9820000000000002</v>
      </c>
      <c r="BU66" s="3">
        <v>5.4279999999999999</v>
      </c>
      <c r="BV66" s="3">
        <v>7.4859999999999998</v>
      </c>
      <c r="BW66" s="3">
        <v>7.6710000000000003</v>
      </c>
      <c r="BX66" s="3">
        <v>4.2149999999999999</v>
      </c>
      <c r="BY66" s="3">
        <v>7.9790000000000001</v>
      </c>
      <c r="BZ66" s="3">
        <v>7.851</v>
      </c>
      <c r="CA66" s="3">
        <v>8.7899999999999991</v>
      </c>
      <c r="CB66" s="3">
        <v>7.673</v>
      </c>
      <c r="CC66" s="3">
        <v>6.4530000000000003</v>
      </c>
      <c r="CD66" s="3">
        <v>5.2110000000000003</v>
      </c>
    </row>
    <row r="67" spans="1:82" x14ac:dyDescent="0.3">
      <c r="A67" s="48" t="s">
        <v>311</v>
      </c>
      <c r="B67" s="49" t="s">
        <v>340</v>
      </c>
      <c r="C67" s="3">
        <v>28.076564999999999</v>
      </c>
      <c r="D67" s="3">
        <v>34.368839999999999</v>
      </c>
      <c r="E67" s="3">
        <v>34.368839999999999</v>
      </c>
      <c r="F67" s="3">
        <v>27.130554</v>
      </c>
      <c r="G67" s="3">
        <v>34.368839999999999</v>
      </c>
      <c r="H67" s="3">
        <v>34.368839999999999</v>
      </c>
      <c r="I67" s="48" t="s">
        <v>311</v>
      </c>
      <c r="J67" s="49" t="s">
        <v>340</v>
      </c>
      <c r="K67" s="3">
        <v>39902.5</v>
      </c>
      <c r="L67" s="48" t="s">
        <v>311</v>
      </c>
      <c r="M67" s="49" t="s">
        <v>340</v>
      </c>
      <c r="N67" s="3">
        <v>4721.4599520000002</v>
      </c>
      <c r="O67" s="3">
        <v>7547.613335</v>
      </c>
      <c r="P67" s="3">
        <v>5162.1430060000002</v>
      </c>
      <c r="Q67" s="3">
        <v>4573.7391779999998</v>
      </c>
      <c r="R67" s="3">
        <v>5338.416287</v>
      </c>
      <c r="S67" s="3">
        <v>8152.9274530000002</v>
      </c>
      <c r="T67" s="3">
        <v>6314.3267320000004</v>
      </c>
      <c r="U67" s="3">
        <v>5670.0333540000001</v>
      </c>
      <c r="V67" s="3">
        <v>3464.2188420000002</v>
      </c>
      <c r="W67" s="3">
        <v>2550.4894509999999</v>
      </c>
      <c r="X67" s="3">
        <v>5695.1029390000003</v>
      </c>
      <c r="Y67" s="3">
        <v>601.742751</v>
      </c>
      <c r="Z67" s="3">
        <v>1773.3865020000001</v>
      </c>
      <c r="AA67" s="48" t="s">
        <v>311</v>
      </c>
      <c r="AB67" s="49" t="s">
        <v>340</v>
      </c>
      <c r="AC67" s="3">
        <v>0.112</v>
      </c>
      <c r="AD67" s="3">
        <v>0.53100000000000003</v>
      </c>
      <c r="AE67" s="3">
        <v>0.15</v>
      </c>
      <c r="AF67" s="3">
        <v>0.45400000000000001</v>
      </c>
      <c r="AG67" s="3">
        <v>0.17699999999999999</v>
      </c>
      <c r="AH67" s="3">
        <v>0.65400000000000003</v>
      </c>
      <c r="AI67" s="3">
        <v>0.11</v>
      </c>
      <c r="AJ67" s="3">
        <v>0.23200000000000001</v>
      </c>
      <c r="AK67" s="3">
        <v>0.17499999999999999</v>
      </c>
      <c r="AL67" s="3">
        <v>0.88</v>
      </c>
      <c r="AM67" s="3">
        <v>0.219</v>
      </c>
      <c r="AN67" s="3">
        <v>0.90400000000000003</v>
      </c>
      <c r="AO67" s="3">
        <v>4.8000000000000001E-2</v>
      </c>
      <c r="AP67" s="3">
        <v>0.90400000000000003</v>
      </c>
      <c r="AQ67" s="3">
        <v>0.221</v>
      </c>
      <c r="AR67" s="3">
        <v>0.32300000000000001</v>
      </c>
      <c r="AS67" s="3">
        <v>0.22600000000000001</v>
      </c>
      <c r="AT67" s="3">
        <v>0.192</v>
      </c>
      <c r="AU67" s="3">
        <v>0.22600000000000001</v>
      </c>
      <c r="AV67" s="3">
        <v>5.3999999999999999E-2</v>
      </c>
      <c r="AW67" s="3">
        <v>0.252</v>
      </c>
      <c r="AX67" s="3">
        <v>0.153</v>
      </c>
      <c r="AY67" s="3">
        <v>0.19</v>
      </c>
      <c r="AZ67" s="3">
        <v>0.185</v>
      </c>
      <c r="BA67" s="3">
        <v>0.25800000000000001</v>
      </c>
      <c r="BB67" s="3">
        <v>0.112</v>
      </c>
      <c r="BC67" s="3">
        <v>0.14349999999999999</v>
      </c>
      <c r="BD67" s="3">
        <v>8.6999999999999994E-2</v>
      </c>
      <c r="BE67" s="3">
        <v>0.39550000000000002</v>
      </c>
      <c r="BF67" s="3">
        <v>0.47133333300000002</v>
      </c>
      <c r="BG67" s="3">
        <v>0.17908333400000001</v>
      </c>
      <c r="BH67" s="3">
        <v>0.19</v>
      </c>
      <c r="BI67" s="3">
        <v>0.84399999999999997</v>
      </c>
      <c r="BJ67" s="3">
        <v>0.21466666700000001</v>
      </c>
      <c r="BK67" s="3">
        <v>0.3775</v>
      </c>
      <c r="BL67" s="3">
        <v>8.4333332999999996E-2</v>
      </c>
      <c r="BM67" s="3">
        <v>0.01</v>
      </c>
      <c r="BN67" s="3">
        <v>0.20733333300000001</v>
      </c>
      <c r="BO67" s="3">
        <v>6.0000000000000001E-3</v>
      </c>
      <c r="BP67" s="48" t="s">
        <v>311</v>
      </c>
      <c r="BQ67" s="49" t="s">
        <v>340</v>
      </c>
      <c r="BR67" s="3">
        <v>7.3929999999999998</v>
      </c>
      <c r="BS67" s="3">
        <v>6.7939999999999996</v>
      </c>
      <c r="BT67" s="3">
        <v>6.2489999999999997</v>
      </c>
      <c r="BU67" s="3">
        <v>5.15</v>
      </c>
      <c r="BV67" s="3">
        <v>7.4219999999999997</v>
      </c>
      <c r="BW67" s="3">
        <v>7.7850000000000001</v>
      </c>
      <c r="BX67" s="3">
        <v>3.9180000000000001</v>
      </c>
      <c r="BY67" s="3">
        <v>7.7069999999999999</v>
      </c>
      <c r="BZ67" s="3">
        <v>7.835</v>
      </c>
      <c r="CA67" s="3">
        <v>8.5640000000000001</v>
      </c>
      <c r="CB67" s="3">
        <v>7.1989999999999998</v>
      </c>
      <c r="CC67" s="3">
        <v>6.2320000000000002</v>
      </c>
      <c r="CD67" s="3">
        <v>4.8159999999999998</v>
      </c>
    </row>
    <row r="68" spans="1:82" x14ac:dyDescent="0.3">
      <c r="A68" s="48" t="s">
        <v>311</v>
      </c>
      <c r="B68" s="49" t="s">
        <v>341</v>
      </c>
      <c r="C68" s="3">
        <v>38.248353000000002</v>
      </c>
      <c r="D68" s="3">
        <v>36.798960000000001</v>
      </c>
      <c r="E68" s="3">
        <v>36.798960000000001</v>
      </c>
      <c r="F68" s="3">
        <v>27.989775000000002</v>
      </c>
      <c r="G68" s="3">
        <v>36.798960000000001</v>
      </c>
      <c r="H68" s="3">
        <v>36.798960000000001</v>
      </c>
      <c r="I68" s="48" t="s">
        <v>311</v>
      </c>
      <c r="J68" s="49" t="s">
        <v>341</v>
      </c>
      <c r="K68" s="3">
        <v>41881</v>
      </c>
      <c r="L68" s="48" t="s">
        <v>311</v>
      </c>
      <c r="M68" s="49" t="s">
        <v>341</v>
      </c>
      <c r="N68" s="3">
        <v>6453.4191410000003</v>
      </c>
      <c r="O68" s="3">
        <v>9598.6755059999996</v>
      </c>
      <c r="P68" s="3">
        <v>6449.377219</v>
      </c>
      <c r="Q68" s="3">
        <v>5519.5999510000001</v>
      </c>
      <c r="R68" s="3">
        <v>6640.8036389999997</v>
      </c>
      <c r="S68" s="3">
        <v>10643.04917</v>
      </c>
      <c r="T68" s="3">
        <v>7975.5288529999998</v>
      </c>
      <c r="U68" s="3">
        <v>7882.2081760000001</v>
      </c>
      <c r="V68" s="3">
        <v>5353.567438</v>
      </c>
      <c r="W68" s="3">
        <v>4012.8908179999999</v>
      </c>
      <c r="X68" s="3">
        <v>7654.4485139999997</v>
      </c>
      <c r="Y68" s="3">
        <v>922.10897950000003</v>
      </c>
      <c r="Z68" s="3">
        <v>2227.8274470000001</v>
      </c>
      <c r="AA68" s="48" t="s">
        <v>311</v>
      </c>
      <c r="AB68" s="49" t="s">
        <v>341</v>
      </c>
      <c r="AC68" s="3">
        <v>0.02</v>
      </c>
      <c r="AD68" s="3">
        <v>0.43</v>
      </c>
      <c r="AE68" s="3">
        <v>3.5000000000000003E-2</v>
      </c>
      <c r="AF68" s="3">
        <v>0.42899999999999999</v>
      </c>
      <c r="AG68" s="3">
        <v>3.7999999999999999E-2</v>
      </c>
      <c r="AH68" s="3">
        <v>0.624</v>
      </c>
      <c r="AI68" s="3">
        <v>2.8000000000000001E-2</v>
      </c>
      <c r="AJ68" s="3">
        <v>0.183</v>
      </c>
      <c r="AK68" s="3">
        <v>3.4000000000000002E-2</v>
      </c>
      <c r="AL68" s="3">
        <v>0.86399999999999999</v>
      </c>
      <c r="AM68" s="3">
        <v>5.5E-2</v>
      </c>
      <c r="AN68" s="3">
        <v>0.91500000000000004</v>
      </c>
      <c r="AO68" s="3">
        <v>8.0000000000000002E-3</v>
      </c>
      <c r="AP68" s="3">
        <v>0.91500000000000004</v>
      </c>
      <c r="AQ68" s="3">
        <v>4.1000000000000002E-2</v>
      </c>
      <c r="AR68" s="3">
        <v>0.21099999999999999</v>
      </c>
      <c r="AS68" s="3">
        <v>4.9000000000000002E-2</v>
      </c>
      <c r="AT68" s="3">
        <v>0.14699999999999999</v>
      </c>
      <c r="AU68" s="3">
        <v>4.9000000000000002E-2</v>
      </c>
      <c r="AV68" s="3">
        <v>2.8000000000000001E-2</v>
      </c>
      <c r="AW68" s="3">
        <v>6.5000000000000002E-2</v>
      </c>
      <c r="AX68" s="3">
        <v>0.14099999999999999</v>
      </c>
      <c r="AY68" s="3">
        <v>4.8000000000000001E-2</v>
      </c>
      <c r="AZ68" s="3">
        <v>0.14000000000000001</v>
      </c>
      <c r="BA68" s="3">
        <v>7.3999999999999996E-2</v>
      </c>
      <c r="BB68" s="3">
        <v>9.8000000000000004E-2</v>
      </c>
      <c r="BC68" s="3">
        <v>0.2</v>
      </c>
      <c r="BD68" s="3">
        <v>0.16200000000000001</v>
      </c>
      <c r="BE68" s="3">
        <v>0.50600000000000001</v>
      </c>
      <c r="BF68" s="3">
        <v>0.505</v>
      </c>
      <c r="BG68" s="3">
        <v>0.204166667</v>
      </c>
      <c r="BH68" s="3">
        <v>0.20799999999999999</v>
      </c>
      <c r="BI68" s="3">
        <v>0.85499999999999998</v>
      </c>
      <c r="BJ68" s="3">
        <v>0.20833333300000001</v>
      </c>
      <c r="BK68" s="3">
        <v>0.3705</v>
      </c>
      <c r="BL68" s="3">
        <v>7.7333333000000004E-2</v>
      </c>
      <c r="BM68" s="3">
        <v>0.01</v>
      </c>
      <c r="BN68" s="3">
        <v>0.26566666700000002</v>
      </c>
      <c r="BO68" s="3">
        <v>2.5999999999999999E-2</v>
      </c>
      <c r="BP68" s="48" t="s">
        <v>311</v>
      </c>
      <c r="BQ68" s="49" t="s">
        <v>341</v>
      </c>
      <c r="BR68" s="3">
        <v>6.8970000000000002</v>
      </c>
      <c r="BS68" s="3">
        <v>6.5659999999999998</v>
      </c>
      <c r="BT68" s="3">
        <v>5.9</v>
      </c>
      <c r="BU68" s="3">
        <v>4.8010000000000002</v>
      </c>
      <c r="BV68" s="3">
        <v>6.6310000000000002</v>
      </c>
      <c r="BW68" s="3">
        <v>7.8879999999999999</v>
      </c>
      <c r="BX68" s="3">
        <v>3.347</v>
      </c>
      <c r="BY68" s="3">
        <v>7.335</v>
      </c>
      <c r="BZ68" s="3">
        <v>7.2640000000000002</v>
      </c>
      <c r="CA68" s="3">
        <v>7.43</v>
      </c>
      <c r="CB68" s="3">
        <v>5.8760000000000003</v>
      </c>
      <c r="CC68" s="3">
        <v>5.7089999999999996</v>
      </c>
      <c r="CD68" s="3">
        <v>4.1719999999999997</v>
      </c>
    </row>
    <row r="69" spans="1:82" x14ac:dyDescent="0.3">
      <c r="A69" s="48" t="s">
        <v>311</v>
      </c>
      <c r="B69" s="49" t="s">
        <v>342</v>
      </c>
      <c r="C69" s="3">
        <v>51.935136</v>
      </c>
      <c r="D69" s="3">
        <v>42.023718000000002</v>
      </c>
      <c r="E69" s="3">
        <v>39.055500000000002</v>
      </c>
      <c r="F69" s="3">
        <v>27.746763000000001</v>
      </c>
      <c r="G69" s="3">
        <v>29.543316000000001</v>
      </c>
      <c r="H69" s="3">
        <v>40.826016000000003</v>
      </c>
      <c r="I69" s="48" t="s">
        <v>311</v>
      </c>
      <c r="J69" s="49" t="s">
        <v>342</v>
      </c>
      <c r="K69" s="3">
        <v>44046.5</v>
      </c>
      <c r="L69" s="48" t="s">
        <v>311</v>
      </c>
      <c r="M69" s="49" t="s">
        <v>342</v>
      </c>
      <c r="N69" s="3">
        <v>7604.0823149999997</v>
      </c>
      <c r="O69" s="3">
        <v>10671.748089999999</v>
      </c>
      <c r="P69" s="3">
        <v>6930.284353</v>
      </c>
      <c r="Q69" s="3">
        <v>6047.7308409999996</v>
      </c>
      <c r="R69" s="3">
        <v>8057.216813</v>
      </c>
      <c r="S69" s="3">
        <v>12209.376109999999</v>
      </c>
      <c r="T69" s="3">
        <v>9171.7848740000009</v>
      </c>
      <c r="U69" s="3">
        <v>9533.5716620000003</v>
      </c>
      <c r="V69" s="3">
        <v>6505.5822619999999</v>
      </c>
      <c r="W69" s="3">
        <v>5139.6230939999996</v>
      </c>
      <c r="X69" s="3">
        <v>8254.6024400000006</v>
      </c>
      <c r="Y69" s="3">
        <v>1117.3615709999999</v>
      </c>
      <c r="Z69" s="3">
        <v>2954.8923169999998</v>
      </c>
      <c r="AA69" s="48" t="s">
        <v>311</v>
      </c>
      <c r="AB69" s="49" t="s">
        <v>342</v>
      </c>
      <c r="AC69" s="3">
        <v>0</v>
      </c>
      <c r="AD69" s="3">
        <v>0.35299999999999998</v>
      </c>
      <c r="AE69" s="3">
        <v>0</v>
      </c>
      <c r="AF69" s="3">
        <v>0.43</v>
      </c>
      <c r="AG69" s="3">
        <v>0</v>
      </c>
      <c r="AH69" s="3">
        <v>0.61199999999999999</v>
      </c>
      <c r="AI69" s="3">
        <v>0</v>
      </c>
      <c r="AJ69" s="3">
        <v>0.17399999999999999</v>
      </c>
      <c r="AK69" s="3">
        <v>0</v>
      </c>
      <c r="AL69" s="3">
        <v>0.86299999999999999</v>
      </c>
      <c r="AM69" s="3">
        <v>0</v>
      </c>
      <c r="AN69" s="3">
        <v>0.92300000000000004</v>
      </c>
      <c r="AO69" s="3">
        <v>0</v>
      </c>
      <c r="AP69" s="3">
        <v>0.92300000000000004</v>
      </c>
      <c r="AQ69" s="3">
        <v>0</v>
      </c>
      <c r="AR69" s="3">
        <v>0.16900000000000001</v>
      </c>
      <c r="AS69" s="3">
        <v>0</v>
      </c>
      <c r="AT69" s="3">
        <v>0.126</v>
      </c>
      <c r="AU69" s="3">
        <v>0</v>
      </c>
      <c r="AV69" s="3">
        <v>1.2E-2</v>
      </c>
      <c r="AW69" s="3">
        <v>0</v>
      </c>
      <c r="AX69" s="3">
        <v>0.13800000000000001</v>
      </c>
      <c r="AY69" s="3">
        <v>0</v>
      </c>
      <c r="AZ69" s="3">
        <v>0.11700000000000001</v>
      </c>
      <c r="BA69" s="3">
        <v>0</v>
      </c>
      <c r="BB69" s="3">
        <v>0.111</v>
      </c>
      <c r="BC69" s="3">
        <v>0.30199999999999999</v>
      </c>
      <c r="BD69" s="3">
        <v>0.311</v>
      </c>
      <c r="BE69" s="3">
        <v>0.64049999999999996</v>
      </c>
      <c r="BF69" s="3">
        <v>0.58099999999999996</v>
      </c>
      <c r="BG69" s="3">
        <v>0.2515</v>
      </c>
      <c r="BH69" s="3">
        <v>0.27700000000000002</v>
      </c>
      <c r="BI69" s="3">
        <v>0.86950000000000005</v>
      </c>
      <c r="BJ69" s="3">
        <v>0.20100000000000001</v>
      </c>
      <c r="BK69" s="3">
        <v>0.377</v>
      </c>
      <c r="BL69" s="3">
        <v>6.3E-2</v>
      </c>
      <c r="BM69" s="3">
        <v>0.01</v>
      </c>
      <c r="BN69" s="3">
        <v>0.34166666699999998</v>
      </c>
      <c r="BO69" s="3">
        <v>4.7E-2</v>
      </c>
      <c r="BP69" s="48" t="s">
        <v>311</v>
      </c>
      <c r="BQ69" s="49" t="s">
        <v>342</v>
      </c>
      <c r="BR69" s="3">
        <v>6.3330000000000002</v>
      </c>
      <c r="BS69" s="3">
        <v>6.0579999999999998</v>
      </c>
      <c r="BT69" s="3">
        <v>5.8869999999999996</v>
      </c>
      <c r="BU69" s="3">
        <v>4.49</v>
      </c>
      <c r="BV69" s="3">
        <v>5.5860000000000003</v>
      </c>
      <c r="BW69" s="3">
        <v>7.9660000000000002</v>
      </c>
      <c r="BX69" s="3">
        <v>2.8570000000000002</v>
      </c>
      <c r="BY69" s="3">
        <v>6.9219999999999997</v>
      </c>
      <c r="BZ69" s="3">
        <v>6.72</v>
      </c>
      <c r="CA69" s="3">
        <v>6.6639999999999997</v>
      </c>
      <c r="CB69" s="3">
        <v>3.89</v>
      </c>
      <c r="CC69" s="3">
        <v>4.7060000000000004</v>
      </c>
      <c r="CD69" s="3">
        <v>3.1429999999999998</v>
      </c>
    </row>
    <row r="70" spans="1:82" x14ac:dyDescent="0.3">
      <c r="A70" s="48" t="s">
        <v>311</v>
      </c>
      <c r="B70" s="49" t="s">
        <v>343</v>
      </c>
      <c r="C70" s="3">
        <v>60.579419999999999</v>
      </c>
      <c r="D70" s="3">
        <v>42.067112999999999</v>
      </c>
      <c r="E70" s="3">
        <v>33.830742000000001</v>
      </c>
      <c r="F70" s="3">
        <v>27.121874999999999</v>
      </c>
      <c r="G70" s="3">
        <v>27.121874999999999</v>
      </c>
      <c r="H70" s="3">
        <v>37.258946999999999</v>
      </c>
      <c r="I70" s="48" t="s">
        <v>311</v>
      </c>
      <c r="J70" s="49" t="s">
        <v>343</v>
      </c>
      <c r="K70" s="3">
        <v>44284</v>
      </c>
      <c r="L70" s="48" t="s">
        <v>311</v>
      </c>
      <c r="M70" s="49" t="s">
        <v>343</v>
      </c>
      <c r="N70" s="3">
        <v>8260.7562180000004</v>
      </c>
      <c r="O70" s="3">
        <v>11067.89927</v>
      </c>
      <c r="P70" s="3">
        <v>7004.0133949999999</v>
      </c>
      <c r="Q70" s="3">
        <v>6128.2739240000001</v>
      </c>
      <c r="R70" s="3">
        <v>9528.1575479999992</v>
      </c>
      <c r="S70" s="3">
        <v>12935.34036</v>
      </c>
      <c r="T70" s="3">
        <v>9643.8701920000003</v>
      </c>
      <c r="U70" s="3">
        <v>10764.33252</v>
      </c>
      <c r="V70" s="3">
        <v>7244.8874679999999</v>
      </c>
      <c r="W70" s="3">
        <v>6176.5397750000002</v>
      </c>
      <c r="X70" s="3">
        <v>9146.0594939999992</v>
      </c>
      <c r="Y70" s="3">
        <v>1182.921497</v>
      </c>
      <c r="Z70" s="3">
        <v>3906.0317879999998</v>
      </c>
      <c r="AA70" s="48" t="s">
        <v>311</v>
      </c>
      <c r="AB70" s="49" t="s">
        <v>343</v>
      </c>
      <c r="AC70" s="3">
        <v>0</v>
      </c>
      <c r="AD70" s="3">
        <v>0.29899999999999999</v>
      </c>
      <c r="AE70" s="3">
        <v>0</v>
      </c>
      <c r="AF70" s="3">
        <v>0.372</v>
      </c>
      <c r="AG70" s="3">
        <v>0</v>
      </c>
      <c r="AH70" s="3">
        <v>0.58399999999999996</v>
      </c>
      <c r="AI70" s="3">
        <v>0</v>
      </c>
      <c r="AJ70" s="3">
        <v>0.151</v>
      </c>
      <c r="AK70" s="3">
        <v>0</v>
      </c>
      <c r="AL70" s="3">
        <v>0.89800000000000002</v>
      </c>
      <c r="AM70" s="3">
        <v>0</v>
      </c>
      <c r="AN70" s="3">
        <v>0.92100000000000004</v>
      </c>
      <c r="AO70" s="3">
        <v>0</v>
      </c>
      <c r="AP70" s="3">
        <v>0.92100000000000004</v>
      </c>
      <c r="AQ70" s="3">
        <v>0</v>
      </c>
      <c r="AR70" s="3">
        <v>0.13600000000000001</v>
      </c>
      <c r="AS70" s="3">
        <v>0</v>
      </c>
      <c r="AT70" s="3">
        <v>0.10199999999999999</v>
      </c>
      <c r="AU70" s="3">
        <v>0</v>
      </c>
      <c r="AV70" s="3">
        <v>5.0000000000000001E-3</v>
      </c>
      <c r="AW70" s="3">
        <v>0</v>
      </c>
      <c r="AX70" s="3">
        <v>0.113</v>
      </c>
      <c r="AY70" s="3">
        <v>0</v>
      </c>
      <c r="AZ70" s="3">
        <v>8.5999999999999993E-2</v>
      </c>
      <c r="BA70" s="3">
        <v>0</v>
      </c>
      <c r="BB70" s="3">
        <v>0.123</v>
      </c>
      <c r="BC70" s="3">
        <v>0.42849999999999999</v>
      </c>
      <c r="BD70" s="3">
        <v>0.47949999999999998</v>
      </c>
      <c r="BE70" s="3">
        <v>0.69650000000000001</v>
      </c>
      <c r="BF70" s="3">
        <v>0.64233333299999995</v>
      </c>
      <c r="BG70" s="3">
        <v>0.29658333399999998</v>
      </c>
      <c r="BH70" s="3">
        <v>0.39200000000000002</v>
      </c>
      <c r="BI70" s="3">
        <v>0.88449999999999995</v>
      </c>
      <c r="BJ70" s="3">
        <v>0.16466666699999999</v>
      </c>
      <c r="BK70" s="3">
        <v>0.34449999999999997</v>
      </c>
      <c r="BL70" s="3">
        <v>4.5333333000000003E-2</v>
      </c>
      <c r="BM70" s="3">
        <v>0.01</v>
      </c>
      <c r="BN70" s="3">
        <v>0.41699999999999998</v>
      </c>
      <c r="BO70" s="3">
        <v>7.3999999999999996E-2</v>
      </c>
      <c r="BP70" s="48" t="s">
        <v>311</v>
      </c>
      <c r="BQ70" s="49" t="s">
        <v>343</v>
      </c>
      <c r="BR70" s="3">
        <v>6.0529999999999999</v>
      </c>
      <c r="BS70" s="3">
        <v>5.617</v>
      </c>
      <c r="BT70" s="3">
        <v>5.94</v>
      </c>
      <c r="BU70" s="3">
        <v>4.2910000000000004</v>
      </c>
      <c r="BV70" s="3">
        <v>5.24</v>
      </c>
      <c r="BW70" s="3">
        <v>8.1129999999999995</v>
      </c>
      <c r="BX70" s="3">
        <v>2.6629999999999998</v>
      </c>
      <c r="BY70" s="3">
        <v>6.7969999999999997</v>
      </c>
      <c r="BZ70" s="3">
        <v>6.649</v>
      </c>
      <c r="CA70" s="3">
        <v>6.6920000000000002</v>
      </c>
      <c r="CB70" s="3">
        <v>3.073</v>
      </c>
      <c r="CC70" s="3">
        <v>4.4889999999999999</v>
      </c>
      <c r="CD70" s="3">
        <v>2.863</v>
      </c>
    </row>
    <row r="71" spans="1:82" x14ac:dyDescent="0.3">
      <c r="A71" s="48" t="s">
        <v>311</v>
      </c>
      <c r="B71" s="49" t="s">
        <v>344</v>
      </c>
      <c r="C71" s="3">
        <v>50.937050999999997</v>
      </c>
      <c r="D71" s="3">
        <v>38.725698000000001</v>
      </c>
      <c r="E71" s="3">
        <v>27.929022</v>
      </c>
      <c r="F71" s="3">
        <v>26.974332</v>
      </c>
      <c r="G71" s="3">
        <v>26.974332</v>
      </c>
      <c r="H71" s="3">
        <v>32.450780999999999</v>
      </c>
      <c r="I71" s="48" t="s">
        <v>311</v>
      </c>
      <c r="J71" s="49" t="s">
        <v>344</v>
      </c>
      <c r="K71" s="3">
        <v>41787.5</v>
      </c>
      <c r="L71" s="48" t="s">
        <v>311</v>
      </c>
      <c r="M71" s="49" t="s">
        <v>344</v>
      </c>
      <c r="N71" s="3">
        <v>7682.4446109999999</v>
      </c>
      <c r="O71" s="3">
        <v>10408.7318</v>
      </c>
      <c r="P71" s="3">
        <v>6431.3785740000003</v>
      </c>
      <c r="Q71" s="3">
        <v>5697.7652040000003</v>
      </c>
      <c r="R71" s="3">
        <v>9349.2500889999992</v>
      </c>
      <c r="S71" s="3">
        <v>12146.96249</v>
      </c>
      <c r="T71" s="3">
        <v>9257.9696509999994</v>
      </c>
      <c r="U71" s="3">
        <v>10135.45506</v>
      </c>
      <c r="V71" s="3">
        <v>6810.2336690000002</v>
      </c>
      <c r="W71" s="3">
        <v>6001.9085439999999</v>
      </c>
      <c r="X71" s="3">
        <v>8681.8657879999992</v>
      </c>
      <c r="Y71" s="3">
        <v>1102.499</v>
      </c>
      <c r="Z71" s="3">
        <v>3960.2971160000002</v>
      </c>
      <c r="AA71" s="48" t="s">
        <v>311</v>
      </c>
      <c r="AB71" s="49" t="s">
        <v>344</v>
      </c>
      <c r="AC71" s="3">
        <v>0</v>
      </c>
      <c r="AD71" s="3">
        <v>0.25700000000000001</v>
      </c>
      <c r="AE71" s="3">
        <v>0</v>
      </c>
      <c r="AF71" s="3">
        <v>0.30199999999999999</v>
      </c>
      <c r="AG71" s="3">
        <v>0</v>
      </c>
      <c r="AH71" s="3">
        <v>0.52600000000000002</v>
      </c>
      <c r="AI71" s="3">
        <v>0</v>
      </c>
      <c r="AJ71" s="3">
        <v>0.123</v>
      </c>
      <c r="AK71" s="3">
        <v>0</v>
      </c>
      <c r="AL71" s="3">
        <v>0.89800000000000002</v>
      </c>
      <c r="AM71" s="3">
        <v>0</v>
      </c>
      <c r="AN71" s="3">
        <v>0.92200000000000004</v>
      </c>
      <c r="AO71" s="3">
        <v>0</v>
      </c>
      <c r="AP71" s="3">
        <v>0.92200000000000004</v>
      </c>
      <c r="AQ71" s="3">
        <v>0</v>
      </c>
      <c r="AR71" s="3">
        <v>0.11799999999999999</v>
      </c>
      <c r="AS71" s="3">
        <v>0</v>
      </c>
      <c r="AT71" s="3">
        <v>9.0999999999999998E-2</v>
      </c>
      <c r="AU71" s="3">
        <v>0</v>
      </c>
      <c r="AV71" s="3">
        <v>0.01</v>
      </c>
      <c r="AW71" s="3">
        <v>0</v>
      </c>
      <c r="AX71" s="3">
        <v>8.1000000000000003E-2</v>
      </c>
      <c r="AY71" s="3">
        <v>0</v>
      </c>
      <c r="AZ71" s="3">
        <v>5.5E-2</v>
      </c>
      <c r="BA71" s="3">
        <v>0</v>
      </c>
      <c r="BB71" s="3">
        <v>0.109</v>
      </c>
      <c r="BC71" s="3">
        <v>0.54249999999999998</v>
      </c>
      <c r="BD71" s="3">
        <v>0.61899999999999999</v>
      </c>
      <c r="BE71" s="3">
        <v>0.70150000000000001</v>
      </c>
      <c r="BF71" s="3">
        <v>0.67933333299999998</v>
      </c>
      <c r="BG71" s="3">
        <v>0.33308333400000001</v>
      </c>
      <c r="BH71" s="3">
        <v>0.501</v>
      </c>
      <c r="BI71" s="3">
        <v>0.91200000000000003</v>
      </c>
      <c r="BJ71" s="3">
        <v>0.12366666699999999</v>
      </c>
      <c r="BK71" s="3">
        <v>0.27700000000000002</v>
      </c>
      <c r="BL71" s="3">
        <v>3.5333333000000001E-2</v>
      </c>
      <c r="BM71" s="3">
        <v>0.01</v>
      </c>
      <c r="BN71" s="3">
        <v>0.48599999999999999</v>
      </c>
      <c r="BO71" s="3">
        <v>0.11</v>
      </c>
      <c r="BP71" s="48" t="s">
        <v>311</v>
      </c>
      <c r="BQ71" s="49" t="s">
        <v>344</v>
      </c>
      <c r="BR71" s="3">
        <v>5.859</v>
      </c>
      <c r="BS71" s="3">
        <v>5.2030000000000003</v>
      </c>
      <c r="BT71" s="3">
        <v>5.8650000000000002</v>
      </c>
      <c r="BU71" s="3">
        <v>4.0999999999999996</v>
      </c>
      <c r="BV71" s="3">
        <v>5.01</v>
      </c>
      <c r="BW71" s="3">
        <v>8.1660000000000004</v>
      </c>
      <c r="BX71" s="3">
        <v>2.5939999999999999</v>
      </c>
      <c r="BY71" s="3">
        <v>6.7270000000000003</v>
      </c>
      <c r="BZ71" s="3">
        <v>6.5549999999999997</v>
      </c>
      <c r="CA71" s="3">
        <v>6.0389999999999997</v>
      </c>
      <c r="CB71" s="3">
        <v>2.6339999999999999</v>
      </c>
      <c r="CC71" s="3">
        <v>4.3819999999999997</v>
      </c>
      <c r="CD71" s="3">
        <v>2.5990000000000002</v>
      </c>
    </row>
    <row r="72" spans="1:82" x14ac:dyDescent="0.3">
      <c r="A72" s="48" t="s">
        <v>311</v>
      </c>
      <c r="B72" s="49" t="s">
        <v>345</v>
      </c>
      <c r="C72" s="3">
        <v>47.439413999999999</v>
      </c>
      <c r="D72" s="3">
        <v>38.986068000000003</v>
      </c>
      <c r="E72" s="3">
        <v>27.469035000000002</v>
      </c>
      <c r="F72" s="3">
        <v>26.583777000000001</v>
      </c>
      <c r="G72" s="3">
        <v>27.009048</v>
      </c>
      <c r="H72" s="3">
        <v>32.355311999999998</v>
      </c>
      <c r="I72" s="48" t="s">
        <v>311</v>
      </c>
      <c r="J72" s="49" t="s">
        <v>345</v>
      </c>
      <c r="K72" s="3">
        <v>37780.5</v>
      </c>
      <c r="L72" s="48" t="s">
        <v>311</v>
      </c>
      <c r="M72" s="49" t="s">
        <v>345</v>
      </c>
      <c r="N72" s="3">
        <v>6650.7734270000001</v>
      </c>
      <c r="O72" s="3">
        <v>8919.796542</v>
      </c>
      <c r="P72" s="3">
        <v>5554.68048</v>
      </c>
      <c r="Q72" s="3">
        <v>4868.629089</v>
      </c>
      <c r="R72" s="3">
        <v>8440.1964609999995</v>
      </c>
      <c r="S72" s="3">
        <v>10475.784460000001</v>
      </c>
      <c r="T72" s="3">
        <v>8381.426453</v>
      </c>
      <c r="U72" s="3">
        <v>8894.2062740000001</v>
      </c>
      <c r="V72" s="3">
        <v>5961.7832319999998</v>
      </c>
      <c r="W72" s="3">
        <v>5163.3220789999996</v>
      </c>
      <c r="X72" s="3">
        <v>7749.3277209999997</v>
      </c>
      <c r="Y72" s="3">
        <v>914.25268189999997</v>
      </c>
      <c r="Z72" s="3">
        <v>3266.6803770000001</v>
      </c>
      <c r="AA72" s="48" t="s">
        <v>311</v>
      </c>
      <c r="AB72" s="49" t="s">
        <v>345</v>
      </c>
      <c r="AC72" s="3">
        <v>0</v>
      </c>
      <c r="AD72" s="3">
        <v>0.23699999999999999</v>
      </c>
      <c r="AE72" s="3">
        <v>0</v>
      </c>
      <c r="AF72" s="3">
        <v>0.23200000000000001</v>
      </c>
      <c r="AG72" s="3">
        <v>0</v>
      </c>
      <c r="AH72" s="3">
        <v>0.44</v>
      </c>
      <c r="AI72" s="3">
        <v>0</v>
      </c>
      <c r="AJ72" s="3">
        <v>0.115</v>
      </c>
      <c r="AK72" s="3">
        <v>0</v>
      </c>
      <c r="AL72" s="3">
        <v>0.871</v>
      </c>
      <c r="AM72" s="3">
        <v>0</v>
      </c>
      <c r="AN72" s="3">
        <v>0.92500000000000004</v>
      </c>
      <c r="AO72" s="3">
        <v>0</v>
      </c>
      <c r="AP72" s="3">
        <v>0.92500000000000004</v>
      </c>
      <c r="AQ72" s="3">
        <v>0</v>
      </c>
      <c r="AR72" s="3">
        <v>0.11700000000000001</v>
      </c>
      <c r="AS72" s="3">
        <v>0</v>
      </c>
      <c r="AT72" s="3">
        <v>0.108</v>
      </c>
      <c r="AU72" s="3">
        <v>0</v>
      </c>
      <c r="AV72" s="3">
        <v>3.5000000000000003E-2</v>
      </c>
      <c r="AW72" s="3">
        <v>0</v>
      </c>
      <c r="AX72" s="3">
        <v>4.5999999999999999E-2</v>
      </c>
      <c r="AY72" s="3">
        <v>0</v>
      </c>
      <c r="AZ72" s="3">
        <v>0.03</v>
      </c>
      <c r="BA72" s="3">
        <v>0</v>
      </c>
      <c r="BB72" s="3">
        <v>8.5999999999999993E-2</v>
      </c>
      <c r="BC72" s="3">
        <v>0.63200000000000001</v>
      </c>
      <c r="BD72" s="3">
        <v>0.70950000000000002</v>
      </c>
      <c r="BE72" s="3">
        <v>0.70150000000000001</v>
      </c>
      <c r="BF72" s="3">
        <v>0.71033333300000001</v>
      </c>
      <c r="BG72" s="3">
        <v>0.370166667</v>
      </c>
      <c r="BH72" s="3">
        <v>0.59599999999999997</v>
      </c>
      <c r="BI72" s="3">
        <v>0.93400000000000005</v>
      </c>
      <c r="BJ72" s="3">
        <v>0.108333333</v>
      </c>
      <c r="BK72" s="3">
        <v>0.2165</v>
      </c>
      <c r="BL72" s="3">
        <v>4.7666667000000003E-2</v>
      </c>
      <c r="BM72" s="3">
        <v>0.01</v>
      </c>
      <c r="BN72" s="3">
        <v>0.55000000000000004</v>
      </c>
      <c r="BO72" s="3">
        <v>0.157</v>
      </c>
      <c r="BP72" s="48" t="s">
        <v>311</v>
      </c>
      <c r="BQ72" s="49" t="s">
        <v>345</v>
      </c>
      <c r="BR72" s="3">
        <v>5.7</v>
      </c>
      <c r="BS72" s="3">
        <v>4.931</v>
      </c>
      <c r="BT72" s="3">
        <v>5.7309999999999999</v>
      </c>
      <c r="BU72" s="3">
        <v>3.97</v>
      </c>
      <c r="BV72" s="3">
        <v>4.7110000000000003</v>
      </c>
      <c r="BW72" s="3">
        <v>8.0890000000000004</v>
      </c>
      <c r="BX72" s="3">
        <v>2.6360000000000001</v>
      </c>
      <c r="BY72" s="3">
        <v>6.7469999999999999</v>
      </c>
      <c r="BZ72" s="3">
        <v>6.2779999999999996</v>
      </c>
      <c r="CA72" s="3">
        <v>4.4470000000000001</v>
      </c>
      <c r="CB72" s="3">
        <v>2.5960000000000001</v>
      </c>
      <c r="CC72" s="3">
        <v>4.1589999999999998</v>
      </c>
      <c r="CD72" s="3">
        <v>2.5830000000000002</v>
      </c>
    </row>
    <row r="73" spans="1:82" x14ac:dyDescent="0.3">
      <c r="A73" s="48" t="s">
        <v>311</v>
      </c>
      <c r="B73" s="49" t="s">
        <v>346</v>
      </c>
      <c r="C73" s="3">
        <v>27.503751000000001</v>
      </c>
      <c r="D73" s="3">
        <v>36.069924</v>
      </c>
      <c r="E73" s="3">
        <v>25.316642999999999</v>
      </c>
      <c r="F73" s="3">
        <v>25.741914000000001</v>
      </c>
      <c r="G73" s="3">
        <v>25.316642999999999</v>
      </c>
      <c r="H73" s="3">
        <v>30.116129999999998</v>
      </c>
      <c r="I73" s="48" t="s">
        <v>311</v>
      </c>
      <c r="J73" s="49" t="s">
        <v>346</v>
      </c>
      <c r="K73" s="3">
        <v>33369</v>
      </c>
      <c r="L73" s="48" t="s">
        <v>311</v>
      </c>
      <c r="M73" s="49" t="s">
        <v>346</v>
      </c>
      <c r="N73" s="3">
        <v>5458.7690119999997</v>
      </c>
      <c r="O73" s="3">
        <v>7160.0037259999999</v>
      </c>
      <c r="P73" s="3">
        <v>4430.9222090000003</v>
      </c>
      <c r="Q73" s="3">
        <v>3772.649046</v>
      </c>
      <c r="R73" s="3">
        <v>7216.3136930000001</v>
      </c>
      <c r="S73" s="3">
        <v>8262.9545760000001</v>
      </c>
      <c r="T73" s="3">
        <v>7007.052968</v>
      </c>
      <c r="U73" s="3">
        <v>7238.481479</v>
      </c>
      <c r="V73" s="3">
        <v>4916.964927</v>
      </c>
      <c r="W73" s="3">
        <v>4199.5264580000003</v>
      </c>
      <c r="X73" s="3">
        <v>6282.948249</v>
      </c>
      <c r="Y73" s="3">
        <v>727.07757019999997</v>
      </c>
      <c r="Z73" s="3">
        <v>2629.4416639999999</v>
      </c>
      <c r="AA73" s="48" t="s">
        <v>311</v>
      </c>
      <c r="AB73" s="49" t="s">
        <v>346</v>
      </c>
      <c r="AC73" s="3">
        <v>0</v>
      </c>
      <c r="AD73" s="3">
        <v>0.224</v>
      </c>
      <c r="AE73" s="3">
        <v>0</v>
      </c>
      <c r="AF73" s="3">
        <v>0.17299999999999999</v>
      </c>
      <c r="AG73" s="3">
        <v>0</v>
      </c>
      <c r="AH73" s="3">
        <v>0.34799999999999998</v>
      </c>
      <c r="AI73" s="3">
        <v>0</v>
      </c>
      <c r="AJ73" s="3">
        <v>0.11799999999999999</v>
      </c>
      <c r="AK73" s="3">
        <v>0</v>
      </c>
      <c r="AL73" s="3">
        <v>0.83399999999999996</v>
      </c>
      <c r="AM73" s="3">
        <v>0</v>
      </c>
      <c r="AN73" s="3">
        <v>0.92700000000000005</v>
      </c>
      <c r="AO73" s="3">
        <v>0</v>
      </c>
      <c r="AP73" s="3">
        <v>0.92700000000000005</v>
      </c>
      <c r="AQ73" s="3">
        <v>0</v>
      </c>
      <c r="AR73" s="3">
        <v>0.127</v>
      </c>
      <c r="AS73" s="3">
        <v>0</v>
      </c>
      <c r="AT73" s="3">
        <v>0.12</v>
      </c>
      <c r="AU73" s="3">
        <v>0</v>
      </c>
      <c r="AV73" s="3">
        <v>8.7999999999999995E-2</v>
      </c>
      <c r="AW73" s="3">
        <v>0</v>
      </c>
      <c r="AX73" s="3">
        <v>1.7000000000000001E-2</v>
      </c>
      <c r="AY73" s="3">
        <v>0</v>
      </c>
      <c r="AZ73" s="3">
        <v>1.4999999999999999E-2</v>
      </c>
      <c r="BA73" s="3">
        <v>0</v>
      </c>
      <c r="BB73" s="3">
        <v>6.2E-2</v>
      </c>
      <c r="BC73" s="3">
        <v>0.69550000000000001</v>
      </c>
      <c r="BD73" s="3">
        <v>0.752</v>
      </c>
      <c r="BE73" s="3">
        <v>0.70050000000000001</v>
      </c>
      <c r="BF73" s="3">
        <v>0.73699999999999999</v>
      </c>
      <c r="BG73" s="3">
        <v>0.40725</v>
      </c>
      <c r="BH73" s="3">
        <v>0.67100000000000004</v>
      </c>
      <c r="BI73" s="3">
        <v>0.95150000000000001</v>
      </c>
      <c r="BJ73" s="3">
        <v>0.11899999999999999</v>
      </c>
      <c r="BK73" s="3">
        <v>0.16750000000000001</v>
      </c>
      <c r="BL73" s="3">
        <v>7.5666667000000007E-2</v>
      </c>
      <c r="BM73" s="3">
        <v>0.01</v>
      </c>
      <c r="BN73" s="3">
        <v>0.60699999999999998</v>
      </c>
      <c r="BO73" s="3">
        <v>0.218</v>
      </c>
      <c r="BP73" s="48" t="s">
        <v>311</v>
      </c>
      <c r="BQ73" s="49" t="s">
        <v>346</v>
      </c>
      <c r="BR73" s="3">
        <v>5.5730000000000004</v>
      </c>
      <c r="BS73" s="3">
        <v>4.827</v>
      </c>
      <c r="BT73" s="3">
        <v>5.5570000000000004</v>
      </c>
      <c r="BU73" s="3">
        <v>3.9860000000000002</v>
      </c>
      <c r="BV73" s="3">
        <v>4.4630000000000001</v>
      </c>
      <c r="BW73" s="3">
        <v>8.0050000000000008</v>
      </c>
      <c r="BX73" s="3">
        <v>2.7010000000000001</v>
      </c>
      <c r="BY73" s="3">
        <v>6.7329999999999997</v>
      </c>
      <c r="BZ73" s="3">
        <v>5.9989999999999997</v>
      </c>
      <c r="CA73" s="3">
        <v>2.9870000000000001</v>
      </c>
      <c r="CB73" s="3">
        <v>2.8380000000000001</v>
      </c>
      <c r="CC73" s="3">
        <v>3.8130000000000002</v>
      </c>
      <c r="CD73" s="3">
        <v>2.5209999999999999</v>
      </c>
    </row>
    <row r="74" spans="1:82" x14ac:dyDescent="0.3">
      <c r="A74" s="48" t="s">
        <v>311</v>
      </c>
      <c r="B74" s="49" t="s">
        <v>347</v>
      </c>
      <c r="C74" s="3">
        <v>32.589644999999997</v>
      </c>
      <c r="D74" s="3">
        <v>27.043763999999999</v>
      </c>
      <c r="E74" s="3">
        <v>25.559654999999999</v>
      </c>
      <c r="F74" s="3">
        <v>25.559654999999999</v>
      </c>
      <c r="G74" s="3">
        <v>25.559654999999999</v>
      </c>
      <c r="H74" s="3">
        <v>29.300304000000001</v>
      </c>
      <c r="I74" s="48" t="s">
        <v>311</v>
      </c>
      <c r="J74" s="49" t="s">
        <v>347</v>
      </c>
      <c r="K74" s="3">
        <v>29600</v>
      </c>
      <c r="L74" s="48" t="s">
        <v>311</v>
      </c>
      <c r="M74" s="49" t="s">
        <v>347</v>
      </c>
      <c r="N74" s="3">
        <v>3507.4257480000001</v>
      </c>
      <c r="O74" s="3">
        <v>4636.6822330000005</v>
      </c>
      <c r="P74" s="3">
        <v>2809.112239</v>
      </c>
      <c r="Q74" s="3">
        <v>2573.4775070000001</v>
      </c>
      <c r="R74" s="3">
        <v>4924.824044</v>
      </c>
      <c r="S74" s="3">
        <v>5247.2701319999996</v>
      </c>
      <c r="T74" s="3">
        <v>4854.2552459999997</v>
      </c>
      <c r="U74" s="3">
        <v>4500.9970780000003</v>
      </c>
      <c r="V74" s="3">
        <v>3181.3518279999998</v>
      </c>
      <c r="W74" s="3">
        <v>2602.1337640000002</v>
      </c>
      <c r="X74" s="3">
        <v>4134.3839479999997</v>
      </c>
      <c r="Y74" s="3">
        <v>448.90597780000002</v>
      </c>
      <c r="Z74" s="3">
        <v>1656.7690230000001</v>
      </c>
      <c r="AA74" s="48" t="s">
        <v>311</v>
      </c>
      <c r="AB74" s="49" t="s">
        <v>347</v>
      </c>
      <c r="AC74" s="3">
        <v>0</v>
      </c>
      <c r="AD74" s="3">
        <v>0.20699999999999999</v>
      </c>
      <c r="AE74" s="3">
        <v>0</v>
      </c>
      <c r="AF74" s="3">
        <v>0.124</v>
      </c>
      <c r="AG74" s="3">
        <v>0</v>
      </c>
      <c r="AH74" s="3">
        <v>0.27700000000000002</v>
      </c>
      <c r="AI74" s="3">
        <v>0</v>
      </c>
      <c r="AJ74" s="3">
        <v>0.109</v>
      </c>
      <c r="AK74" s="3">
        <v>0</v>
      </c>
      <c r="AL74" s="3">
        <v>0.79200000000000004</v>
      </c>
      <c r="AM74" s="3">
        <v>0</v>
      </c>
      <c r="AN74" s="3">
        <v>0.92900000000000005</v>
      </c>
      <c r="AO74" s="3">
        <v>0</v>
      </c>
      <c r="AP74" s="3">
        <v>0.92900000000000005</v>
      </c>
      <c r="AQ74" s="3">
        <v>0</v>
      </c>
      <c r="AR74" s="3">
        <v>0.161</v>
      </c>
      <c r="AS74" s="3">
        <v>0</v>
      </c>
      <c r="AT74" s="3">
        <v>0.111</v>
      </c>
      <c r="AU74" s="3">
        <v>0</v>
      </c>
      <c r="AV74" s="3">
        <v>0.17199999999999999</v>
      </c>
      <c r="AW74" s="3">
        <v>0</v>
      </c>
      <c r="AX74" s="3">
        <v>8.0000000000000002E-3</v>
      </c>
      <c r="AY74" s="3">
        <v>0</v>
      </c>
      <c r="AZ74" s="3">
        <v>1.4999999999999999E-2</v>
      </c>
      <c r="BA74" s="3">
        <v>0</v>
      </c>
      <c r="BB74" s="3">
        <v>4.4999999999999998E-2</v>
      </c>
      <c r="BC74" s="3">
        <v>0.72799999999999998</v>
      </c>
      <c r="BD74" s="3">
        <v>0.76500000000000001</v>
      </c>
      <c r="BE74" s="3">
        <v>0.71</v>
      </c>
      <c r="BF74" s="3">
        <v>0.75333333300000005</v>
      </c>
      <c r="BG74" s="3">
        <v>0.439</v>
      </c>
      <c r="BH74" s="3">
        <v>0.70599999999999996</v>
      </c>
      <c r="BI74" s="3">
        <v>0.96350000000000002</v>
      </c>
      <c r="BJ74" s="3">
        <v>0.15</v>
      </c>
      <c r="BK74" s="3">
        <v>0.13400000000000001</v>
      </c>
      <c r="BL74" s="3">
        <v>0.100333333</v>
      </c>
      <c r="BM74" s="3">
        <v>0.01</v>
      </c>
      <c r="BN74" s="3">
        <v>0.64866666699999997</v>
      </c>
      <c r="BO74" s="3">
        <v>0.30299999999999999</v>
      </c>
      <c r="BP74" s="48" t="s">
        <v>311</v>
      </c>
      <c r="BQ74" s="49" t="s">
        <v>347</v>
      </c>
      <c r="BR74" s="3">
        <v>5.4710000000000001</v>
      </c>
      <c r="BS74" s="3">
        <v>4.7930000000000001</v>
      </c>
      <c r="BT74" s="3">
        <v>5.3259999999999996</v>
      </c>
      <c r="BU74" s="3">
        <v>4.0380000000000003</v>
      </c>
      <c r="BV74" s="3">
        <v>4.3109999999999999</v>
      </c>
      <c r="BW74" s="3">
        <v>7.8849999999999998</v>
      </c>
      <c r="BX74" s="3">
        <v>2.7360000000000002</v>
      </c>
      <c r="BY74" s="3">
        <v>6.6689999999999996</v>
      </c>
      <c r="BZ74" s="3">
        <v>5.7539999999999996</v>
      </c>
      <c r="CA74" s="3">
        <v>1.83</v>
      </c>
      <c r="CB74" s="3">
        <v>2.6760000000000002</v>
      </c>
      <c r="CC74" s="3">
        <v>3.4940000000000002</v>
      </c>
      <c r="CD74" s="3">
        <v>2.5409999999999999</v>
      </c>
    </row>
    <row r="75" spans="1:82" x14ac:dyDescent="0.3">
      <c r="A75" s="48" t="s">
        <v>312</v>
      </c>
      <c r="B75" s="49" t="s">
        <v>324</v>
      </c>
      <c r="C75" s="3">
        <v>37.14036067</v>
      </c>
      <c r="D75" s="3">
        <v>27.899275670000002</v>
      </c>
      <c r="E75" s="3">
        <v>27.899275670000002</v>
      </c>
      <c r="F75" s="3">
        <v>26.526314469999999</v>
      </c>
      <c r="G75" s="3">
        <v>27.309606429999999</v>
      </c>
      <c r="H75" s="3">
        <v>27.899275670000002</v>
      </c>
      <c r="I75" s="48" t="s">
        <v>312</v>
      </c>
      <c r="J75" s="49" t="s">
        <v>324</v>
      </c>
      <c r="K75" s="3">
        <v>21203</v>
      </c>
      <c r="L75" s="48" t="s">
        <v>312</v>
      </c>
      <c r="M75" s="49" t="s">
        <v>324</v>
      </c>
      <c r="N75" s="3">
        <v>576.95615269999996</v>
      </c>
      <c r="O75" s="3">
        <v>913.11072530000001</v>
      </c>
      <c r="P75" s="3">
        <v>620.55319210000005</v>
      </c>
      <c r="Q75" s="3">
        <v>532.16220190000001</v>
      </c>
      <c r="R75" s="3">
        <v>1002.136831</v>
      </c>
      <c r="S75" s="3">
        <v>1044.971327</v>
      </c>
      <c r="T75" s="3">
        <v>917.88471870000001</v>
      </c>
      <c r="U75" s="3">
        <v>1092.859723</v>
      </c>
      <c r="V75" s="3">
        <v>607.72945770000001</v>
      </c>
      <c r="W75" s="3">
        <v>353.83635770000001</v>
      </c>
      <c r="X75" s="3">
        <v>317.9267279</v>
      </c>
      <c r="Y75" s="3">
        <v>114.76787299999999</v>
      </c>
      <c r="Z75" s="3">
        <v>207.82609619999999</v>
      </c>
      <c r="AA75" s="48" t="s">
        <v>312</v>
      </c>
      <c r="AB75" s="49" t="s">
        <v>324</v>
      </c>
      <c r="AC75" s="3">
        <v>0</v>
      </c>
      <c r="AD75" s="3">
        <v>0.39900000000000002</v>
      </c>
      <c r="AE75" s="3">
        <v>0</v>
      </c>
      <c r="AF75" s="3">
        <v>0.33800000000000002</v>
      </c>
      <c r="AG75" s="3">
        <v>0</v>
      </c>
      <c r="AH75" s="3">
        <v>0.41899999999999998</v>
      </c>
      <c r="AI75" s="3">
        <v>0</v>
      </c>
      <c r="AJ75" s="3">
        <v>0.39500000000000002</v>
      </c>
      <c r="AK75" s="3">
        <v>0</v>
      </c>
      <c r="AL75" s="3">
        <v>0.438</v>
      </c>
      <c r="AM75" s="3">
        <v>0</v>
      </c>
      <c r="AN75" s="3">
        <v>0.60199999999999998</v>
      </c>
      <c r="AO75" s="3">
        <v>0</v>
      </c>
      <c r="AP75" s="3">
        <v>0.60199999999999998</v>
      </c>
      <c r="AQ75" s="3">
        <v>0</v>
      </c>
      <c r="AR75" s="3">
        <v>0.38</v>
      </c>
      <c r="AS75" s="3">
        <v>0</v>
      </c>
      <c r="AT75" s="3">
        <v>0.436</v>
      </c>
      <c r="AU75" s="3">
        <v>0</v>
      </c>
      <c r="AV75" s="3">
        <v>0.52200000000000002</v>
      </c>
      <c r="AW75" s="3">
        <v>0</v>
      </c>
      <c r="AX75" s="3">
        <v>0.36599999999999999</v>
      </c>
      <c r="AY75" s="3">
        <v>0</v>
      </c>
      <c r="AZ75" s="3">
        <v>0.45400000000000001</v>
      </c>
      <c r="BA75" s="3">
        <v>0</v>
      </c>
      <c r="BB75" s="3">
        <v>0.38</v>
      </c>
      <c r="BC75" s="3">
        <v>0.79900000000000004</v>
      </c>
      <c r="BD75" s="3">
        <v>0.8175</v>
      </c>
      <c r="BE75" s="3">
        <v>0.63800000000000001</v>
      </c>
      <c r="BF75" s="3">
        <v>0.76866666699999997</v>
      </c>
      <c r="BG75" s="3">
        <v>0.81399999999999995</v>
      </c>
      <c r="BH75" s="3">
        <v>0.81799999999999995</v>
      </c>
      <c r="BI75" s="3">
        <v>0.52349999999999997</v>
      </c>
      <c r="BJ75" s="3">
        <v>0.82899999999999996</v>
      </c>
      <c r="BK75" s="3">
        <v>0.85799999999999998</v>
      </c>
      <c r="BL75" s="3">
        <v>0.92</v>
      </c>
      <c r="BM75" s="3">
        <v>0.01</v>
      </c>
      <c r="BN75" s="3">
        <v>0.78933333299999997</v>
      </c>
      <c r="BO75" s="3">
        <v>0.70099999999999996</v>
      </c>
      <c r="BP75" s="48" t="s">
        <v>312</v>
      </c>
      <c r="BQ75" s="49" t="s">
        <v>324</v>
      </c>
      <c r="BR75" s="3">
        <v>12.292999999999999</v>
      </c>
      <c r="BS75" s="3">
        <v>12.1</v>
      </c>
      <c r="BT75" s="3">
        <v>12.44</v>
      </c>
      <c r="BU75" s="3">
        <v>12.318</v>
      </c>
      <c r="BV75" s="3">
        <v>12.401999999999999</v>
      </c>
      <c r="BW75" s="3">
        <v>15.776</v>
      </c>
      <c r="BX75" s="3">
        <v>12.144</v>
      </c>
      <c r="BY75" s="3">
        <v>14.347</v>
      </c>
      <c r="BZ75" s="3">
        <v>13.89</v>
      </c>
      <c r="CA75" s="3">
        <v>12.143000000000001</v>
      </c>
      <c r="CB75" s="3">
        <v>10.568</v>
      </c>
      <c r="CC75" s="3">
        <v>11.708</v>
      </c>
      <c r="CD75" s="3">
        <v>10.523</v>
      </c>
    </row>
    <row r="76" spans="1:82" x14ac:dyDescent="0.3">
      <c r="A76" s="48" t="s">
        <v>312</v>
      </c>
      <c r="B76" s="49" t="s">
        <v>325</v>
      </c>
      <c r="C76" s="3">
        <v>36.735513130000001</v>
      </c>
      <c r="D76" s="3">
        <v>27.080779570000001</v>
      </c>
      <c r="E76" s="3">
        <v>27.080779570000001</v>
      </c>
      <c r="F76" s="3">
        <v>26.218278300000001</v>
      </c>
      <c r="G76" s="3">
        <v>27.080779570000001</v>
      </c>
      <c r="H76" s="3">
        <v>27.080779570000001</v>
      </c>
      <c r="I76" s="48" t="s">
        <v>312</v>
      </c>
      <c r="J76" s="49" t="s">
        <v>325</v>
      </c>
      <c r="K76" s="3">
        <v>20984</v>
      </c>
      <c r="L76" s="48" t="s">
        <v>312</v>
      </c>
      <c r="M76" s="49" t="s">
        <v>325</v>
      </c>
      <c r="N76" s="3">
        <v>393.67770259999998</v>
      </c>
      <c r="O76" s="3">
        <v>674.68783020000001</v>
      </c>
      <c r="P76" s="3">
        <v>543.90638579999995</v>
      </c>
      <c r="Q76" s="3">
        <v>471.82226059999999</v>
      </c>
      <c r="R76" s="3">
        <v>657.35838349999995</v>
      </c>
      <c r="S76" s="3">
        <v>782.9048583</v>
      </c>
      <c r="T76" s="3">
        <v>579.82234200000005</v>
      </c>
      <c r="U76" s="3">
        <v>726.88004590000003</v>
      </c>
      <c r="V76" s="3">
        <v>424.18480119999998</v>
      </c>
      <c r="W76" s="3">
        <v>295.17784039999998</v>
      </c>
      <c r="X76" s="3">
        <v>149.55802679999999</v>
      </c>
      <c r="Y76" s="3">
        <v>106.977327</v>
      </c>
      <c r="Z76" s="3">
        <v>126.1035002</v>
      </c>
      <c r="AA76" s="48" t="s">
        <v>312</v>
      </c>
      <c r="AB76" s="49" t="s">
        <v>325</v>
      </c>
      <c r="AC76" s="3">
        <v>0</v>
      </c>
      <c r="AD76" s="3">
        <v>0.41</v>
      </c>
      <c r="AE76" s="3">
        <v>0</v>
      </c>
      <c r="AF76" s="3">
        <v>0.307</v>
      </c>
      <c r="AG76" s="3">
        <v>0</v>
      </c>
      <c r="AH76" s="3">
        <v>0.374</v>
      </c>
      <c r="AI76" s="3">
        <v>0</v>
      </c>
      <c r="AJ76" s="3">
        <v>0.378</v>
      </c>
      <c r="AK76" s="3">
        <v>0</v>
      </c>
      <c r="AL76" s="3">
        <v>0.432</v>
      </c>
      <c r="AM76" s="3">
        <v>0</v>
      </c>
      <c r="AN76" s="3">
        <v>0.60899999999999999</v>
      </c>
      <c r="AO76" s="3">
        <v>0</v>
      </c>
      <c r="AP76" s="3">
        <v>0.60899999999999999</v>
      </c>
      <c r="AQ76" s="3">
        <v>0</v>
      </c>
      <c r="AR76" s="3">
        <v>0.37</v>
      </c>
      <c r="AS76" s="3">
        <v>0</v>
      </c>
      <c r="AT76" s="3">
        <v>0.42</v>
      </c>
      <c r="AU76" s="3">
        <v>0</v>
      </c>
      <c r="AV76" s="3">
        <v>0.52700000000000002</v>
      </c>
      <c r="AW76" s="3">
        <v>0</v>
      </c>
      <c r="AX76" s="3">
        <v>0.38600000000000001</v>
      </c>
      <c r="AY76" s="3">
        <v>0</v>
      </c>
      <c r="AZ76" s="3">
        <v>0.42899999999999999</v>
      </c>
      <c r="BA76" s="3">
        <v>0</v>
      </c>
      <c r="BB76" s="3">
        <v>0.36699999999999999</v>
      </c>
      <c r="BC76" s="3">
        <v>0.80200000000000005</v>
      </c>
      <c r="BD76" s="3">
        <v>0.8125</v>
      </c>
      <c r="BE76" s="3">
        <v>0.65600000000000003</v>
      </c>
      <c r="BF76" s="3">
        <v>0.78166666699999998</v>
      </c>
      <c r="BG76" s="3">
        <v>0.81933333399999997</v>
      </c>
      <c r="BH76" s="3">
        <v>0.81499999999999995</v>
      </c>
      <c r="BI76" s="3">
        <v>0.55449999999999999</v>
      </c>
      <c r="BJ76" s="3">
        <v>0.83666666700000003</v>
      </c>
      <c r="BK76" s="3">
        <v>0.86099999999999999</v>
      </c>
      <c r="BL76" s="3">
        <v>0.91033333299999997</v>
      </c>
      <c r="BM76" s="3">
        <v>0.01</v>
      </c>
      <c r="BN76" s="3">
        <v>0.79700000000000004</v>
      </c>
      <c r="BO76" s="3">
        <v>0.755</v>
      </c>
      <c r="BP76" s="48" t="s">
        <v>312</v>
      </c>
      <c r="BQ76" s="49" t="s">
        <v>325</v>
      </c>
      <c r="BR76" s="3">
        <v>12.343999999999999</v>
      </c>
      <c r="BS76" s="3">
        <v>11.849</v>
      </c>
      <c r="BT76" s="3">
        <v>12.121</v>
      </c>
      <c r="BU76" s="3">
        <v>12.026</v>
      </c>
      <c r="BV76" s="3">
        <v>12.034000000000001</v>
      </c>
      <c r="BW76" s="3">
        <v>15.741</v>
      </c>
      <c r="BX76" s="3">
        <v>11.627000000000001</v>
      </c>
      <c r="BY76" s="3">
        <v>14.016</v>
      </c>
      <c r="BZ76" s="3">
        <v>13.593999999999999</v>
      </c>
      <c r="CA76" s="3">
        <v>12.422000000000001</v>
      </c>
      <c r="CB76" s="3">
        <v>9.9179999999999993</v>
      </c>
      <c r="CC76" s="3">
        <v>12.051</v>
      </c>
      <c r="CD76" s="3">
        <v>10.351000000000001</v>
      </c>
    </row>
    <row r="77" spans="1:82" x14ac:dyDescent="0.3">
      <c r="A77" s="48" t="s">
        <v>312</v>
      </c>
      <c r="B77" s="49" t="s">
        <v>326</v>
      </c>
      <c r="C77" s="3">
        <v>37.342784430000002</v>
      </c>
      <c r="D77" s="3">
        <v>26.887156829999999</v>
      </c>
      <c r="E77" s="3">
        <v>26.887156829999999</v>
      </c>
      <c r="F77" s="3">
        <v>26.033456600000001</v>
      </c>
      <c r="G77" s="3">
        <v>26.887156829999999</v>
      </c>
      <c r="H77" s="3">
        <v>26.887156829999999</v>
      </c>
      <c r="I77" s="48" t="s">
        <v>312</v>
      </c>
      <c r="J77" s="49" t="s">
        <v>326</v>
      </c>
      <c r="K77" s="3">
        <v>20662</v>
      </c>
      <c r="L77" s="48" t="s">
        <v>312</v>
      </c>
      <c r="M77" s="49" t="s">
        <v>326</v>
      </c>
      <c r="N77" s="3">
        <v>369.33151140000001</v>
      </c>
      <c r="O77" s="3">
        <v>624.85917480000001</v>
      </c>
      <c r="P77" s="3">
        <v>529.59065280000004</v>
      </c>
      <c r="Q77" s="3">
        <v>487.12264340000002</v>
      </c>
      <c r="R77" s="3">
        <v>570.81448890000001</v>
      </c>
      <c r="S77" s="3">
        <v>672.56475950000004</v>
      </c>
      <c r="T77" s="3">
        <v>399.61123850000001</v>
      </c>
      <c r="U77" s="3">
        <v>609.45340539999995</v>
      </c>
      <c r="V77" s="3">
        <v>372.4308825</v>
      </c>
      <c r="W77" s="3">
        <v>277.03478510000002</v>
      </c>
      <c r="X77" s="3">
        <v>26.860132870000001</v>
      </c>
      <c r="Y77" s="3">
        <v>103.1444422</v>
      </c>
      <c r="Z77" s="3">
        <v>14.445500989999999</v>
      </c>
      <c r="AA77" s="48" t="s">
        <v>312</v>
      </c>
      <c r="AB77" s="49" t="s">
        <v>326</v>
      </c>
      <c r="AC77" s="3">
        <v>0</v>
      </c>
      <c r="AD77" s="3">
        <v>0.40600000000000003</v>
      </c>
      <c r="AE77" s="3">
        <v>0</v>
      </c>
      <c r="AF77" s="3">
        <v>0.311</v>
      </c>
      <c r="AG77" s="3">
        <v>0</v>
      </c>
      <c r="AH77" s="3">
        <v>0.36299999999999999</v>
      </c>
      <c r="AI77" s="3">
        <v>0</v>
      </c>
      <c r="AJ77" s="3">
        <v>0.39</v>
      </c>
      <c r="AK77" s="3">
        <v>0</v>
      </c>
      <c r="AL77" s="3">
        <v>0.44900000000000001</v>
      </c>
      <c r="AM77" s="3">
        <v>0</v>
      </c>
      <c r="AN77" s="3">
        <v>0.60699999999999998</v>
      </c>
      <c r="AO77" s="3">
        <v>0</v>
      </c>
      <c r="AP77" s="3">
        <v>0.60699999999999998</v>
      </c>
      <c r="AQ77" s="3">
        <v>0</v>
      </c>
      <c r="AR77" s="3">
        <v>0.35699999999999998</v>
      </c>
      <c r="AS77" s="3">
        <v>0</v>
      </c>
      <c r="AT77" s="3">
        <v>0.42499999999999999</v>
      </c>
      <c r="AU77" s="3">
        <v>0</v>
      </c>
      <c r="AV77" s="3">
        <v>0.51400000000000001</v>
      </c>
      <c r="AW77" s="3">
        <v>0</v>
      </c>
      <c r="AX77" s="3">
        <v>0.40300000000000002</v>
      </c>
      <c r="AY77" s="3">
        <v>0</v>
      </c>
      <c r="AZ77" s="3">
        <v>0.40100000000000002</v>
      </c>
      <c r="BA77" s="3">
        <v>0</v>
      </c>
      <c r="BB77" s="3">
        <v>0.35199999999999998</v>
      </c>
      <c r="BC77" s="3">
        <v>0.84599999999999997</v>
      </c>
      <c r="BD77" s="3">
        <v>0.82</v>
      </c>
      <c r="BE77" s="3">
        <v>0.65700000000000003</v>
      </c>
      <c r="BF77" s="3">
        <v>0.78200000000000003</v>
      </c>
      <c r="BG77" s="3">
        <v>0.84533333399999999</v>
      </c>
      <c r="BH77" s="3">
        <v>0.81</v>
      </c>
      <c r="BI77" s="3">
        <v>0.58099999999999996</v>
      </c>
      <c r="BJ77" s="3">
        <v>0.84466666700000004</v>
      </c>
      <c r="BK77" s="3">
        <v>0.875</v>
      </c>
      <c r="BL77" s="3">
        <v>0.89066666699999997</v>
      </c>
      <c r="BM77" s="3">
        <v>0.01</v>
      </c>
      <c r="BN77" s="3">
        <v>0.820333333</v>
      </c>
      <c r="BO77" s="3">
        <v>0.81599999999999995</v>
      </c>
      <c r="BP77" s="48" t="s">
        <v>312</v>
      </c>
      <c r="BQ77" s="49" t="s">
        <v>326</v>
      </c>
      <c r="BR77" s="3">
        <v>12.259</v>
      </c>
      <c r="BS77" s="3">
        <v>11.612</v>
      </c>
      <c r="BT77" s="3">
        <v>11.853</v>
      </c>
      <c r="BU77" s="3">
        <v>11.66</v>
      </c>
      <c r="BV77" s="3">
        <v>11.375</v>
      </c>
      <c r="BW77" s="3">
        <v>15.72</v>
      </c>
      <c r="BX77" s="3">
        <v>11.157</v>
      </c>
      <c r="BY77" s="3">
        <v>13.605</v>
      </c>
      <c r="BZ77" s="3">
        <v>13.114000000000001</v>
      </c>
      <c r="CA77" s="3">
        <v>12.973000000000001</v>
      </c>
      <c r="CB77" s="3">
        <v>9.4830000000000005</v>
      </c>
      <c r="CC77" s="3">
        <v>11.997999999999999</v>
      </c>
      <c r="CD77" s="3">
        <v>10.215</v>
      </c>
    </row>
    <row r="78" spans="1:82" x14ac:dyDescent="0.3">
      <c r="A78" s="48" t="s">
        <v>312</v>
      </c>
      <c r="B78" s="49" t="s">
        <v>327</v>
      </c>
      <c r="C78" s="3">
        <v>37.598014399999997</v>
      </c>
      <c r="D78" s="3">
        <v>27.336009529999998</v>
      </c>
      <c r="E78" s="3">
        <v>27.336009529999998</v>
      </c>
      <c r="F78" s="3">
        <v>26.464707229999998</v>
      </c>
      <c r="G78" s="3">
        <v>27.336009529999998</v>
      </c>
      <c r="H78" s="3">
        <v>27.336009529999998</v>
      </c>
      <c r="I78" s="48" t="s">
        <v>312</v>
      </c>
      <c r="J78" s="49" t="s">
        <v>327</v>
      </c>
      <c r="K78" s="3">
        <v>20259</v>
      </c>
      <c r="L78" s="48" t="s">
        <v>312</v>
      </c>
      <c r="M78" s="49" t="s">
        <v>327</v>
      </c>
      <c r="N78" s="3">
        <v>359.70413989999997</v>
      </c>
      <c r="O78" s="3">
        <v>598.35342649999996</v>
      </c>
      <c r="P78" s="3">
        <v>476.71687680000002</v>
      </c>
      <c r="Q78" s="3">
        <v>424.72097159999998</v>
      </c>
      <c r="R78" s="3">
        <v>536.29789840000001</v>
      </c>
      <c r="S78" s="3">
        <v>596.52993670000001</v>
      </c>
      <c r="T78" s="3">
        <v>265.14555460000003</v>
      </c>
      <c r="U78" s="3">
        <v>532.65442169999994</v>
      </c>
      <c r="V78" s="3">
        <v>365.36051909999998</v>
      </c>
      <c r="W78" s="3">
        <v>253.4182978</v>
      </c>
      <c r="X78" s="3">
        <v>13.46434504</v>
      </c>
      <c r="Y78" s="3">
        <v>93.815591089999998</v>
      </c>
      <c r="Z78" s="3">
        <v>33.616096749999997</v>
      </c>
      <c r="AA78" s="48" t="s">
        <v>312</v>
      </c>
      <c r="AB78" s="49" t="s">
        <v>327</v>
      </c>
      <c r="AC78" s="3">
        <v>0</v>
      </c>
      <c r="AD78" s="3">
        <v>0.41899999999999998</v>
      </c>
      <c r="AE78" s="3">
        <v>0</v>
      </c>
      <c r="AF78" s="3">
        <v>0.35499999999999998</v>
      </c>
      <c r="AG78" s="3">
        <v>0</v>
      </c>
      <c r="AH78" s="3">
        <v>0.39</v>
      </c>
      <c r="AI78" s="3">
        <v>0</v>
      </c>
      <c r="AJ78" s="3">
        <v>0.42299999999999999</v>
      </c>
      <c r="AK78" s="3">
        <v>0</v>
      </c>
      <c r="AL78" s="3">
        <v>0.47899999999999998</v>
      </c>
      <c r="AM78" s="3">
        <v>0</v>
      </c>
      <c r="AN78" s="3">
        <v>0.59299999999999997</v>
      </c>
      <c r="AO78" s="3">
        <v>0</v>
      </c>
      <c r="AP78" s="3">
        <v>0.59299999999999997</v>
      </c>
      <c r="AQ78" s="3">
        <v>0</v>
      </c>
      <c r="AR78" s="3">
        <v>0.35699999999999998</v>
      </c>
      <c r="AS78" s="3">
        <v>0</v>
      </c>
      <c r="AT78" s="3">
        <v>0.45</v>
      </c>
      <c r="AU78" s="3">
        <v>0</v>
      </c>
      <c r="AV78" s="3">
        <v>0.495</v>
      </c>
      <c r="AW78" s="3">
        <v>0</v>
      </c>
      <c r="AX78" s="3">
        <v>0.39800000000000002</v>
      </c>
      <c r="AY78" s="3">
        <v>0</v>
      </c>
      <c r="AZ78" s="3">
        <v>0.39500000000000002</v>
      </c>
      <c r="BA78" s="3">
        <v>0</v>
      </c>
      <c r="BB78" s="3">
        <v>0.34599999999999997</v>
      </c>
      <c r="BC78" s="3">
        <v>0.85299999999999998</v>
      </c>
      <c r="BD78" s="3">
        <v>0.79100000000000004</v>
      </c>
      <c r="BE78" s="3">
        <v>0.66800000000000004</v>
      </c>
      <c r="BF78" s="3">
        <v>0.79533333299999998</v>
      </c>
      <c r="BG78" s="3">
        <v>0.84866666700000004</v>
      </c>
      <c r="BH78" s="3">
        <v>0.82899999999999996</v>
      </c>
      <c r="BI78" s="3">
        <v>0.59</v>
      </c>
      <c r="BJ78" s="3">
        <v>0.84433333300000002</v>
      </c>
      <c r="BK78" s="3">
        <v>0.88849999999999996</v>
      </c>
      <c r="BL78" s="3">
        <v>0.86566666699999995</v>
      </c>
      <c r="BM78" s="3">
        <v>0.01</v>
      </c>
      <c r="BN78" s="3">
        <v>0.823333333</v>
      </c>
      <c r="BO78" s="3">
        <v>0.85399999999999998</v>
      </c>
      <c r="BP78" s="48" t="s">
        <v>312</v>
      </c>
      <c r="BQ78" s="49" t="s">
        <v>327</v>
      </c>
      <c r="BR78" s="3">
        <v>12.098000000000001</v>
      </c>
      <c r="BS78" s="3">
        <v>11.169</v>
      </c>
      <c r="BT78" s="3">
        <v>11.555999999999999</v>
      </c>
      <c r="BU78" s="3">
        <v>11.143000000000001</v>
      </c>
      <c r="BV78" s="3">
        <v>10.664</v>
      </c>
      <c r="BW78" s="3">
        <v>15.689</v>
      </c>
      <c r="BX78" s="3">
        <v>10.787000000000001</v>
      </c>
      <c r="BY78" s="3">
        <v>13.211</v>
      </c>
      <c r="BZ78" s="3">
        <v>12.505000000000001</v>
      </c>
      <c r="CA78" s="3">
        <v>12.590999999999999</v>
      </c>
      <c r="CB78" s="3">
        <v>9.2200000000000006</v>
      </c>
      <c r="CC78" s="3">
        <v>11.728999999999999</v>
      </c>
      <c r="CD78" s="3">
        <v>9.93</v>
      </c>
    </row>
    <row r="79" spans="1:82" x14ac:dyDescent="0.3">
      <c r="A79" s="48" t="s">
        <v>312</v>
      </c>
      <c r="B79" s="49" t="s">
        <v>328</v>
      </c>
      <c r="C79" s="3">
        <v>37.166763770000003</v>
      </c>
      <c r="D79" s="3">
        <v>28.00488807</v>
      </c>
      <c r="E79" s="3">
        <v>28.00488807</v>
      </c>
      <c r="F79" s="3">
        <v>26.455906200000001</v>
      </c>
      <c r="G79" s="3">
        <v>28.00488807</v>
      </c>
      <c r="H79" s="3">
        <v>28.00488807</v>
      </c>
      <c r="I79" s="48" t="s">
        <v>312</v>
      </c>
      <c r="J79" s="49" t="s">
        <v>328</v>
      </c>
      <c r="K79" s="3">
        <v>20318</v>
      </c>
      <c r="L79" s="48" t="s">
        <v>312</v>
      </c>
      <c r="M79" s="49" t="s">
        <v>328</v>
      </c>
      <c r="N79" s="3">
        <v>286.06991799999997</v>
      </c>
      <c r="O79" s="3">
        <v>592.38651700000003</v>
      </c>
      <c r="P79" s="3">
        <v>520.90241909999997</v>
      </c>
      <c r="Q79" s="3">
        <v>419.32972180000002</v>
      </c>
      <c r="R79" s="3">
        <v>408.97615289999999</v>
      </c>
      <c r="S79" s="3">
        <v>488.31211969999998</v>
      </c>
      <c r="T79" s="3">
        <v>123.6770661</v>
      </c>
      <c r="U79" s="3">
        <v>410.17434589999999</v>
      </c>
      <c r="V79" s="3">
        <v>340.82748579999998</v>
      </c>
      <c r="W79" s="3">
        <v>212.4751431</v>
      </c>
      <c r="X79" s="3">
        <v>121.55537409999999</v>
      </c>
      <c r="Y79" s="3">
        <v>44.263620840000002</v>
      </c>
      <c r="Z79" s="3">
        <v>130.64412780000001</v>
      </c>
      <c r="AA79" s="48" t="s">
        <v>312</v>
      </c>
      <c r="AB79" s="49" t="s">
        <v>328</v>
      </c>
      <c r="AC79" s="3">
        <v>0</v>
      </c>
      <c r="AD79" s="3">
        <v>0.44900000000000001</v>
      </c>
      <c r="AE79" s="3">
        <v>0</v>
      </c>
      <c r="AF79" s="3">
        <v>0.41399999999999998</v>
      </c>
      <c r="AG79" s="3">
        <v>0</v>
      </c>
      <c r="AH79" s="3">
        <v>0.435</v>
      </c>
      <c r="AI79" s="3">
        <v>0</v>
      </c>
      <c r="AJ79" s="3">
        <v>0.45</v>
      </c>
      <c r="AK79" s="3">
        <v>0</v>
      </c>
      <c r="AL79" s="3">
        <v>0.50700000000000001</v>
      </c>
      <c r="AM79" s="3">
        <v>0</v>
      </c>
      <c r="AN79" s="3">
        <v>0.58299999999999996</v>
      </c>
      <c r="AO79" s="3">
        <v>0</v>
      </c>
      <c r="AP79" s="3">
        <v>0.58299999999999996</v>
      </c>
      <c r="AQ79" s="3">
        <v>0</v>
      </c>
      <c r="AR79" s="3">
        <v>0.372</v>
      </c>
      <c r="AS79" s="3">
        <v>0</v>
      </c>
      <c r="AT79" s="3">
        <v>0.46600000000000003</v>
      </c>
      <c r="AU79" s="3">
        <v>0</v>
      </c>
      <c r="AV79" s="3">
        <v>0.48299999999999998</v>
      </c>
      <c r="AW79" s="3">
        <v>0</v>
      </c>
      <c r="AX79" s="3">
        <v>0.39</v>
      </c>
      <c r="AY79" s="3">
        <v>0</v>
      </c>
      <c r="AZ79" s="3">
        <v>0.40300000000000002</v>
      </c>
      <c r="BA79" s="3">
        <v>0</v>
      </c>
      <c r="BB79" s="3">
        <v>0.33300000000000002</v>
      </c>
      <c r="BC79" s="3">
        <v>0.83399999999999996</v>
      </c>
      <c r="BD79" s="3">
        <v>0.75849999999999995</v>
      </c>
      <c r="BE79" s="3">
        <v>0.68799999999999994</v>
      </c>
      <c r="BF79" s="3">
        <v>0.81699999999999995</v>
      </c>
      <c r="BG79" s="3">
        <v>0.84016666699999998</v>
      </c>
      <c r="BH79" s="3">
        <v>0.84399999999999997</v>
      </c>
      <c r="BI79" s="3">
        <v>0.59799999999999998</v>
      </c>
      <c r="BJ79" s="3">
        <v>0.84633333300000002</v>
      </c>
      <c r="BK79" s="3">
        <v>0.90400000000000003</v>
      </c>
      <c r="BL79" s="3">
        <v>0.85799999999999998</v>
      </c>
      <c r="BM79" s="3">
        <v>0.01</v>
      </c>
      <c r="BN79" s="3">
        <v>0.80700000000000005</v>
      </c>
      <c r="BO79" s="3">
        <v>0.86599999999999999</v>
      </c>
      <c r="BP79" s="48" t="s">
        <v>312</v>
      </c>
      <c r="BQ79" s="49" t="s">
        <v>328</v>
      </c>
      <c r="BR79" s="3">
        <v>11.887</v>
      </c>
      <c r="BS79" s="3">
        <v>10.683999999999999</v>
      </c>
      <c r="BT79" s="3">
        <v>11.125</v>
      </c>
      <c r="BU79" s="3">
        <v>10.647</v>
      </c>
      <c r="BV79" s="3">
        <v>10.141</v>
      </c>
      <c r="BW79" s="3">
        <v>15.694000000000001</v>
      </c>
      <c r="BX79" s="3">
        <v>10.503</v>
      </c>
      <c r="BY79" s="3">
        <v>12.82</v>
      </c>
      <c r="BZ79" s="3">
        <v>12.257</v>
      </c>
      <c r="CA79" s="3">
        <v>12.356</v>
      </c>
      <c r="CB79" s="3">
        <v>8.9529999999999994</v>
      </c>
      <c r="CC79" s="3">
        <v>11.853999999999999</v>
      </c>
      <c r="CD79" s="3">
        <v>9.7100000000000009</v>
      </c>
    </row>
    <row r="80" spans="1:82" x14ac:dyDescent="0.3">
      <c r="A80" s="48" t="s">
        <v>312</v>
      </c>
      <c r="B80" s="49" t="s">
        <v>329</v>
      </c>
      <c r="C80" s="3">
        <v>32.783849170000003</v>
      </c>
      <c r="D80" s="3">
        <v>28.242515969999999</v>
      </c>
      <c r="E80" s="3">
        <v>28.242515969999999</v>
      </c>
      <c r="F80" s="3">
        <v>26.47350827</v>
      </c>
      <c r="G80" s="3">
        <v>28.242515969999999</v>
      </c>
      <c r="H80" s="3">
        <v>28.242515969999999</v>
      </c>
      <c r="I80" s="48" t="s">
        <v>312</v>
      </c>
      <c r="J80" s="49" t="s">
        <v>329</v>
      </c>
      <c r="K80" s="3">
        <v>21147.5</v>
      </c>
      <c r="L80" s="48" t="s">
        <v>312</v>
      </c>
      <c r="M80" s="49" t="s">
        <v>329</v>
      </c>
      <c r="N80" s="3">
        <v>403.32624129999999</v>
      </c>
      <c r="O80" s="3">
        <v>716.36162999999999</v>
      </c>
      <c r="P80" s="3">
        <v>688.24384180000004</v>
      </c>
      <c r="Q80" s="3">
        <v>665.43514089999996</v>
      </c>
      <c r="R80" s="3">
        <v>528.97384079999995</v>
      </c>
      <c r="S80" s="3">
        <v>577.92483860000004</v>
      </c>
      <c r="T80" s="3">
        <v>58.474034830000001</v>
      </c>
      <c r="U80" s="3">
        <v>466.33222549999999</v>
      </c>
      <c r="V80" s="3">
        <v>407.29466170000001</v>
      </c>
      <c r="W80" s="3">
        <v>415.59322159999999</v>
      </c>
      <c r="X80" s="3">
        <v>20.44282385</v>
      </c>
      <c r="Y80" s="3">
        <v>57.279460790000002</v>
      </c>
      <c r="Z80" s="3">
        <v>44.903277750000001</v>
      </c>
      <c r="AA80" s="48" t="s">
        <v>312</v>
      </c>
      <c r="AB80" s="49" t="s">
        <v>329</v>
      </c>
      <c r="AC80" s="3">
        <v>0</v>
      </c>
      <c r="AD80" s="3">
        <v>0.47299999999999998</v>
      </c>
      <c r="AE80" s="3">
        <v>0</v>
      </c>
      <c r="AF80" s="3">
        <v>0.45600000000000002</v>
      </c>
      <c r="AG80" s="3">
        <v>0</v>
      </c>
      <c r="AH80" s="3">
        <v>0.47799999999999998</v>
      </c>
      <c r="AI80" s="3">
        <v>0</v>
      </c>
      <c r="AJ80" s="3">
        <v>0.47299999999999998</v>
      </c>
      <c r="AK80" s="3">
        <v>0</v>
      </c>
      <c r="AL80" s="3">
        <v>0.52300000000000002</v>
      </c>
      <c r="AM80" s="3">
        <v>0</v>
      </c>
      <c r="AN80" s="3">
        <v>0.56299999999999994</v>
      </c>
      <c r="AO80" s="3">
        <v>0</v>
      </c>
      <c r="AP80" s="3">
        <v>0.56299999999999994</v>
      </c>
      <c r="AQ80" s="3">
        <v>0</v>
      </c>
      <c r="AR80" s="3">
        <v>0.38700000000000001</v>
      </c>
      <c r="AS80" s="3">
        <v>0</v>
      </c>
      <c r="AT80" s="3">
        <v>0.47599999999999998</v>
      </c>
      <c r="AU80" s="3">
        <v>0</v>
      </c>
      <c r="AV80" s="3">
        <v>0.45300000000000001</v>
      </c>
      <c r="AW80" s="3">
        <v>0</v>
      </c>
      <c r="AX80" s="3">
        <v>0.38500000000000001</v>
      </c>
      <c r="AY80" s="3">
        <v>0</v>
      </c>
      <c r="AZ80" s="3">
        <v>0.38500000000000001</v>
      </c>
      <c r="BA80" s="3">
        <v>0</v>
      </c>
      <c r="BB80" s="3">
        <v>0.30299999999999999</v>
      </c>
      <c r="BC80" s="3">
        <v>0.79549999999999998</v>
      </c>
      <c r="BD80" s="3">
        <v>0.72299999999999998</v>
      </c>
      <c r="BE80" s="3">
        <v>0.72550000000000003</v>
      </c>
      <c r="BF80" s="3">
        <v>0.83266666700000003</v>
      </c>
      <c r="BG80" s="3">
        <v>0.83125000000000004</v>
      </c>
      <c r="BH80" s="3">
        <v>0.84699999999999998</v>
      </c>
      <c r="BI80" s="3">
        <v>0.60350000000000004</v>
      </c>
      <c r="BJ80" s="3">
        <v>0.86699999999999999</v>
      </c>
      <c r="BK80" s="3">
        <v>0.91549999999999998</v>
      </c>
      <c r="BL80" s="3">
        <v>0.85</v>
      </c>
      <c r="BM80" s="3">
        <v>0.01</v>
      </c>
      <c r="BN80" s="3">
        <v>0.78200000000000003</v>
      </c>
      <c r="BO80" s="3">
        <v>0.85899999999999999</v>
      </c>
      <c r="BP80" s="48" t="s">
        <v>312</v>
      </c>
      <c r="BQ80" s="49" t="s">
        <v>329</v>
      </c>
      <c r="BR80" s="3">
        <v>11.329000000000001</v>
      </c>
      <c r="BS80" s="3">
        <v>10.448</v>
      </c>
      <c r="BT80" s="3">
        <v>10.731</v>
      </c>
      <c r="BU80" s="3">
        <v>10.337</v>
      </c>
      <c r="BV80" s="3">
        <v>9.8989999999999991</v>
      </c>
      <c r="BW80" s="3">
        <v>15.688000000000001</v>
      </c>
      <c r="BX80" s="3">
        <v>10.318</v>
      </c>
      <c r="BY80" s="3">
        <v>12.461</v>
      </c>
      <c r="BZ80" s="3">
        <v>12.148999999999999</v>
      </c>
      <c r="CA80" s="3">
        <v>12.67</v>
      </c>
      <c r="CB80" s="3">
        <v>8.7840000000000007</v>
      </c>
      <c r="CC80" s="3">
        <v>12.125</v>
      </c>
      <c r="CD80" s="3">
        <v>9.5890000000000004</v>
      </c>
    </row>
    <row r="81" spans="1:82" x14ac:dyDescent="0.3">
      <c r="A81" s="48" t="s">
        <v>312</v>
      </c>
      <c r="B81" s="49" t="s">
        <v>330</v>
      </c>
      <c r="C81" s="3">
        <v>30.662800130000001</v>
      </c>
      <c r="D81" s="3">
        <v>30.71560633</v>
      </c>
      <c r="E81" s="3">
        <v>30.71560633</v>
      </c>
      <c r="F81" s="3">
        <v>26.605523770000001</v>
      </c>
      <c r="G81" s="3">
        <v>30.71560633</v>
      </c>
      <c r="H81" s="3">
        <v>30.71560633</v>
      </c>
      <c r="I81" s="48" t="s">
        <v>312</v>
      </c>
      <c r="J81" s="49" t="s">
        <v>330</v>
      </c>
      <c r="K81" s="3">
        <v>22585</v>
      </c>
      <c r="L81" s="48" t="s">
        <v>312</v>
      </c>
      <c r="M81" s="49" t="s">
        <v>330</v>
      </c>
      <c r="N81" s="3">
        <v>749.29046419999997</v>
      </c>
      <c r="O81" s="3">
        <v>983.00198569999998</v>
      </c>
      <c r="P81" s="3">
        <v>1287.2377690000001</v>
      </c>
      <c r="Q81" s="3">
        <v>1090.8394149999999</v>
      </c>
      <c r="R81" s="3">
        <v>731.71431310000003</v>
      </c>
      <c r="S81" s="3">
        <v>821.77046770000004</v>
      </c>
      <c r="T81" s="3">
        <v>115.6202665</v>
      </c>
      <c r="U81" s="3">
        <v>791.68978240000001</v>
      </c>
      <c r="V81" s="3">
        <v>627.53215379999995</v>
      </c>
      <c r="W81" s="3">
        <v>944.77977229999999</v>
      </c>
      <c r="X81" s="3">
        <v>183.4541778</v>
      </c>
      <c r="Y81" s="3">
        <v>125.4635055</v>
      </c>
      <c r="Z81" s="3">
        <v>276.05459580000002</v>
      </c>
      <c r="AA81" s="48" t="s">
        <v>312</v>
      </c>
      <c r="AB81" s="49" t="s">
        <v>330</v>
      </c>
      <c r="AC81" s="3">
        <v>1.2999999999999999E-2</v>
      </c>
      <c r="AD81" s="3">
        <v>0.46700000000000003</v>
      </c>
      <c r="AE81" s="3">
        <v>2.9000000000000001E-2</v>
      </c>
      <c r="AF81" s="3">
        <v>0.44900000000000001</v>
      </c>
      <c r="AG81" s="3">
        <v>2.3E-2</v>
      </c>
      <c r="AH81" s="3">
        <v>0.48</v>
      </c>
      <c r="AI81" s="3">
        <v>8.0000000000000002E-3</v>
      </c>
      <c r="AJ81" s="3">
        <v>0.45400000000000001</v>
      </c>
      <c r="AK81" s="3">
        <v>8.9999999999999993E-3</v>
      </c>
      <c r="AL81" s="3">
        <v>0.53900000000000003</v>
      </c>
      <c r="AM81" s="3">
        <v>0.01</v>
      </c>
      <c r="AN81" s="3">
        <v>0.54200000000000004</v>
      </c>
      <c r="AO81" s="3">
        <v>2E-3</v>
      </c>
      <c r="AP81" s="3">
        <v>0.54200000000000004</v>
      </c>
      <c r="AQ81" s="3">
        <v>1.0999999999999999E-2</v>
      </c>
      <c r="AR81" s="3">
        <v>0.38400000000000001</v>
      </c>
      <c r="AS81" s="3">
        <v>1.0999999999999999E-2</v>
      </c>
      <c r="AT81" s="3">
        <v>0.46600000000000003</v>
      </c>
      <c r="AU81" s="3">
        <v>1.0999999999999999E-2</v>
      </c>
      <c r="AV81" s="3">
        <v>0.41299999999999998</v>
      </c>
      <c r="AW81" s="3">
        <v>6.0000000000000001E-3</v>
      </c>
      <c r="AX81" s="3">
        <v>0.35899999999999999</v>
      </c>
      <c r="AY81" s="3">
        <v>2.3E-2</v>
      </c>
      <c r="AZ81" s="3">
        <v>0.34499999999999997</v>
      </c>
      <c r="BA81" s="3">
        <v>8.9999999999999993E-3</v>
      </c>
      <c r="BB81" s="3">
        <v>0.27</v>
      </c>
      <c r="BC81" s="3">
        <v>0.76700000000000002</v>
      </c>
      <c r="BD81" s="3">
        <v>0.69899999999999995</v>
      </c>
      <c r="BE81" s="3">
        <v>0.73750000000000004</v>
      </c>
      <c r="BF81" s="3">
        <v>0.83733333300000001</v>
      </c>
      <c r="BG81" s="3">
        <v>0.83183333400000004</v>
      </c>
      <c r="BH81" s="3">
        <v>0.84599999999999997</v>
      </c>
      <c r="BI81" s="3">
        <v>0.60299999999999998</v>
      </c>
      <c r="BJ81" s="3">
        <v>0.89666666699999997</v>
      </c>
      <c r="BK81" s="3">
        <v>0.92149999999999999</v>
      </c>
      <c r="BL81" s="3">
        <v>0.83066666700000003</v>
      </c>
      <c r="BM81" s="3">
        <v>0.01</v>
      </c>
      <c r="BN81" s="3">
        <v>0.75700000000000001</v>
      </c>
      <c r="BO81" s="3">
        <v>0.84299999999999997</v>
      </c>
      <c r="BP81" s="48" t="s">
        <v>312</v>
      </c>
      <c r="BQ81" s="49" t="s">
        <v>330</v>
      </c>
      <c r="BR81" s="3">
        <v>11.721</v>
      </c>
      <c r="BS81" s="3">
        <v>10.983000000000001</v>
      </c>
      <c r="BT81" s="3">
        <v>11.138</v>
      </c>
      <c r="BU81" s="3">
        <v>10.279</v>
      </c>
      <c r="BV81" s="3">
        <v>10.763999999999999</v>
      </c>
      <c r="BW81" s="3">
        <v>15.694000000000001</v>
      </c>
      <c r="BX81" s="3">
        <v>10.337999999999999</v>
      </c>
      <c r="BY81" s="3">
        <v>12.81</v>
      </c>
      <c r="BZ81" s="3">
        <v>12.813000000000001</v>
      </c>
      <c r="CA81" s="3">
        <v>13.33</v>
      </c>
      <c r="CB81" s="3">
        <v>9.1300000000000008</v>
      </c>
      <c r="CC81" s="3">
        <v>12.433</v>
      </c>
      <c r="CD81" s="3">
        <v>9.6460000000000008</v>
      </c>
    </row>
    <row r="82" spans="1:82" x14ac:dyDescent="0.3">
      <c r="A82" s="48" t="s">
        <v>312</v>
      </c>
      <c r="B82" s="49" t="s">
        <v>331</v>
      </c>
      <c r="C82" s="3">
        <v>32.3966037</v>
      </c>
      <c r="D82" s="3">
        <v>31.305275569999999</v>
      </c>
      <c r="E82" s="3">
        <v>31.305275569999999</v>
      </c>
      <c r="F82" s="3">
        <v>26.860753729999999</v>
      </c>
      <c r="G82" s="3">
        <v>31.305275569999999</v>
      </c>
      <c r="H82" s="3">
        <v>31.305275569999999</v>
      </c>
      <c r="I82" s="48" t="s">
        <v>312</v>
      </c>
      <c r="J82" s="49" t="s">
        <v>331</v>
      </c>
      <c r="K82" s="3">
        <v>24871.5</v>
      </c>
      <c r="L82" s="48" t="s">
        <v>312</v>
      </c>
      <c r="M82" s="49" t="s">
        <v>331</v>
      </c>
      <c r="N82" s="3">
        <v>2032.190396</v>
      </c>
      <c r="O82" s="3">
        <v>2300.211237</v>
      </c>
      <c r="P82" s="3">
        <v>1835.48397</v>
      </c>
      <c r="Q82" s="3">
        <v>1499.080524</v>
      </c>
      <c r="R82" s="3">
        <v>2087.2300460000001</v>
      </c>
      <c r="S82" s="3">
        <v>2070.4076180000002</v>
      </c>
      <c r="T82" s="3">
        <v>1347.6595850000001</v>
      </c>
      <c r="U82" s="3">
        <v>2389.0813520000002</v>
      </c>
      <c r="V82" s="3">
        <v>1751.541935</v>
      </c>
      <c r="W82" s="3">
        <v>1397.864433</v>
      </c>
      <c r="X82" s="3">
        <v>1201.520219</v>
      </c>
      <c r="Y82" s="3">
        <v>259.65921479999997</v>
      </c>
      <c r="Z82" s="3">
        <v>463.83145940000003</v>
      </c>
      <c r="AA82" s="48" t="s">
        <v>312</v>
      </c>
      <c r="AB82" s="49" t="s">
        <v>331</v>
      </c>
      <c r="AC82" s="3">
        <v>0.10199999999999999</v>
      </c>
      <c r="AD82" s="3">
        <v>0.34100000000000003</v>
      </c>
      <c r="AE82" s="3">
        <v>0.189</v>
      </c>
      <c r="AF82" s="3">
        <v>0.31900000000000001</v>
      </c>
      <c r="AG82" s="3">
        <v>0.13300000000000001</v>
      </c>
      <c r="AH82" s="3">
        <v>0.38100000000000001</v>
      </c>
      <c r="AI82" s="3">
        <v>7.0999999999999994E-2</v>
      </c>
      <c r="AJ82" s="3">
        <v>0.28899999999999998</v>
      </c>
      <c r="AK82" s="3">
        <v>9.5000000000000001E-2</v>
      </c>
      <c r="AL82" s="3">
        <v>0.55900000000000005</v>
      </c>
      <c r="AM82" s="3">
        <v>0.10100000000000001</v>
      </c>
      <c r="AN82" s="3">
        <v>0.46700000000000003</v>
      </c>
      <c r="AO82" s="3">
        <v>5.0999999999999997E-2</v>
      </c>
      <c r="AP82" s="3">
        <v>0.46700000000000003</v>
      </c>
      <c r="AQ82" s="3">
        <v>7.9000000000000001E-2</v>
      </c>
      <c r="AR82" s="3">
        <v>0.30299999999999999</v>
      </c>
      <c r="AS82" s="3">
        <v>8.2000000000000003E-2</v>
      </c>
      <c r="AT82" s="3">
        <v>0.34799999999999998</v>
      </c>
      <c r="AU82" s="3">
        <v>8.1000000000000003E-2</v>
      </c>
      <c r="AV82" s="3">
        <v>0.30199999999999999</v>
      </c>
      <c r="AW82" s="3">
        <v>6.7000000000000004E-2</v>
      </c>
      <c r="AX82" s="3">
        <v>0.26400000000000001</v>
      </c>
      <c r="AY82" s="3">
        <v>0.182</v>
      </c>
      <c r="AZ82" s="3">
        <v>0.26800000000000002</v>
      </c>
      <c r="BA82" s="3">
        <v>0.123</v>
      </c>
      <c r="BB82" s="3">
        <v>0.23400000000000001</v>
      </c>
      <c r="BC82" s="3">
        <v>0.72850000000000004</v>
      </c>
      <c r="BD82" s="3">
        <v>0.63</v>
      </c>
      <c r="BE82" s="3">
        <v>0.72150000000000003</v>
      </c>
      <c r="BF82" s="3">
        <v>0.83233333300000001</v>
      </c>
      <c r="BG82" s="3">
        <v>0.81141666700000004</v>
      </c>
      <c r="BH82" s="3">
        <v>0.83899999999999997</v>
      </c>
      <c r="BI82" s="3">
        <v>0.56999999999999995</v>
      </c>
      <c r="BJ82" s="3">
        <v>0.89433333299999995</v>
      </c>
      <c r="BK82" s="3">
        <v>0.89</v>
      </c>
      <c r="BL82" s="3">
        <v>0.79466666699999999</v>
      </c>
      <c r="BM82" s="3">
        <v>0.01</v>
      </c>
      <c r="BN82" s="3">
        <v>0.72</v>
      </c>
      <c r="BO82" s="3">
        <v>0.80700000000000005</v>
      </c>
      <c r="BP82" s="48" t="s">
        <v>312</v>
      </c>
      <c r="BQ82" s="49" t="s">
        <v>331</v>
      </c>
      <c r="BR82" s="3">
        <v>13.859</v>
      </c>
      <c r="BS82" s="3">
        <v>12.516</v>
      </c>
      <c r="BT82" s="3">
        <v>12.506</v>
      </c>
      <c r="BU82" s="3">
        <v>11.087999999999999</v>
      </c>
      <c r="BV82" s="3">
        <v>12.911</v>
      </c>
      <c r="BW82" s="3">
        <v>15.705</v>
      </c>
      <c r="BX82" s="3">
        <v>10.978999999999999</v>
      </c>
      <c r="BY82" s="3">
        <v>14.021000000000001</v>
      </c>
      <c r="BZ82" s="3">
        <v>14.518000000000001</v>
      </c>
      <c r="CA82" s="3">
        <v>15.101000000000001</v>
      </c>
      <c r="CB82" s="3">
        <v>10.83</v>
      </c>
      <c r="CC82" s="3">
        <v>13.573</v>
      </c>
      <c r="CD82" s="3">
        <v>10.208</v>
      </c>
    </row>
    <row r="83" spans="1:82" x14ac:dyDescent="0.3">
      <c r="A83" s="48" t="s">
        <v>312</v>
      </c>
      <c r="B83" s="49" t="s">
        <v>332</v>
      </c>
      <c r="C83" s="3">
        <v>32.238185100000003</v>
      </c>
      <c r="D83" s="3">
        <v>31.023642500000001</v>
      </c>
      <c r="E83" s="3">
        <v>31.023642500000001</v>
      </c>
      <c r="F83" s="3">
        <v>26.904758900000001</v>
      </c>
      <c r="G83" s="3">
        <v>31.023642500000001</v>
      </c>
      <c r="H83" s="3">
        <v>31.023642500000001</v>
      </c>
      <c r="I83" s="48" t="s">
        <v>312</v>
      </c>
      <c r="J83" s="49" t="s">
        <v>332</v>
      </c>
      <c r="K83" s="3">
        <v>26491</v>
      </c>
      <c r="L83" s="48" t="s">
        <v>312</v>
      </c>
      <c r="M83" s="49" t="s">
        <v>332</v>
      </c>
      <c r="N83" s="3">
        <v>2557.3173379999998</v>
      </c>
      <c r="O83" s="3">
        <v>3220.8748110000001</v>
      </c>
      <c r="P83" s="3">
        <v>1792.517464</v>
      </c>
      <c r="Q83" s="3">
        <v>1562.4668670000001</v>
      </c>
      <c r="R83" s="3">
        <v>2745.1385089999999</v>
      </c>
      <c r="S83" s="3">
        <v>3094.0911150000002</v>
      </c>
      <c r="T83" s="3">
        <v>2207.7398320000002</v>
      </c>
      <c r="U83" s="3">
        <v>3127.0259489999999</v>
      </c>
      <c r="V83" s="3">
        <v>2313.769018</v>
      </c>
      <c r="W83" s="3">
        <v>1345.815161</v>
      </c>
      <c r="X83" s="3">
        <v>2098.163133</v>
      </c>
      <c r="Y83" s="3">
        <v>262.47599000000002</v>
      </c>
      <c r="Z83" s="3">
        <v>667.08691859999999</v>
      </c>
      <c r="AA83" s="48" t="s">
        <v>312</v>
      </c>
      <c r="AB83" s="49" t="s">
        <v>332</v>
      </c>
      <c r="AC83" s="3">
        <v>0.32900000000000001</v>
      </c>
      <c r="AD83" s="3">
        <v>0.34899999999999998</v>
      </c>
      <c r="AE83" s="3">
        <v>0.38</v>
      </c>
      <c r="AF83" s="3">
        <v>0.27300000000000002</v>
      </c>
      <c r="AG83" s="3">
        <v>0.28100000000000003</v>
      </c>
      <c r="AH83" s="3">
        <v>0.34799999999999998</v>
      </c>
      <c r="AI83" s="3">
        <v>0.14599999999999999</v>
      </c>
      <c r="AJ83" s="3">
        <v>0.26400000000000001</v>
      </c>
      <c r="AK83" s="3">
        <v>0.248</v>
      </c>
      <c r="AL83" s="3">
        <v>0.58599999999999997</v>
      </c>
      <c r="AM83" s="3">
        <v>0.252</v>
      </c>
      <c r="AN83" s="3">
        <v>0.38800000000000001</v>
      </c>
      <c r="AO83" s="3">
        <v>0.124</v>
      </c>
      <c r="AP83" s="3">
        <v>0.38800000000000001</v>
      </c>
      <c r="AQ83" s="3">
        <v>0.17</v>
      </c>
      <c r="AR83" s="3">
        <v>0.251</v>
      </c>
      <c r="AS83" s="3">
        <v>0.189</v>
      </c>
      <c r="AT83" s="3">
        <v>0.3</v>
      </c>
      <c r="AU83" s="3">
        <v>0.19</v>
      </c>
      <c r="AV83" s="3">
        <v>0.218</v>
      </c>
      <c r="AW83" s="3">
        <v>0.20300000000000001</v>
      </c>
      <c r="AX83" s="3">
        <v>0.22900000000000001</v>
      </c>
      <c r="AY83" s="3">
        <v>0.37</v>
      </c>
      <c r="AZ83" s="3">
        <v>0.21</v>
      </c>
      <c r="BA83" s="3">
        <v>0.33</v>
      </c>
      <c r="BB83" s="3">
        <v>0.222</v>
      </c>
      <c r="BC83" s="3">
        <v>0.75549999999999995</v>
      </c>
      <c r="BD83" s="3">
        <v>0.71099999999999997</v>
      </c>
      <c r="BE83" s="3">
        <v>0.78500000000000003</v>
      </c>
      <c r="BF83" s="3">
        <v>0.86033333300000003</v>
      </c>
      <c r="BG83" s="3">
        <v>0.81825000000000003</v>
      </c>
      <c r="BH83" s="3">
        <v>0.84699999999999998</v>
      </c>
      <c r="BI83" s="3">
        <v>0.56850000000000001</v>
      </c>
      <c r="BJ83" s="3">
        <v>0.88100000000000001</v>
      </c>
      <c r="BK83" s="3">
        <v>0.88200000000000001</v>
      </c>
      <c r="BL83" s="3">
        <v>0.76200000000000001</v>
      </c>
      <c r="BM83" s="3">
        <v>0.01</v>
      </c>
      <c r="BN83" s="3">
        <v>0.72399999999999998</v>
      </c>
      <c r="BO83" s="3">
        <v>0.80900000000000005</v>
      </c>
      <c r="BP83" s="48" t="s">
        <v>312</v>
      </c>
      <c r="BQ83" s="49" t="s">
        <v>332</v>
      </c>
      <c r="BR83" s="3">
        <v>15.691000000000001</v>
      </c>
      <c r="BS83" s="3">
        <v>14.198</v>
      </c>
      <c r="BT83" s="3">
        <v>13.984999999999999</v>
      </c>
      <c r="BU83" s="3">
        <v>12.449</v>
      </c>
      <c r="BV83" s="3">
        <v>15.21</v>
      </c>
      <c r="BW83" s="3">
        <v>15.736000000000001</v>
      </c>
      <c r="BX83" s="3">
        <v>11.977</v>
      </c>
      <c r="BY83" s="3">
        <v>14.993</v>
      </c>
      <c r="BZ83" s="3">
        <v>15.88</v>
      </c>
      <c r="CA83" s="3">
        <v>16.044</v>
      </c>
      <c r="CB83" s="3">
        <v>12.907</v>
      </c>
      <c r="CC83" s="3">
        <v>14.343999999999999</v>
      </c>
      <c r="CD83" s="3">
        <v>11.106</v>
      </c>
    </row>
    <row r="84" spans="1:82" x14ac:dyDescent="0.3">
      <c r="A84" s="48" t="s">
        <v>312</v>
      </c>
      <c r="B84" s="49" t="s">
        <v>333</v>
      </c>
      <c r="C84" s="3">
        <v>42.077740370000001</v>
      </c>
      <c r="D84" s="3">
        <v>31.340479699999999</v>
      </c>
      <c r="E84" s="3">
        <v>31.340479699999999</v>
      </c>
      <c r="F84" s="3">
        <v>26.913559930000002</v>
      </c>
      <c r="G84" s="3">
        <v>31.340479699999999</v>
      </c>
      <c r="H84" s="3">
        <v>31.340479699999999</v>
      </c>
      <c r="I84" s="48" t="s">
        <v>312</v>
      </c>
      <c r="J84" s="49" t="s">
        <v>333</v>
      </c>
      <c r="K84" s="3">
        <v>26893</v>
      </c>
      <c r="L84" s="48" t="s">
        <v>312</v>
      </c>
      <c r="M84" s="49" t="s">
        <v>333</v>
      </c>
      <c r="N84" s="3">
        <v>2237.6542279999999</v>
      </c>
      <c r="O84" s="3">
        <v>2913.6689110000002</v>
      </c>
      <c r="P84" s="3">
        <v>1587.8396729999999</v>
      </c>
      <c r="Q84" s="3">
        <v>1428.342823</v>
      </c>
      <c r="R84" s="3">
        <v>2772.9005010000001</v>
      </c>
      <c r="S84" s="3">
        <v>3293.585924</v>
      </c>
      <c r="T84" s="3">
        <v>2390.9858789999998</v>
      </c>
      <c r="U84" s="3">
        <v>2828.4336680000001</v>
      </c>
      <c r="V84" s="3">
        <v>1953.3221169999999</v>
      </c>
      <c r="W84" s="3">
        <v>1213.913515</v>
      </c>
      <c r="X84" s="3">
        <v>2083.2705380000002</v>
      </c>
      <c r="Y84" s="3">
        <v>239.17975709999999</v>
      </c>
      <c r="Z84" s="3">
        <v>619.75740840000003</v>
      </c>
      <c r="AA84" s="48" t="s">
        <v>312</v>
      </c>
      <c r="AB84" s="49" t="s">
        <v>333</v>
      </c>
      <c r="AC84" s="3">
        <v>0.51200000000000001</v>
      </c>
      <c r="AD84" s="3">
        <v>0.40300000000000002</v>
      </c>
      <c r="AE84" s="3">
        <v>0.52300000000000002</v>
      </c>
      <c r="AF84" s="3">
        <v>0.39400000000000002</v>
      </c>
      <c r="AG84" s="3">
        <v>0.38900000000000001</v>
      </c>
      <c r="AH84" s="3">
        <v>0.46300000000000002</v>
      </c>
      <c r="AI84" s="3">
        <v>0.25700000000000001</v>
      </c>
      <c r="AJ84" s="3">
        <v>0.34</v>
      </c>
      <c r="AK84" s="3">
        <v>0.443</v>
      </c>
      <c r="AL84" s="3">
        <v>0.60899999999999999</v>
      </c>
      <c r="AM84" s="3">
        <v>0.42799999999999999</v>
      </c>
      <c r="AN84" s="3">
        <v>0.439</v>
      </c>
      <c r="AO84" s="3">
        <v>0.248</v>
      </c>
      <c r="AP84" s="3">
        <v>0.439</v>
      </c>
      <c r="AQ84" s="3">
        <v>0.26</v>
      </c>
      <c r="AR84" s="3">
        <v>0.25600000000000001</v>
      </c>
      <c r="AS84" s="3">
        <v>0.38300000000000001</v>
      </c>
      <c r="AT84" s="3">
        <v>0.33500000000000002</v>
      </c>
      <c r="AU84" s="3">
        <v>0.38600000000000001</v>
      </c>
      <c r="AV84" s="3">
        <v>0.20100000000000001</v>
      </c>
      <c r="AW84" s="3">
        <v>0.48</v>
      </c>
      <c r="AX84" s="3">
        <v>0.29499999999999998</v>
      </c>
      <c r="AY84" s="3">
        <v>0.52</v>
      </c>
      <c r="AZ84" s="3">
        <v>0.19700000000000001</v>
      </c>
      <c r="BA84" s="3">
        <v>0.495</v>
      </c>
      <c r="BB84" s="3">
        <v>0.23499999999999999</v>
      </c>
      <c r="BC84" s="3">
        <v>0.80700000000000005</v>
      </c>
      <c r="BD84" s="3">
        <v>0.79600000000000004</v>
      </c>
      <c r="BE84" s="3">
        <v>0.8175</v>
      </c>
      <c r="BF84" s="3">
        <v>0.87433333300000005</v>
      </c>
      <c r="BG84" s="3">
        <v>0.83050000000000002</v>
      </c>
      <c r="BH84" s="3">
        <v>0.86499999999999999</v>
      </c>
      <c r="BI84" s="3">
        <v>0.65049999999999997</v>
      </c>
      <c r="BJ84" s="3">
        <v>0.85399999999999998</v>
      </c>
      <c r="BK84" s="3">
        <v>0.82199999999999995</v>
      </c>
      <c r="BL84" s="3">
        <v>0.75666666699999996</v>
      </c>
      <c r="BM84" s="3">
        <v>0.01</v>
      </c>
      <c r="BN84" s="3">
        <v>0.746</v>
      </c>
      <c r="BO84" s="3">
        <v>0.80800000000000005</v>
      </c>
      <c r="BP84" s="48" t="s">
        <v>312</v>
      </c>
      <c r="BQ84" s="49" t="s">
        <v>333</v>
      </c>
      <c r="BR84" s="3">
        <v>17.262</v>
      </c>
      <c r="BS84" s="3">
        <v>16.244</v>
      </c>
      <c r="BT84" s="3">
        <v>15.589</v>
      </c>
      <c r="BU84" s="3">
        <v>14.170999999999999</v>
      </c>
      <c r="BV84" s="3">
        <v>17.766999999999999</v>
      </c>
      <c r="BW84" s="3">
        <v>15.775</v>
      </c>
      <c r="BX84" s="3">
        <v>13.238</v>
      </c>
      <c r="BY84" s="3">
        <v>16.190000000000001</v>
      </c>
      <c r="BZ84" s="3">
        <v>17.454999999999998</v>
      </c>
      <c r="CA84" s="3">
        <v>16.611999999999998</v>
      </c>
      <c r="CB84" s="3">
        <v>15.209</v>
      </c>
      <c r="CC84" s="3">
        <v>14.972</v>
      </c>
      <c r="CD84" s="3">
        <v>12.14</v>
      </c>
    </row>
    <row r="85" spans="1:82" x14ac:dyDescent="0.3">
      <c r="A85" s="48" t="s">
        <v>312</v>
      </c>
      <c r="B85" s="49" t="s">
        <v>334</v>
      </c>
      <c r="C85" s="3">
        <v>43.890753230000001</v>
      </c>
      <c r="D85" s="3">
        <v>30.988438370000001</v>
      </c>
      <c r="E85" s="3">
        <v>30.988438370000001</v>
      </c>
      <c r="F85" s="3">
        <v>26.904758900000001</v>
      </c>
      <c r="G85" s="3">
        <v>30.988438370000001</v>
      </c>
      <c r="H85" s="3">
        <v>30.988438370000001</v>
      </c>
      <c r="I85" s="48" t="s">
        <v>312</v>
      </c>
      <c r="J85" s="49" t="s">
        <v>334</v>
      </c>
      <c r="K85" s="3">
        <v>26715</v>
      </c>
      <c r="L85" s="48" t="s">
        <v>312</v>
      </c>
      <c r="M85" s="49" t="s">
        <v>334</v>
      </c>
      <c r="N85" s="3">
        <v>1704.071524</v>
      </c>
      <c r="O85" s="3">
        <v>2318.3036929999998</v>
      </c>
      <c r="P85" s="3">
        <v>1320.598999</v>
      </c>
      <c r="Q85" s="3">
        <v>1286.5976230000001</v>
      </c>
      <c r="R85" s="3">
        <v>2408.4991599999998</v>
      </c>
      <c r="S85" s="3">
        <v>3034.5835120000002</v>
      </c>
      <c r="T85" s="3">
        <v>2171.713088</v>
      </c>
      <c r="U85" s="3">
        <v>2322.1280320000001</v>
      </c>
      <c r="V85" s="3">
        <v>1549.5886330000001</v>
      </c>
      <c r="W85" s="3">
        <v>1094.5839779999999</v>
      </c>
      <c r="X85" s="3">
        <v>1697.8657439999999</v>
      </c>
      <c r="Y85" s="3">
        <v>191.22237899999999</v>
      </c>
      <c r="Z85" s="3">
        <v>719.6862711</v>
      </c>
      <c r="AA85" s="48" t="s">
        <v>312</v>
      </c>
      <c r="AB85" s="49" t="s">
        <v>334</v>
      </c>
      <c r="AC85" s="3">
        <v>0.62</v>
      </c>
      <c r="AD85" s="3">
        <v>0.41</v>
      </c>
      <c r="AE85" s="3">
        <v>0.60699999999999998</v>
      </c>
      <c r="AF85" s="3">
        <v>0.44500000000000001</v>
      </c>
      <c r="AG85" s="3">
        <v>0.51200000000000001</v>
      </c>
      <c r="AH85" s="3">
        <v>0.52400000000000002</v>
      </c>
      <c r="AI85" s="3">
        <v>0.51800000000000002</v>
      </c>
      <c r="AJ85" s="3">
        <v>0.36799999999999999</v>
      </c>
      <c r="AK85" s="3">
        <v>0.61499999999999999</v>
      </c>
      <c r="AL85" s="3">
        <v>0.61699999999999999</v>
      </c>
      <c r="AM85" s="3">
        <v>0.59499999999999997</v>
      </c>
      <c r="AN85" s="3">
        <v>0.437</v>
      </c>
      <c r="AO85" s="3">
        <v>0.36099999999999999</v>
      </c>
      <c r="AP85" s="3">
        <v>0.437</v>
      </c>
      <c r="AQ85" s="3">
        <v>0.40200000000000002</v>
      </c>
      <c r="AR85" s="3">
        <v>0.27100000000000002</v>
      </c>
      <c r="AS85" s="3">
        <v>0.60699999999999998</v>
      </c>
      <c r="AT85" s="3">
        <v>0.36699999999999999</v>
      </c>
      <c r="AU85" s="3">
        <v>0.60799999999999998</v>
      </c>
      <c r="AV85" s="3">
        <v>0.19800000000000001</v>
      </c>
      <c r="AW85" s="3">
        <v>0.52100000000000002</v>
      </c>
      <c r="AX85" s="3">
        <v>0.34499999999999997</v>
      </c>
      <c r="AY85" s="3">
        <v>0.60599999999999998</v>
      </c>
      <c r="AZ85" s="3">
        <v>0.20300000000000001</v>
      </c>
      <c r="BA85" s="3">
        <v>0.58899999999999997</v>
      </c>
      <c r="BB85" s="3">
        <v>0.26300000000000001</v>
      </c>
      <c r="BC85" s="3">
        <v>0.82950000000000002</v>
      </c>
      <c r="BD85" s="3">
        <v>0.79649999999999999</v>
      </c>
      <c r="BE85" s="3">
        <v>0.8145</v>
      </c>
      <c r="BF85" s="3">
        <v>0.87966666699999996</v>
      </c>
      <c r="BG85" s="3">
        <v>0.82158333400000005</v>
      </c>
      <c r="BH85" s="3">
        <v>0.86899999999999999</v>
      </c>
      <c r="BI85" s="3">
        <v>0.70199999999999996</v>
      </c>
      <c r="BJ85" s="3">
        <v>0.81366666700000001</v>
      </c>
      <c r="BK85" s="3">
        <v>0.746</v>
      </c>
      <c r="BL85" s="3">
        <v>0.76300000000000001</v>
      </c>
      <c r="BM85" s="3">
        <v>0.01</v>
      </c>
      <c r="BN85" s="3">
        <v>0.76133333299999995</v>
      </c>
      <c r="BO85" s="3">
        <v>0.80400000000000005</v>
      </c>
      <c r="BP85" s="48" t="s">
        <v>312</v>
      </c>
      <c r="BQ85" s="49" t="s">
        <v>334</v>
      </c>
      <c r="BR85" s="3">
        <v>18.343</v>
      </c>
      <c r="BS85" s="3">
        <v>17.742999999999999</v>
      </c>
      <c r="BT85" s="3">
        <v>16.882999999999999</v>
      </c>
      <c r="BU85" s="3">
        <v>15.709</v>
      </c>
      <c r="BV85" s="3">
        <v>19.402000000000001</v>
      </c>
      <c r="BW85" s="3">
        <v>15.776999999999999</v>
      </c>
      <c r="BX85" s="3">
        <v>14.331</v>
      </c>
      <c r="BY85" s="3">
        <v>17.312999999999999</v>
      </c>
      <c r="BZ85" s="3">
        <v>18.591000000000001</v>
      </c>
      <c r="CA85" s="3">
        <v>17.245000000000001</v>
      </c>
      <c r="CB85" s="3">
        <v>16.957000000000001</v>
      </c>
      <c r="CC85" s="3">
        <v>15.586</v>
      </c>
      <c r="CD85" s="3">
        <v>13.183999999999999</v>
      </c>
    </row>
    <row r="86" spans="1:82" x14ac:dyDescent="0.3">
      <c r="A86" s="48" t="s">
        <v>312</v>
      </c>
      <c r="B86" s="49" t="s">
        <v>335</v>
      </c>
      <c r="C86" s="3">
        <v>42.808226130000001</v>
      </c>
      <c r="D86" s="3">
        <v>28.788180029999999</v>
      </c>
      <c r="E86" s="3">
        <v>28.788180029999999</v>
      </c>
      <c r="F86" s="3">
        <v>26.89595787</v>
      </c>
      <c r="G86" s="3">
        <v>28.788180029999999</v>
      </c>
      <c r="H86" s="3">
        <v>28.788180029999999</v>
      </c>
      <c r="I86" s="48" t="s">
        <v>312</v>
      </c>
      <c r="J86" s="49" t="s">
        <v>335</v>
      </c>
      <c r="K86" s="3">
        <v>26983</v>
      </c>
      <c r="L86" s="48" t="s">
        <v>312</v>
      </c>
      <c r="M86" s="49" t="s">
        <v>335</v>
      </c>
      <c r="N86" s="3">
        <v>1329.6861570000001</v>
      </c>
      <c r="O86" s="3">
        <v>1944.5240020000001</v>
      </c>
      <c r="P86" s="3">
        <v>1142.136923</v>
      </c>
      <c r="Q86" s="3">
        <v>1209.922513</v>
      </c>
      <c r="R86" s="3">
        <v>2023.2062120000001</v>
      </c>
      <c r="S86" s="3">
        <v>2683.7130560000001</v>
      </c>
      <c r="T86" s="3">
        <v>1967.3442379999999</v>
      </c>
      <c r="U86" s="3">
        <v>1850.1625650000001</v>
      </c>
      <c r="V86" s="3">
        <v>1270.111584</v>
      </c>
      <c r="W86" s="3">
        <v>939.10581820000004</v>
      </c>
      <c r="X86" s="3">
        <v>1261.624229</v>
      </c>
      <c r="Y86" s="3">
        <v>221.7191224</v>
      </c>
      <c r="Z86" s="3">
        <v>513.08551490000002</v>
      </c>
      <c r="AA86" s="48" t="s">
        <v>312</v>
      </c>
      <c r="AB86" s="49" t="s">
        <v>335</v>
      </c>
      <c r="AC86" s="3">
        <v>0.65100000000000002</v>
      </c>
      <c r="AD86" s="3">
        <v>0.42299999999999999</v>
      </c>
      <c r="AE86" s="3">
        <v>0.63500000000000001</v>
      </c>
      <c r="AF86" s="3">
        <v>0.45900000000000002</v>
      </c>
      <c r="AG86" s="3">
        <v>0.61699999999999999</v>
      </c>
      <c r="AH86" s="3">
        <v>0.55700000000000005</v>
      </c>
      <c r="AI86" s="3">
        <v>0.63800000000000001</v>
      </c>
      <c r="AJ86" s="3">
        <v>0.38700000000000001</v>
      </c>
      <c r="AK86" s="3">
        <v>0.65600000000000003</v>
      </c>
      <c r="AL86" s="3">
        <v>0.61299999999999999</v>
      </c>
      <c r="AM86" s="3">
        <v>0.66</v>
      </c>
      <c r="AN86" s="3">
        <v>0.44900000000000001</v>
      </c>
      <c r="AO86" s="3">
        <v>0.26100000000000001</v>
      </c>
      <c r="AP86" s="3">
        <v>0.44900000000000001</v>
      </c>
      <c r="AQ86" s="3">
        <v>0.61199999999999999</v>
      </c>
      <c r="AR86" s="3">
        <v>0.30199999999999999</v>
      </c>
      <c r="AS86" s="3">
        <v>0.66200000000000003</v>
      </c>
      <c r="AT86" s="3">
        <v>0.4</v>
      </c>
      <c r="AU86" s="3">
        <v>0.66100000000000003</v>
      </c>
      <c r="AV86" s="3">
        <v>0.215</v>
      </c>
      <c r="AW86" s="3">
        <v>0.60899999999999999</v>
      </c>
      <c r="AX86" s="3">
        <v>0.37</v>
      </c>
      <c r="AY86" s="3">
        <v>0.64700000000000002</v>
      </c>
      <c r="AZ86" s="3">
        <v>0.20499999999999999</v>
      </c>
      <c r="BA86" s="3">
        <v>0.63700000000000001</v>
      </c>
      <c r="BB86" s="3">
        <v>0.19600000000000001</v>
      </c>
      <c r="BC86" s="3">
        <v>0.82950000000000002</v>
      </c>
      <c r="BD86" s="3">
        <v>0.78200000000000003</v>
      </c>
      <c r="BE86" s="3">
        <v>0.80600000000000005</v>
      </c>
      <c r="BF86" s="3">
        <v>0.89366666699999997</v>
      </c>
      <c r="BG86" s="3">
        <v>0.80358333400000004</v>
      </c>
      <c r="BH86" s="3">
        <v>0.879</v>
      </c>
      <c r="BI86" s="3">
        <v>0.747</v>
      </c>
      <c r="BJ86" s="3">
        <v>0.77766666699999998</v>
      </c>
      <c r="BK86" s="3">
        <v>0.73299999999999998</v>
      </c>
      <c r="BL86" s="3">
        <v>0.77900000000000003</v>
      </c>
      <c r="BM86" s="3">
        <v>0.01</v>
      </c>
      <c r="BN86" s="3">
        <v>0.76666666699999997</v>
      </c>
      <c r="BO86" s="3">
        <v>0.81599999999999995</v>
      </c>
      <c r="BP86" s="48" t="s">
        <v>312</v>
      </c>
      <c r="BQ86" s="49" t="s">
        <v>335</v>
      </c>
      <c r="BR86" s="3">
        <v>19.003</v>
      </c>
      <c r="BS86" s="3">
        <v>18.638999999999999</v>
      </c>
      <c r="BT86" s="3">
        <v>17.632000000000001</v>
      </c>
      <c r="BU86" s="3">
        <v>16.771000000000001</v>
      </c>
      <c r="BV86" s="3">
        <v>20.331</v>
      </c>
      <c r="BW86" s="3">
        <v>15.771000000000001</v>
      </c>
      <c r="BX86" s="3">
        <v>15.06</v>
      </c>
      <c r="BY86" s="3">
        <v>18.106000000000002</v>
      </c>
      <c r="BZ86" s="3">
        <v>19.21</v>
      </c>
      <c r="CA86" s="3">
        <v>17.794</v>
      </c>
      <c r="CB86" s="3">
        <v>17.776</v>
      </c>
      <c r="CC86" s="3">
        <v>16.122</v>
      </c>
      <c r="CD86" s="3">
        <v>14.051</v>
      </c>
    </row>
    <row r="87" spans="1:82" x14ac:dyDescent="0.3">
      <c r="A87" s="48" t="s">
        <v>312</v>
      </c>
      <c r="B87" s="49" t="s">
        <v>336</v>
      </c>
      <c r="C87" s="3">
        <v>41.347254599999999</v>
      </c>
      <c r="D87" s="3">
        <v>27.740857070000001</v>
      </c>
      <c r="E87" s="3">
        <v>27.740857070000001</v>
      </c>
      <c r="F87" s="3">
        <v>26.851952699999998</v>
      </c>
      <c r="G87" s="3">
        <v>27.740857070000001</v>
      </c>
      <c r="H87" s="3">
        <v>27.740857070000001</v>
      </c>
      <c r="I87" s="48" t="s">
        <v>312</v>
      </c>
      <c r="J87" s="49" t="s">
        <v>336</v>
      </c>
      <c r="K87" s="3">
        <v>26671</v>
      </c>
      <c r="L87" s="48" t="s">
        <v>312</v>
      </c>
      <c r="M87" s="49" t="s">
        <v>336</v>
      </c>
      <c r="N87" s="3">
        <v>1086.3570609999999</v>
      </c>
      <c r="O87" s="3">
        <v>1624.080845</v>
      </c>
      <c r="P87" s="3">
        <v>1082.3268419999999</v>
      </c>
      <c r="Q87" s="3">
        <v>1113.83017</v>
      </c>
      <c r="R87" s="3">
        <v>1846.4806779999999</v>
      </c>
      <c r="S87" s="3">
        <v>2337.15915</v>
      </c>
      <c r="T87" s="3">
        <v>2073.8197009999999</v>
      </c>
      <c r="U87" s="3">
        <v>1628.6015130000001</v>
      </c>
      <c r="V87" s="3">
        <v>1064.56367</v>
      </c>
      <c r="W87" s="3">
        <v>919.33157540000002</v>
      </c>
      <c r="X87" s="3">
        <v>1118.965794</v>
      </c>
      <c r="Y87" s="3">
        <v>225.90330040000001</v>
      </c>
      <c r="Z87" s="3">
        <v>353.97337690000001</v>
      </c>
      <c r="AA87" s="48" t="s">
        <v>312</v>
      </c>
      <c r="AB87" s="49" t="s">
        <v>336</v>
      </c>
      <c r="AC87" s="3">
        <v>0.64400000000000002</v>
      </c>
      <c r="AD87" s="3">
        <v>0.436</v>
      </c>
      <c r="AE87" s="3">
        <v>0.63100000000000001</v>
      </c>
      <c r="AF87" s="3">
        <v>0.45600000000000002</v>
      </c>
      <c r="AG87" s="3">
        <v>0.65100000000000002</v>
      </c>
      <c r="AH87" s="3">
        <v>0.56899999999999995</v>
      </c>
      <c r="AI87" s="3">
        <v>0.64100000000000001</v>
      </c>
      <c r="AJ87" s="3">
        <v>0.39500000000000002</v>
      </c>
      <c r="AK87" s="3">
        <v>0.65100000000000002</v>
      </c>
      <c r="AL87" s="3">
        <v>0.59699999999999998</v>
      </c>
      <c r="AM87" s="3">
        <v>0.65400000000000003</v>
      </c>
      <c r="AN87" s="3">
        <v>0.39200000000000002</v>
      </c>
      <c r="AO87" s="3">
        <v>0.14199999999999999</v>
      </c>
      <c r="AP87" s="3">
        <v>0.39200000000000002</v>
      </c>
      <c r="AQ87" s="3">
        <v>0.65500000000000003</v>
      </c>
      <c r="AR87" s="3">
        <v>0.32200000000000001</v>
      </c>
      <c r="AS87" s="3">
        <v>0.65500000000000003</v>
      </c>
      <c r="AT87" s="3">
        <v>0.42099999999999999</v>
      </c>
      <c r="AU87" s="3">
        <v>0.65400000000000003</v>
      </c>
      <c r="AV87" s="3">
        <v>0.24199999999999999</v>
      </c>
      <c r="AW87" s="3">
        <v>0.55900000000000005</v>
      </c>
      <c r="AX87" s="3">
        <v>0.35399999999999998</v>
      </c>
      <c r="AY87" s="3">
        <v>0.626</v>
      </c>
      <c r="AZ87" s="3">
        <v>0.20899999999999999</v>
      </c>
      <c r="BA87" s="3">
        <v>0.61499999999999999</v>
      </c>
      <c r="BB87" s="3">
        <v>0.182</v>
      </c>
      <c r="BC87" s="3">
        <v>0.82450000000000001</v>
      </c>
      <c r="BD87" s="3">
        <v>0.77800000000000002</v>
      </c>
      <c r="BE87" s="3">
        <v>0.80900000000000005</v>
      </c>
      <c r="BF87" s="3">
        <v>0.90933333299999997</v>
      </c>
      <c r="BG87" s="3">
        <v>0.78408333399999997</v>
      </c>
      <c r="BH87" s="3">
        <v>0.89</v>
      </c>
      <c r="BI87" s="3">
        <v>0.77049999999999996</v>
      </c>
      <c r="BJ87" s="3">
        <v>0.74366666699999995</v>
      </c>
      <c r="BK87" s="3">
        <v>0.76649999999999996</v>
      </c>
      <c r="BL87" s="3">
        <v>0.79900000000000004</v>
      </c>
      <c r="BM87" s="3">
        <v>0.01</v>
      </c>
      <c r="BN87" s="3">
        <v>0.77133333299999995</v>
      </c>
      <c r="BO87" s="3">
        <v>0.83399999999999996</v>
      </c>
      <c r="BP87" s="48" t="s">
        <v>312</v>
      </c>
      <c r="BQ87" s="49" t="s">
        <v>336</v>
      </c>
      <c r="BR87" s="3">
        <v>19.364999999999998</v>
      </c>
      <c r="BS87" s="3">
        <v>19.170000000000002</v>
      </c>
      <c r="BT87" s="3">
        <v>17.957999999999998</v>
      </c>
      <c r="BU87" s="3">
        <v>17.155000000000001</v>
      </c>
      <c r="BV87" s="3">
        <v>20.763999999999999</v>
      </c>
      <c r="BW87" s="3">
        <v>15.782</v>
      </c>
      <c r="BX87" s="3">
        <v>15.125</v>
      </c>
      <c r="BY87" s="3">
        <v>18.550999999999998</v>
      </c>
      <c r="BZ87" s="3">
        <v>19.521000000000001</v>
      </c>
      <c r="CA87" s="3">
        <v>18.143999999999998</v>
      </c>
      <c r="CB87" s="3">
        <v>18.152000000000001</v>
      </c>
      <c r="CC87" s="3">
        <v>16.576000000000001</v>
      </c>
      <c r="CD87" s="3">
        <v>14.811999999999999</v>
      </c>
    </row>
    <row r="88" spans="1:82" x14ac:dyDescent="0.3">
      <c r="A88" s="48" t="s">
        <v>312</v>
      </c>
      <c r="B88" s="49" t="s">
        <v>337</v>
      </c>
      <c r="C88" s="3">
        <v>40.599166769999997</v>
      </c>
      <c r="D88" s="3">
        <v>27.608841569999999</v>
      </c>
      <c r="E88" s="3">
        <v>27.608841569999999</v>
      </c>
      <c r="F88" s="3">
        <v>26.7199372</v>
      </c>
      <c r="G88" s="3">
        <v>27.608841569999999</v>
      </c>
      <c r="H88" s="3">
        <v>27.608841569999999</v>
      </c>
      <c r="I88" s="48" t="s">
        <v>312</v>
      </c>
      <c r="J88" s="49" t="s">
        <v>337</v>
      </c>
      <c r="K88" s="3">
        <v>26914</v>
      </c>
      <c r="L88" s="48" t="s">
        <v>312</v>
      </c>
      <c r="M88" s="49" t="s">
        <v>337</v>
      </c>
      <c r="N88" s="3">
        <v>1162.9110920000001</v>
      </c>
      <c r="O88" s="3">
        <v>1565.500072</v>
      </c>
      <c r="P88" s="3">
        <v>1029.3803720000001</v>
      </c>
      <c r="Q88" s="3">
        <v>976.37229930000001</v>
      </c>
      <c r="R88" s="3">
        <v>1905.0700899999999</v>
      </c>
      <c r="S88" s="3">
        <v>2292.8582889999998</v>
      </c>
      <c r="T88" s="3">
        <v>2054.6507689999999</v>
      </c>
      <c r="U88" s="3">
        <v>1628.153399</v>
      </c>
      <c r="V88" s="3">
        <v>1109.7658899999999</v>
      </c>
      <c r="W88" s="3">
        <v>771.78296409999996</v>
      </c>
      <c r="X88" s="3">
        <v>1117.882515</v>
      </c>
      <c r="Y88" s="3">
        <v>133.20070240000001</v>
      </c>
      <c r="Z88" s="3">
        <v>523.12223900000004</v>
      </c>
      <c r="AA88" s="48" t="s">
        <v>312</v>
      </c>
      <c r="AB88" s="49" t="s">
        <v>337</v>
      </c>
      <c r="AC88" s="3">
        <v>0.55200000000000005</v>
      </c>
      <c r="AD88" s="3">
        <v>0.439</v>
      </c>
      <c r="AE88" s="3">
        <v>0.58299999999999996</v>
      </c>
      <c r="AF88" s="3">
        <v>0.442</v>
      </c>
      <c r="AG88" s="3">
        <v>0.60699999999999998</v>
      </c>
      <c r="AH88" s="3">
        <v>0.56599999999999995</v>
      </c>
      <c r="AI88" s="3">
        <v>0.59099999999999997</v>
      </c>
      <c r="AJ88" s="3">
        <v>0.39300000000000002</v>
      </c>
      <c r="AK88" s="3">
        <v>0.51</v>
      </c>
      <c r="AL88" s="3">
        <v>0.59399999999999997</v>
      </c>
      <c r="AM88" s="3">
        <v>0.59599999999999997</v>
      </c>
      <c r="AN88" s="3">
        <v>0.30199999999999999</v>
      </c>
      <c r="AO88" s="3">
        <v>0.127</v>
      </c>
      <c r="AP88" s="3">
        <v>0.30199999999999999</v>
      </c>
      <c r="AQ88" s="3">
        <v>0.58899999999999997</v>
      </c>
      <c r="AR88" s="3">
        <v>0.31900000000000001</v>
      </c>
      <c r="AS88" s="3">
        <v>0.48799999999999999</v>
      </c>
      <c r="AT88" s="3">
        <v>0.40899999999999997</v>
      </c>
      <c r="AU88" s="3">
        <v>0.48499999999999999</v>
      </c>
      <c r="AV88" s="3">
        <v>0.25</v>
      </c>
      <c r="AW88" s="3">
        <v>0.36699999999999999</v>
      </c>
      <c r="AX88" s="3">
        <v>0.32100000000000001</v>
      </c>
      <c r="AY88" s="3">
        <v>0.55600000000000005</v>
      </c>
      <c r="AZ88" s="3">
        <v>0.20200000000000001</v>
      </c>
      <c r="BA88" s="3">
        <v>0.50600000000000001</v>
      </c>
      <c r="BB88" s="3">
        <v>0.20699999999999999</v>
      </c>
      <c r="BC88" s="3">
        <v>0.82950000000000002</v>
      </c>
      <c r="BD88" s="3">
        <v>0.78549999999999998</v>
      </c>
      <c r="BE88" s="3">
        <v>0.82599999999999996</v>
      </c>
      <c r="BF88" s="3">
        <v>0.92600000000000005</v>
      </c>
      <c r="BG88" s="3">
        <v>0.77875000000000005</v>
      </c>
      <c r="BH88" s="3">
        <v>0.90600000000000003</v>
      </c>
      <c r="BI88" s="3">
        <v>0.79900000000000004</v>
      </c>
      <c r="BJ88" s="3">
        <v>0.72799999999999998</v>
      </c>
      <c r="BK88" s="3">
        <v>0.80549999999999999</v>
      </c>
      <c r="BL88" s="3">
        <v>0.81666666700000001</v>
      </c>
      <c r="BM88" s="3">
        <v>0.01</v>
      </c>
      <c r="BN88" s="3">
        <v>0.77333333299999996</v>
      </c>
      <c r="BO88" s="3">
        <v>0.85299999999999998</v>
      </c>
      <c r="BP88" s="48" t="s">
        <v>312</v>
      </c>
      <c r="BQ88" s="49" t="s">
        <v>337</v>
      </c>
      <c r="BR88" s="3">
        <v>19.411000000000001</v>
      </c>
      <c r="BS88" s="3">
        <v>19.279</v>
      </c>
      <c r="BT88" s="3">
        <v>17.88</v>
      </c>
      <c r="BU88" s="3">
        <v>16.856000000000002</v>
      </c>
      <c r="BV88" s="3">
        <v>20.763000000000002</v>
      </c>
      <c r="BW88" s="3">
        <v>15.817</v>
      </c>
      <c r="BX88" s="3">
        <v>14.936999999999999</v>
      </c>
      <c r="BY88" s="3">
        <v>18.777000000000001</v>
      </c>
      <c r="BZ88" s="3">
        <v>19.516999999999999</v>
      </c>
      <c r="CA88" s="3">
        <v>18.344999999999999</v>
      </c>
      <c r="CB88" s="3">
        <v>18.388000000000002</v>
      </c>
      <c r="CC88" s="3">
        <v>16.986999999999998</v>
      </c>
      <c r="CD88" s="3">
        <v>15.327</v>
      </c>
    </row>
    <row r="89" spans="1:82" x14ac:dyDescent="0.3">
      <c r="A89" s="48" t="s">
        <v>312</v>
      </c>
      <c r="B89" s="49" t="s">
        <v>338</v>
      </c>
      <c r="C89" s="3">
        <v>40.159115100000001</v>
      </c>
      <c r="D89" s="3">
        <v>27.8288674</v>
      </c>
      <c r="E89" s="3">
        <v>27.8288674</v>
      </c>
      <c r="F89" s="3">
        <v>26.878355800000001</v>
      </c>
      <c r="G89" s="3">
        <v>27.8288674</v>
      </c>
      <c r="H89" s="3">
        <v>27.8288674</v>
      </c>
      <c r="I89" s="48" t="s">
        <v>312</v>
      </c>
      <c r="J89" s="49" t="s">
        <v>338</v>
      </c>
      <c r="K89" s="3">
        <v>28023</v>
      </c>
      <c r="L89" s="48" t="s">
        <v>312</v>
      </c>
      <c r="M89" s="49" t="s">
        <v>338</v>
      </c>
      <c r="N89" s="3">
        <v>975.66311640000004</v>
      </c>
      <c r="O89" s="3">
        <v>1424.137395</v>
      </c>
      <c r="P89" s="3">
        <v>1008.687274</v>
      </c>
      <c r="Q89" s="3">
        <v>1051.6311639999999</v>
      </c>
      <c r="R89" s="3">
        <v>1750.5987680000001</v>
      </c>
      <c r="S89" s="3">
        <v>2031.6769589999999</v>
      </c>
      <c r="T89" s="3">
        <v>1873.0891899999999</v>
      </c>
      <c r="U89" s="3">
        <v>1404.2168200000001</v>
      </c>
      <c r="V89" s="3">
        <v>935.06743170000004</v>
      </c>
      <c r="W89" s="3">
        <v>783.25776619999999</v>
      </c>
      <c r="X89" s="3">
        <v>1030.7810179999999</v>
      </c>
      <c r="Y89" s="3">
        <v>180.85690489999999</v>
      </c>
      <c r="Z89" s="3">
        <v>578.67799609999997</v>
      </c>
      <c r="AA89" s="48" t="s">
        <v>312</v>
      </c>
      <c r="AB89" s="49" t="s">
        <v>338</v>
      </c>
      <c r="AC89" s="3">
        <v>0.374</v>
      </c>
      <c r="AD89" s="3">
        <v>0.42899999999999999</v>
      </c>
      <c r="AE89" s="3">
        <v>0.48499999999999999</v>
      </c>
      <c r="AF89" s="3">
        <v>0.41299999999999998</v>
      </c>
      <c r="AG89" s="3">
        <v>0.51100000000000001</v>
      </c>
      <c r="AH89" s="3">
        <v>0.54300000000000004</v>
      </c>
      <c r="AI89" s="3">
        <v>0.48</v>
      </c>
      <c r="AJ89" s="3">
        <v>0.373</v>
      </c>
      <c r="AK89" s="3">
        <v>0.33400000000000002</v>
      </c>
      <c r="AL89" s="3">
        <v>0.627</v>
      </c>
      <c r="AM89" s="3">
        <v>0.499</v>
      </c>
      <c r="AN89" s="3">
        <v>0.248</v>
      </c>
      <c r="AO89" s="3">
        <v>9.7000000000000003E-2</v>
      </c>
      <c r="AP89" s="3">
        <v>0.248</v>
      </c>
      <c r="AQ89" s="3">
        <v>0.439</v>
      </c>
      <c r="AR89" s="3">
        <v>0.28999999999999998</v>
      </c>
      <c r="AS89" s="3">
        <v>0.312</v>
      </c>
      <c r="AT89" s="3">
        <v>0.35599999999999998</v>
      </c>
      <c r="AU89" s="3">
        <v>0.313</v>
      </c>
      <c r="AV89" s="3">
        <v>0.23</v>
      </c>
      <c r="AW89" s="3">
        <v>0.32600000000000001</v>
      </c>
      <c r="AX89" s="3">
        <v>0.27700000000000002</v>
      </c>
      <c r="AY89" s="3">
        <v>0.47799999999999998</v>
      </c>
      <c r="AZ89" s="3">
        <v>0.16500000000000001</v>
      </c>
      <c r="BA89" s="3">
        <v>0.46500000000000002</v>
      </c>
      <c r="BB89" s="3">
        <v>0.17299999999999999</v>
      </c>
      <c r="BC89" s="3">
        <v>0.83350000000000002</v>
      </c>
      <c r="BD89" s="3">
        <v>0.79300000000000004</v>
      </c>
      <c r="BE89" s="3">
        <v>0.84850000000000003</v>
      </c>
      <c r="BF89" s="3">
        <v>0.93533333299999999</v>
      </c>
      <c r="BG89" s="3">
        <v>0.77991666699999995</v>
      </c>
      <c r="BH89" s="3">
        <v>0.91600000000000004</v>
      </c>
      <c r="BI89" s="3">
        <v>0.83099999999999996</v>
      </c>
      <c r="BJ89" s="3">
        <v>0.72633333300000003</v>
      </c>
      <c r="BK89" s="3">
        <v>0.82499999999999996</v>
      </c>
      <c r="BL89" s="3">
        <v>0.81499999999999995</v>
      </c>
      <c r="BM89" s="3">
        <v>0.01</v>
      </c>
      <c r="BN89" s="3">
        <v>0.76300000000000001</v>
      </c>
      <c r="BO89" s="3">
        <v>0.86199999999999999</v>
      </c>
      <c r="BP89" s="48" t="s">
        <v>312</v>
      </c>
      <c r="BQ89" s="49" t="s">
        <v>338</v>
      </c>
      <c r="BR89" s="3">
        <v>19.023</v>
      </c>
      <c r="BS89" s="3">
        <v>18.75</v>
      </c>
      <c r="BT89" s="3">
        <v>17.327000000000002</v>
      </c>
      <c r="BU89" s="3">
        <v>16.178999999999998</v>
      </c>
      <c r="BV89" s="3">
        <v>20.221</v>
      </c>
      <c r="BW89" s="3">
        <v>15.852</v>
      </c>
      <c r="BX89" s="3">
        <v>14.746</v>
      </c>
      <c r="BY89" s="3">
        <v>18.843</v>
      </c>
      <c r="BZ89" s="3">
        <v>19.137</v>
      </c>
      <c r="CA89" s="3">
        <v>18.003</v>
      </c>
      <c r="CB89" s="3">
        <v>18.538</v>
      </c>
      <c r="CC89" s="3">
        <v>17.13</v>
      </c>
      <c r="CD89" s="3">
        <v>15.763999999999999</v>
      </c>
    </row>
    <row r="90" spans="1:82" x14ac:dyDescent="0.3">
      <c r="A90" s="48" t="s">
        <v>312</v>
      </c>
      <c r="B90" s="49" t="s">
        <v>339</v>
      </c>
      <c r="C90" s="3">
        <v>40.836794670000003</v>
      </c>
      <c r="D90" s="3">
        <v>31.1028518</v>
      </c>
      <c r="E90" s="3">
        <v>31.1028518</v>
      </c>
      <c r="F90" s="3">
        <v>26.887156829999999</v>
      </c>
      <c r="G90" s="3">
        <v>31.1028518</v>
      </c>
      <c r="H90" s="3">
        <v>31.1028518</v>
      </c>
      <c r="I90" s="48" t="s">
        <v>312</v>
      </c>
      <c r="J90" s="49" t="s">
        <v>339</v>
      </c>
      <c r="K90" s="3">
        <v>30236.5</v>
      </c>
      <c r="L90" s="48" t="s">
        <v>312</v>
      </c>
      <c r="M90" s="49" t="s">
        <v>339</v>
      </c>
      <c r="N90" s="3">
        <v>955.35163899999998</v>
      </c>
      <c r="O90" s="3">
        <v>1412.2326049999999</v>
      </c>
      <c r="P90" s="3">
        <v>1012.769576</v>
      </c>
      <c r="Q90" s="3">
        <v>1255.7639489999999</v>
      </c>
      <c r="R90" s="3">
        <v>1626.2313979999999</v>
      </c>
      <c r="S90" s="3">
        <v>1830.1584499999999</v>
      </c>
      <c r="T90" s="3">
        <v>1979.4784139999999</v>
      </c>
      <c r="U90" s="3">
        <v>1301.297761</v>
      </c>
      <c r="V90" s="3">
        <v>916.96961720000002</v>
      </c>
      <c r="W90" s="3">
        <v>843.05456630000003</v>
      </c>
      <c r="X90" s="3">
        <v>934.95195850000005</v>
      </c>
      <c r="Y90" s="3">
        <v>178.7529749</v>
      </c>
      <c r="Z90" s="3">
        <v>1029.419517</v>
      </c>
      <c r="AA90" s="48" t="s">
        <v>312</v>
      </c>
      <c r="AB90" s="49" t="s">
        <v>339</v>
      </c>
      <c r="AC90" s="3">
        <v>0.23499999999999999</v>
      </c>
      <c r="AD90" s="3">
        <v>0.38400000000000001</v>
      </c>
      <c r="AE90" s="3">
        <v>0.35199999999999998</v>
      </c>
      <c r="AF90" s="3">
        <v>0.41</v>
      </c>
      <c r="AG90" s="3">
        <v>0.36799999999999999</v>
      </c>
      <c r="AH90" s="3">
        <v>0.497</v>
      </c>
      <c r="AI90" s="3">
        <v>0.27300000000000002</v>
      </c>
      <c r="AJ90" s="3">
        <v>0.309</v>
      </c>
      <c r="AK90" s="3">
        <v>0.24199999999999999</v>
      </c>
      <c r="AL90" s="3">
        <v>0.69</v>
      </c>
      <c r="AM90" s="3">
        <v>0.35399999999999998</v>
      </c>
      <c r="AN90" s="3">
        <v>0.22700000000000001</v>
      </c>
      <c r="AO90" s="3">
        <v>0.1</v>
      </c>
      <c r="AP90" s="3">
        <v>0.22700000000000001</v>
      </c>
      <c r="AQ90" s="3">
        <v>0.24199999999999999</v>
      </c>
      <c r="AR90" s="3">
        <v>0.23499999999999999</v>
      </c>
      <c r="AS90" s="3">
        <v>0.23699999999999999</v>
      </c>
      <c r="AT90" s="3">
        <v>0.28100000000000003</v>
      </c>
      <c r="AU90" s="3">
        <v>0.23899999999999999</v>
      </c>
      <c r="AV90" s="3">
        <v>0.20200000000000001</v>
      </c>
      <c r="AW90" s="3">
        <v>0.318</v>
      </c>
      <c r="AX90" s="3">
        <v>0.23799999999999999</v>
      </c>
      <c r="AY90" s="3">
        <v>0.36199999999999999</v>
      </c>
      <c r="AZ90" s="3">
        <v>0.112</v>
      </c>
      <c r="BA90" s="3">
        <v>0.36199999999999999</v>
      </c>
      <c r="BB90" s="3">
        <v>0.129</v>
      </c>
      <c r="BC90" s="3">
        <v>0.82499999999999996</v>
      </c>
      <c r="BD90" s="3">
        <v>0.79</v>
      </c>
      <c r="BE90" s="3">
        <v>0.86299999999999999</v>
      </c>
      <c r="BF90" s="3">
        <v>0.93533333299999999</v>
      </c>
      <c r="BG90" s="3">
        <v>0.78166666699999998</v>
      </c>
      <c r="BH90" s="3">
        <v>0.91300000000000003</v>
      </c>
      <c r="BI90" s="3">
        <v>0.83799999999999997</v>
      </c>
      <c r="BJ90" s="3">
        <v>0.73833333300000004</v>
      </c>
      <c r="BK90" s="3">
        <v>0.83299999999999996</v>
      </c>
      <c r="BL90" s="3">
        <v>0.79900000000000004</v>
      </c>
      <c r="BM90" s="3">
        <v>0.01</v>
      </c>
      <c r="BN90" s="3">
        <v>0.73833333300000004</v>
      </c>
      <c r="BO90" s="3">
        <v>0.85699999999999998</v>
      </c>
      <c r="BP90" s="48" t="s">
        <v>312</v>
      </c>
      <c r="BQ90" s="49" t="s">
        <v>339</v>
      </c>
      <c r="BR90" s="3">
        <v>17.934000000000001</v>
      </c>
      <c r="BS90" s="3">
        <v>17.808</v>
      </c>
      <c r="BT90" s="3">
        <v>16.382999999999999</v>
      </c>
      <c r="BU90" s="3">
        <v>15.512</v>
      </c>
      <c r="BV90" s="3">
        <v>19.326000000000001</v>
      </c>
      <c r="BW90" s="3">
        <v>15.904999999999999</v>
      </c>
      <c r="BX90" s="3">
        <v>14.544</v>
      </c>
      <c r="BY90" s="3">
        <v>18.541</v>
      </c>
      <c r="BZ90" s="3">
        <v>18.678999999999998</v>
      </c>
      <c r="CA90" s="3">
        <v>17.504000000000001</v>
      </c>
      <c r="CB90" s="3">
        <v>18.352</v>
      </c>
      <c r="CC90" s="3">
        <v>16.849</v>
      </c>
      <c r="CD90" s="3">
        <v>15.971</v>
      </c>
    </row>
    <row r="91" spans="1:82" x14ac:dyDescent="0.3">
      <c r="A91" s="48" t="s">
        <v>312</v>
      </c>
      <c r="B91" s="49" t="s">
        <v>340</v>
      </c>
      <c r="C91" s="3">
        <v>45.967797099999999</v>
      </c>
      <c r="D91" s="3">
        <v>37.307580299999998</v>
      </c>
      <c r="E91" s="3">
        <v>37.307580299999998</v>
      </c>
      <c r="F91" s="3">
        <v>26.904758900000001</v>
      </c>
      <c r="G91" s="3">
        <v>37.307580299999998</v>
      </c>
      <c r="H91" s="3">
        <v>37.307580299999998</v>
      </c>
      <c r="I91" s="48" t="s">
        <v>312</v>
      </c>
      <c r="J91" s="49" t="s">
        <v>340</v>
      </c>
      <c r="K91" s="3">
        <v>32604.5</v>
      </c>
      <c r="L91" s="48" t="s">
        <v>312</v>
      </c>
      <c r="M91" s="49" t="s">
        <v>340</v>
      </c>
      <c r="N91" s="3">
        <v>1096.9658890000001</v>
      </c>
      <c r="O91" s="3">
        <v>1518.5546220000001</v>
      </c>
      <c r="P91" s="3">
        <v>1521.229881</v>
      </c>
      <c r="Q91" s="3">
        <v>1559.9109840000001</v>
      </c>
      <c r="R91" s="3">
        <v>1721.9887309999999</v>
      </c>
      <c r="S91" s="3">
        <v>2098.693385</v>
      </c>
      <c r="T91" s="3">
        <v>2156.3544459999998</v>
      </c>
      <c r="U91" s="3">
        <v>1437.5033370000001</v>
      </c>
      <c r="V91" s="3">
        <v>1079.7910489999999</v>
      </c>
      <c r="W91" s="3">
        <v>1480.5453259999999</v>
      </c>
      <c r="X91" s="3">
        <v>909.37510759999998</v>
      </c>
      <c r="Y91" s="3">
        <v>300.04513559999998</v>
      </c>
      <c r="Z91" s="3">
        <v>1715.032915</v>
      </c>
      <c r="AA91" s="48" t="s">
        <v>312</v>
      </c>
      <c r="AB91" s="49" t="s">
        <v>340</v>
      </c>
      <c r="AC91" s="3">
        <v>0.11700000000000001</v>
      </c>
      <c r="AD91" s="3">
        <v>0.34499999999999997</v>
      </c>
      <c r="AE91" s="3">
        <v>0.185</v>
      </c>
      <c r="AF91" s="3">
        <v>0.42399999999999999</v>
      </c>
      <c r="AG91" s="3">
        <v>0.189</v>
      </c>
      <c r="AH91" s="3">
        <v>0.47</v>
      </c>
      <c r="AI91" s="3">
        <v>0.11700000000000001</v>
      </c>
      <c r="AJ91" s="3">
        <v>0.23899999999999999</v>
      </c>
      <c r="AK91" s="3">
        <v>0.11</v>
      </c>
      <c r="AL91" s="3">
        <v>0.73099999999999998</v>
      </c>
      <c r="AM91" s="3">
        <v>0.13</v>
      </c>
      <c r="AN91" s="3">
        <v>0.222</v>
      </c>
      <c r="AO91" s="3">
        <v>7.8E-2</v>
      </c>
      <c r="AP91" s="3">
        <v>0.222</v>
      </c>
      <c r="AQ91" s="3">
        <v>0.105</v>
      </c>
      <c r="AR91" s="3">
        <v>0.215</v>
      </c>
      <c r="AS91" s="3">
        <v>0.123</v>
      </c>
      <c r="AT91" s="3">
        <v>0.20300000000000001</v>
      </c>
      <c r="AU91" s="3">
        <v>0.125</v>
      </c>
      <c r="AV91" s="3">
        <v>0.16200000000000001</v>
      </c>
      <c r="AW91" s="3">
        <v>0.19500000000000001</v>
      </c>
      <c r="AX91" s="3">
        <v>0.23599999999999999</v>
      </c>
      <c r="AY91" s="3">
        <v>0.191</v>
      </c>
      <c r="AZ91" s="3">
        <v>7.8E-2</v>
      </c>
      <c r="BA91" s="3">
        <v>0.20200000000000001</v>
      </c>
      <c r="BB91" s="3">
        <v>0.104</v>
      </c>
      <c r="BC91" s="3">
        <v>0.78900000000000003</v>
      </c>
      <c r="BD91" s="3">
        <v>0.76300000000000001</v>
      </c>
      <c r="BE91" s="3">
        <v>0.85499999999999998</v>
      </c>
      <c r="BF91" s="3">
        <v>0.92433333299999998</v>
      </c>
      <c r="BG91" s="3">
        <v>0.76483333399999998</v>
      </c>
      <c r="BH91" s="3">
        <v>0.88600000000000001</v>
      </c>
      <c r="BI91" s="3">
        <v>0.84399999999999997</v>
      </c>
      <c r="BJ91" s="3">
        <v>0.74066666699999995</v>
      </c>
      <c r="BK91" s="3">
        <v>0.8175</v>
      </c>
      <c r="BL91" s="3">
        <v>0.77033333299999995</v>
      </c>
      <c r="BM91" s="3">
        <v>0.01</v>
      </c>
      <c r="BN91" s="3">
        <v>0.699333333</v>
      </c>
      <c r="BO91" s="3">
        <v>0.82899999999999996</v>
      </c>
      <c r="BP91" s="48" t="s">
        <v>312</v>
      </c>
      <c r="BQ91" s="49" t="s">
        <v>340</v>
      </c>
      <c r="BR91" s="3">
        <v>16.568000000000001</v>
      </c>
      <c r="BS91" s="3">
        <v>16.687999999999999</v>
      </c>
      <c r="BT91" s="3">
        <v>15.403</v>
      </c>
      <c r="BU91" s="3">
        <v>14.789</v>
      </c>
      <c r="BV91" s="3">
        <v>18.055</v>
      </c>
      <c r="BW91" s="3">
        <v>15.978</v>
      </c>
      <c r="BX91" s="3">
        <v>14.241</v>
      </c>
      <c r="BY91" s="3">
        <v>17.933</v>
      </c>
      <c r="BZ91" s="3">
        <v>17.966999999999999</v>
      </c>
      <c r="CA91" s="3">
        <v>16.792000000000002</v>
      </c>
      <c r="CB91" s="3">
        <v>17.332999999999998</v>
      </c>
      <c r="CC91" s="3">
        <v>16.274999999999999</v>
      </c>
      <c r="CD91" s="3">
        <v>15.544</v>
      </c>
    </row>
    <row r="92" spans="1:82" x14ac:dyDescent="0.3">
      <c r="A92" s="48" t="s">
        <v>312</v>
      </c>
      <c r="B92" s="49" t="s">
        <v>341</v>
      </c>
      <c r="C92" s="3">
        <v>82.465682330000007</v>
      </c>
      <c r="D92" s="3">
        <v>41.312050470000003</v>
      </c>
      <c r="E92" s="3">
        <v>41.312050470000003</v>
      </c>
      <c r="F92" s="3">
        <v>26.931162</v>
      </c>
      <c r="G92" s="3">
        <v>41.312050470000003</v>
      </c>
      <c r="H92" s="3">
        <v>41.312050470000003</v>
      </c>
      <c r="I92" s="48" t="s">
        <v>312</v>
      </c>
      <c r="J92" s="49" t="s">
        <v>341</v>
      </c>
      <c r="K92" s="3">
        <v>33860</v>
      </c>
      <c r="L92" s="48" t="s">
        <v>312</v>
      </c>
      <c r="M92" s="49" t="s">
        <v>341</v>
      </c>
      <c r="N92" s="3">
        <v>1817.673929</v>
      </c>
      <c r="O92" s="3">
        <v>2209.7526029999999</v>
      </c>
      <c r="P92" s="3">
        <v>1960.9775059999999</v>
      </c>
      <c r="Q92" s="3">
        <v>1836.889232</v>
      </c>
      <c r="R92" s="3">
        <v>2172.126393</v>
      </c>
      <c r="S92" s="3">
        <v>3087.5860459999999</v>
      </c>
      <c r="T92" s="3">
        <v>3088.8724109999998</v>
      </c>
      <c r="U92" s="3">
        <v>2312.6974489999998</v>
      </c>
      <c r="V92" s="3">
        <v>1826.735013</v>
      </c>
      <c r="W92" s="3">
        <v>1918.9570719999999</v>
      </c>
      <c r="X92" s="3">
        <v>1648.175473</v>
      </c>
      <c r="Y92" s="3">
        <v>373.19054089999997</v>
      </c>
      <c r="Z92" s="3">
        <v>2238.2658889999998</v>
      </c>
      <c r="AA92" s="48" t="s">
        <v>312</v>
      </c>
      <c r="AB92" s="49" t="s">
        <v>341</v>
      </c>
      <c r="AC92" s="3">
        <v>2.1999999999999999E-2</v>
      </c>
      <c r="AD92" s="3">
        <v>0.38300000000000001</v>
      </c>
      <c r="AE92" s="3">
        <v>3.9E-2</v>
      </c>
      <c r="AF92" s="3">
        <v>0.47599999999999998</v>
      </c>
      <c r="AG92" s="3">
        <v>3.5999999999999997E-2</v>
      </c>
      <c r="AH92" s="3">
        <v>0.505</v>
      </c>
      <c r="AI92" s="3">
        <v>3.2000000000000001E-2</v>
      </c>
      <c r="AJ92" s="3">
        <v>0.25700000000000001</v>
      </c>
      <c r="AK92" s="3">
        <v>2.7E-2</v>
      </c>
      <c r="AL92" s="3">
        <v>0.73599999999999999</v>
      </c>
      <c r="AM92" s="3">
        <v>4.1000000000000002E-2</v>
      </c>
      <c r="AN92" s="3">
        <v>0.23100000000000001</v>
      </c>
      <c r="AO92" s="3">
        <v>3.6999999999999998E-2</v>
      </c>
      <c r="AP92" s="3">
        <v>0.23100000000000001</v>
      </c>
      <c r="AQ92" s="3">
        <v>0.02</v>
      </c>
      <c r="AR92" s="3">
        <v>0.27900000000000003</v>
      </c>
      <c r="AS92" s="3">
        <v>3.1E-2</v>
      </c>
      <c r="AT92" s="3">
        <v>0.19700000000000001</v>
      </c>
      <c r="AU92" s="3">
        <v>3.1E-2</v>
      </c>
      <c r="AV92" s="3">
        <v>0.154</v>
      </c>
      <c r="AW92" s="3">
        <v>4.7E-2</v>
      </c>
      <c r="AX92" s="3">
        <v>0.25600000000000001</v>
      </c>
      <c r="AY92" s="3">
        <v>4.7E-2</v>
      </c>
      <c r="AZ92" s="3">
        <v>0.06</v>
      </c>
      <c r="BA92" s="3">
        <v>5.7000000000000002E-2</v>
      </c>
      <c r="BB92" s="3">
        <v>8.2000000000000003E-2</v>
      </c>
      <c r="BC92" s="3">
        <v>0.76249999999999996</v>
      </c>
      <c r="BD92" s="3">
        <v>0.73899999999999999</v>
      </c>
      <c r="BE92" s="3">
        <v>0.82050000000000001</v>
      </c>
      <c r="BF92" s="3">
        <v>0.91133333299999997</v>
      </c>
      <c r="BG92" s="3">
        <v>0.74941666699999998</v>
      </c>
      <c r="BH92" s="3">
        <v>0.86699999999999999</v>
      </c>
      <c r="BI92" s="3">
        <v>0.85</v>
      </c>
      <c r="BJ92" s="3">
        <v>0.73633333300000003</v>
      </c>
      <c r="BK92" s="3">
        <v>0.8095</v>
      </c>
      <c r="BL92" s="3">
        <v>0.74166666699999995</v>
      </c>
      <c r="BM92" s="3">
        <v>0.01</v>
      </c>
      <c r="BN92" s="3">
        <v>0.67433333299999998</v>
      </c>
      <c r="BO92" s="3">
        <v>0.78500000000000003</v>
      </c>
      <c r="BP92" s="48" t="s">
        <v>312</v>
      </c>
      <c r="BQ92" s="49" t="s">
        <v>341</v>
      </c>
      <c r="BR92" s="3">
        <v>15.146000000000001</v>
      </c>
      <c r="BS92" s="3">
        <v>15.500999999999999</v>
      </c>
      <c r="BT92" s="3">
        <v>14.478999999999999</v>
      </c>
      <c r="BU92" s="3">
        <v>13.923</v>
      </c>
      <c r="BV92" s="3">
        <v>16.334</v>
      </c>
      <c r="BW92" s="3">
        <v>16.047000000000001</v>
      </c>
      <c r="BX92" s="3">
        <v>13.484</v>
      </c>
      <c r="BY92" s="3">
        <v>17.113</v>
      </c>
      <c r="BZ92" s="3">
        <v>16.812999999999999</v>
      </c>
      <c r="CA92" s="3">
        <v>15.605</v>
      </c>
      <c r="CB92" s="3">
        <v>15.922000000000001</v>
      </c>
      <c r="CC92" s="3">
        <v>15.449</v>
      </c>
      <c r="CD92" s="3">
        <v>14.62</v>
      </c>
    </row>
    <row r="93" spans="1:82" x14ac:dyDescent="0.3">
      <c r="A93" s="48" t="s">
        <v>312</v>
      </c>
      <c r="B93" s="49" t="s">
        <v>342</v>
      </c>
      <c r="C93" s="3">
        <v>70.584287329999995</v>
      </c>
      <c r="D93" s="3">
        <v>41.611285600000002</v>
      </c>
      <c r="E93" s="3">
        <v>46.029404329999998</v>
      </c>
      <c r="F93" s="3">
        <v>26.966366130000001</v>
      </c>
      <c r="G93" s="3">
        <v>39.595848969999999</v>
      </c>
      <c r="H93" s="3">
        <v>43.714732570000002</v>
      </c>
      <c r="I93" s="48" t="s">
        <v>312</v>
      </c>
      <c r="J93" s="49" t="s">
        <v>342</v>
      </c>
      <c r="K93" s="3">
        <v>34857</v>
      </c>
      <c r="L93" s="48" t="s">
        <v>312</v>
      </c>
      <c r="M93" s="49" t="s">
        <v>342</v>
      </c>
      <c r="N93" s="3">
        <v>2264.488167</v>
      </c>
      <c r="O93" s="3">
        <v>2938.2762039999998</v>
      </c>
      <c r="P93" s="3">
        <v>2183.2709589999999</v>
      </c>
      <c r="Q93" s="3">
        <v>2229.9373350000001</v>
      </c>
      <c r="R93" s="3">
        <v>2670.27871</v>
      </c>
      <c r="S93" s="3">
        <v>4045.9696309999999</v>
      </c>
      <c r="T93" s="3">
        <v>3489.1669849999998</v>
      </c>
      <c r="U93" s="3">
        <v>2965.3241109999999</v>
      </c>
      <c r="V93" s="3">
        <v>2138.9729219999999</v>
      </c>
      <c r="W93" s="3">
        <v>2009.185438</v>
      </c>
      <c r="X93" s="3">
        <v>2180.4996059999999</v>
      </c>
      <c r="Y93" s="3">
        <v>420.98232789999997</v>
      </c>
      <c r="Z93" s="3">
        <v>2389.593273</v>
      </c>
      <c r="AA93" s="48" t="s">
        <v>312</v>
      </c>
      <c r="AB93" s="49" t="s">
        <v>342</v>
      </c>
      <c r="AC93" s="3">
        <v>0</v>
      </c>
      <c r="AD93" s="3">
        <v>0.439</v>
      </c>
      <c r="AE93" s="3">
        <v>0</v>
      </c>
      <c r="AF93" s="3">
        <v>0.497</v>
      </c>
      <c r="AG93" s="3">
        <v>0</v>
      </c>
      <c r="AH93" s="3">
        <v>0.52400000000000002</v>
      </c>
      <c r="AI93" s="3">
        <v>0</v>
      </c>
      <c r="AJ93" s="3">
        <v>0.3</v>
      </c>
      <c r="AK93" s="3">
        <v>0</v>
      </c>
      <c r="AL93" s="3">
        <v>0.73299999999999998</v>
      </c>
      <c r="AM93" s="3">
        <v>0</v>
      </c>
      <c r="AN93" s="3">
        <v>0.24</v>
      </c>
      <c r="AO93" s="3">
        <v>0</v>
      </c>
      <c r="AP93" s="3">
        <v>0.24</v>
      </c>
      <c r="AQ93" s="3">
        <v>0</v>
      </c>
      <c r="AR93" s="3">
        <v>0.376</v>
      </c>
      <c r="AS93" s="3">
        <v>0</v>
      </c>
      <c r="AT93" s="3">
        <v>0.24299999999999999</v>
      </c>
      <c r="AU93" s="3">
        <v>0</v>
      </c>
      <c r="AV93" s="3">
        <v>0.14199999999999999</v>
      </c>
      <c r="AW93" s="3">
        <v>0</v>
      </c>
      <c r="AX93" s="3">
        <v>0.28100000000000003</v>
      </c>
      <c r="AY93" s="3">
        <v>0</v>
      </c>
      <c r="AZ93" s="3">
        <v>4.8000000000000001E-2</v>
      </c>
      <c r="BA93" s="3">
        <v>0</v>
      </c>
      <c r="BB93" s="3">
        <v>4.5999999999999999E-2</v>
      </c>
      <c r="BC93" s="3">
        <v>0.76500000000000001</v>
      </c>
      <c r="BD93" s="3">
        <v>0.72750000000000004</v>
      </c>
      <c r="BE93" s="3">
        <v>0.79800000000000004</v>
      </c>
      <c r="BF93" s="3">
        <v>0.90800000000000003</v>
      </c>
      <c r="BG93" s="3">
        <v>0.75349999999999995</v>
      </c>
      <c r="BH93" s="3">
        <v>0.87</v>
      </c>
      <c r="BI93" s="3">
        <v>0.85099999999999998</v>
      </c>
      <c r="BJ93" s="3">
        <v>0.74199999999999999</v>
      </c>
      <c r="BK93" s="3">
        <v>0.8105</v>
      </c>
      <c r="BL93" s="3">
        <v>0.73299999999999998</v>
      </c>
      <c r="BM93" s="3">
        <v>0.01</v>
      </c>
      <c r="BN93" s="3">
        <v>0.681666667</v>
      </c>
      <c r="BO93" s="3">
        <v>0.77500000000000002</v>
      </c>
      <c r="BP93" s="48" t="s">
        <v>312</v>
      </c>
      <c r="BQ93" s="49" t="s">
        <v>342</v>
      </c>
      <c r="BR93" s="3">
        <v>14.301</v>
      </c>
      <c r="BS93" s="3">
        <v>14.686</v>
      </c>
      <c r="BT93" s="3">
        <v>13.862</v>
      </c>
      <c r="BU93" s="3">
        <v>13.195</v>
      </c>
      <c r="BV93" s="3">
        <v>15.359</v>
      </c>
      <c r="BW93" s="3">
        <v>16.116</v>
      </c>
      <c r="BX93" s="3">
        <v>12.763</v>
      </c>
      <c r="BY93" s="3">
        <v>16.751999999999999</v>
      </c>
      <c r="BZ93" s="3">
        <v>16.187000000000001</v>
      </c>
      <c r="CA93" s="3">
        <v>14.678000000000001</v>
      </c>
      <c r="CB93" s="3">
        <v>15.061</v>
      </c>
      <c r="CC93" s="3">
        <v>14.509</v>
      </c>
      <c r="CD93" s="3">
        <v>14.263</v>
      </c>
    </row>
    <row r="94" spans="1:82" x14ac:dyDescent="0.3">
      <c r="A94" s="48" t="s">
        <v>312</v>
      </c>
      <c r="B94" s="49" t="s">
        <v>343</v>
      </c>
      <c r="C94" s="3">
        <v>62.469734600000002</v>
      </c>
      <c r="D94" s="3">
        <v>38.302097070000002</v>
      </c>
      <c r="E94" s="3">
        <v>41.452866999999998</v>
      </c>
      <c r="F94" s="3">
        <v>26.9575651</v>
      </c>
      <c r="G94" s="3">
        <v>32.405404730000001</v>
      </c>
      <c r="H94" s="3">
        <v>39.42862933</v>
      </c>
      <c r="I94" s="48" t="s">
        <v>312</v>
      </c>
      <c r="J94" s="49" t="s">
        <v>343</v>
      </c>
      <c r="K94" s="3">
        <v>33370.5</v>
      </c>
      <c r="L94" s="48" t="s">
        <v>312</v>
      </c>
      <c r="M94" s="49" t="s">
        <v>343</v>
      </c>
      <c r="N94" s="3">
        <v>2417.03557</v>
      </c>
      <c r="O94" s="3">
        <v>3275.1295100000002</v>
      </c>
      <c r="P94" s="3">
        <v>2162.3338629999998</v>
      </c>
      <c r="Q94" s="3">
        <v>2057.7341970000002</v>
      </c>
      <c r="R94" s="3">
        <v>3099.7081079999998</v>
      </c>
      <c r="S94" s="3">
        <v>4352.5157060000001</v>
      </c>
      <c r="T94" s="3">
        <v>3540.4278559999998</v>
      </c>
      <c r="U94" s="3">
        <v>3177.7539280000001</v>
      </c>
      <c r="V94" s="3">
        <v>2256.4578029999998</v>
      </c>
      <c r="W94" s="3">
        <v>1883.7216410000001</v>
      </c>
      <c r="X94" s="3">
        <v>2476.6626449999999</v>
      </c>
      <c r="Y94" s="3">
        <v>474.24689139999998</v>
      </c>
      <c r="Z94" s="3">
        <v>2508.339868</v>
      </c>
      <c r="AA94" s="48" t="s">
        <v>312</v>
      </c>
      <c r="AB94" s="49" t="s">
        <v>343</v>
      </c>
      <c r="AC94" s="3">
        <v>0</v>
      </c>
      <c r="AD94" s="3">
        <v>0.442</v>
      </c>
      <c r="AE94" s="3">
        <v>0</v>
      </c>
      <c r="AF94" s="3">
        <v>0.45600000000000002</v>
      </c>
      <c r="AG94" s="3">
        <v>0</v>
      </c>
      <c r="AH94" s="3">
        <v>0.51200000000000001</v>
      </c>
      <c r="AI94" s="3">
        <v>0</v>
      </c>
      <c r="AJ94" s="3">
        <v>0.311</v>
      </c>
      <c r="AK94" s="3">
        <v>0</v>
      </c>
      <c r="AL94" s="3">
        <v>0.75800000000000001</v>
      </c>
      <c r="AM94" s="3">
        <v>0</v>
      </c>
      <c r="AN94" s="3">
        <v>0.23300000000000001</v>
      </c>
      <c r="AO94" s="3">
        <v>0</v>
      </c>
      <c r="AP94" s="3">
        <v>0.23300000000000001</v>
      </c>
      <c r="AQ94" s="3">
        <v>0</v>
      </c>
      <c r="AR94" s="3">
        <v>0.44800000000000001</v>
      </c>
      <c r="AS94" s="3">
        <v>0</v>
      </c>
      <c r="AT94" s="3">
        <v>0.27900000000000003</v>
      </c>
      <c r="AU94" s="3">
        <v>0</v>
      </c>
      <c r="AV94" s="3">
        <v>0.107</v>
      </c>
      <c r="AW94" s="3">
        <v>0</v>
      </c>
      <c r="AX94" s="3">
        <v>0.28499999999999998</v>
      </c>
      <c r="AY94" s="3">
        <v>0</v>
      </c>
      <c r="AZ94" s="3">
        <v>4.2999999999999997E-2</v>
      </c>
      <c r="BA94" s="3">
        <v>0</v>
      </c>
      <c r="BB94" s="3">
        <v>2.4E-2</v>
      </c>
      <c r="BC94" s="3">
        <v>0.75800000000000001</v>
      </c>
      <c r="BD94" s="3">
        <v>0.7</v>
      </c>
      <c r="BE94" s="3">
        <v>0.77800000000000002</v>
      </c>
      <c r="BF94" s="3">
        <v>0.89633333299999995</v>
      </c>
      <c r="BG94" s="3">
        <v>0.74483333399999996</v>
      </c>
      <c r="BH94" s="3">
        <v>0.86099999999999999</v>
      </c>
      <c r="BI94" s="3">
        <v>0.86550000000000005</v>
      </c>
      <c r="BJ94" s="3">
        <v>0.73166666700000005</v>
      </c>
      <c r="BK94" s="3">
        <v>0.79100000000000004</v>
      </c>
      <c r="BL94" s="3">
        <v>0.73366666700000005</v>
      </c>
      <c r="BM94" s="3">
        <v>0.01</v>
      </c>
      <c r="BN94" s="3">
        <v>0.68966666700000001</v>
      </c>
      <c r="BO94" s="3">
        <v>0.76200000000000001</v>
      </c>
      <c r="BP94" s="48" t="s">
        <v>312</v>
      </c>
      <c r="BQ94" s="49" t="s">
        <v>343</v>
      </c>
      <c r="BR94" s="3">
        <v>13.997999999999999</v>
      </c>
      <c r="BS94" s="3">
        <v>14.201000000000001</v>
      </c>
      <c r="BT94" s="3">
        <v>13.582000000000001</v>
      </c>
      <c r="BU94" s="3">
        <v>12.831</v>
      </c>
      <c r="BV94" s="3">
        <v>15.103999999999999</v>
      </c>
      <c r="BW94" s="3">
        <v>16.16</v>
      </c>
      <c r="BX94" s="3">
        <v>12.489000000000001</v>
      </c>
      <c r="BY94" s="3">
        <v>16.673999999999999</v>
      </c>
      <c r="BZ94" s="3">
        <v>16.091000000000001</v>
      </c>
      <c r="CA94" s="3">
        <v>14.337</v>
      </c>
      <c r="CB94" s="3">
        <v>14.656000000000001</v>
      </c>
      <c r="CC94" s="3">
        <v>13.869</v>
      </c>
      <c r="CD94" s="3">
        <v>14.244</v>
      </c>
    </row>
    <row r="95" spans="1:82" x14ac:dyDescent="0.3">
      <c r="A95" s="48" t="s">
        <v>312</v>
      </c>
      <c r="B95" s="49" t="s">
        <v>344</v>
      </c>
      <c r="C95" s="3">
        <v>46.839099400000002</v>
      </c>
      <c r="D95" s="3">
        <v>37.369187529999998</v>
      </c>
      <c r="E95" s="3">
        <v>42.623404430000001</v>
      </c>
      <c r="F95" s="3">
        <v>26.887156829999999</v>
      </c>
      <c r="G95" s="3">
        <v>27.952081870000001</v>
      </c>
      <c r="H95" s="3">
        <v>38.328500169999998</v>
      </c>
      <c r="I95" s="48" t="s">
        <v>312</v>
      </c>
      <c r="J95" s="49" t="s">
        <v>344</v>
      </c>
      <c r="K95" s="3">
        <v>30651</v>
      </c>
      <c r="L95" s="48" t="s">
        <v>312</v>
      </c>
      <c r="M95" s="49" t="s">
        <v>344</v>
      </c>
      <c r="N95" s="3">
        <v>2300.8343450000002</v>
      </c>
      <c r="O95" s="3">
        <v>3249.1928069999999</v>
      </c>
      <c r="P95" s="3">
        <v>1629.0797190000001</v>
      </c>
      <c r="Q95" s="3">
        <v>1575.2817379999999</v>
      </c>
      <c r="R95" s="3">
        <v>3024.9025940000001</v>
      </c>
      <c r="S95" s="3">
        <v>4212.8258969999997</v>
      </c>
      <c r="T95" s="3">
        <v>3315.6174169999999</v>
      </c>
      <c r="U95" s="3">
        <v>2933.5250390000001</v>
      </c>
      <c r="V95" s="3">
        <v>2187.94083</v>
      </c>
      <c r="W95" s="3">
        <v>1357.615256</v>
      </c>
      <c r="X95" s="3">
        <v>2332.7628530000002</v>
      </c>
      <c r="Y95" s="3">
        <v>382.71398790000001</v>
      </c>
      <c r="Z95" s="3">
        <v>1668.9890539999999</v>
      </c>
      <c r="AA95" s="48" t="s">
        <v>312</v>
      </c>
      <c r="AB95" s="49" t="s">
        <v>344</v>
      </c>
      <c r="AC95" s="3">
        <v>0</v>
      </c>
      <c r="AD95" s="3">
        <v>0.443</v>
      </c>
      <c r="AE95" s="3">
        <v>0</v>
      </c>
      <c r="AF95" s="3">
        <v>0.39800000000000002</v>
      </c>
      <c r="AG95" s="3">
        <v>0</v>
      </c>
      <c r="AH95" s="3">
        <v>0.48699999999999999</v>
      </c>
      <c r="AI95" s="3">
        <v>0</v>
      </c>
      <c r="AJ95" s="3">
        <v>0.28699999999999998</v>
      </c>
      <c r="AK95" s="3">
        <v>0</v>
      </c>
      <c r="AL95" s="3">
        <v>0.79100000000000004</v>
      </c>
      <c r="AM95" s="3">
        <v>0</v>
      </c>
      <c r="AN95" s="3">
        <v>0.22500000000000001</v>
      </c>
      <c r="AO95" s="3">
        <v>0</v>
      </c>
      <c r="AP95" s="3">
        <v>0.22500000000000001</v>
      </c>
      <c r="AQ95" s="3">
        <v>0</v>
      </c>
      <c r="AR95" s="3">
        <v>0.442</v>
      </c>
      <c r="AS95" s="3">
        <v>0</v>
      </c>
      <c r="AT95" s="3">
        <v>0.27200000000000002</v>
      </c>
      <c r="AU95" s="3">
        <v>0</v>
      </c>
      <c r="AV95" s="3">
        <v>0.08</v>
      </c>
      <c r="AW95" s="3">
        <v>0</v>
      </c>
      <c r="AX95" s="3">
        <v>0.26100000000000001</v>
      </c>
      <c r="AY95" s="3">
        <v>0</v>
      </c>
      <c r="AZ95" s="3">
        <v>4.2999999999999997E-2</v>
      </c>
      <c r="BA95" s="3">
        <v>0</v>
      </c>
      <c r="BB95" s="3">
        <v>2.3E-2</v>
      </c>
      <c r="BC95" s="3">
        <v>0.73850000000000005</v>
      </c>
      <c r="BD95" s="3">
        <v>0.6845</v>
      </c>
      <c r="BE95" s="3">
        <v>0.76549999999999996</v>
      </c>
      <c r="BF95" s="3">
        <v>0.88833333299999995</v>
      </c>
      <c r="BG95" s="3">
        <v>0.72291666700000001</v>
      </c>
      <c r="BH95" s="3">
        <v>0.85399999999999998</v>
      </c>
      <c r="BI95" s="3">
        <v>0.89049999999999996</v>
      </c>
      <c r="BJ95" s="3">
        <v>0.70733333300000001</v>
      </c>
      <c r="BK95" s="3">
        <v>0.754</v>
      </c>
      <c r="BL95" s="3">
        <v>0.73066666700000005</v>
      </c>
      <c r="BM95" s="3">
        <v>0.01</v>
      </c>
      <c r="BN95" s="3">
        <v>0.68633333299999999</v>
      </c>
      <c r="BO95" s="3">
        <v>0.73699999999999999</v>
      </c>
      <c r="BP95" s="48" t="s">
        <v>312</v>
      </c>
      <c r="BQ95" s="49" t="s">
        <v>344</v>
      </c>
      <c r="BR95" s="3">
        <v>13.93</v>
      </c>
      <c r="BS95" s="3">
        <v>13.829000000000001</v>
      </c>
      <c r="BT95" s="3">
        <v>13.419</v>
      </c>
      <c r="BU95" s="3">
        <v>12.603</v>
      </c>
      <c r="BV95" s="3">
        <v>14.878</v>
      </c>
      <c r="BW95" s="3">
        <v>16.164999999999999</v>
      </c>
      <c r="BX95" s="3">
        <v>12.382</v>
      </c>
      <c r="BY95" s="3">
        <v>16.477</v>
      </c>
      <c r="BZ95" s="3">
        <v>15.901999999999999</v>
      </c>
      <c r="CA95" s="3">
        <v>13.956</v>
      </c>
      <c r="CB95" s="3">
        <v>14.1</v>
      </c>
      <c r="CC95" s="3">
        <v>13.375</v>
      </c>
      <c r="CD95" s="3">
        <v>13.926</v>
      </c>
    </row>
    <row r="96" spans="1:82" x14ac:dyDescent="0.3">
      <c r="A96" s="48" t="s">
        <v>312</v>
      </c>
      <c r="B96" s="49" t="s">
        <v>345</v>
      </c>
      <c r="C96" s="3">
        <v>41.127228770000002</v>
      </c>
      <c r="D96" s="3">
        <v>33.866376270000004</v>
      </c>
      <c r="E96" s="3">
        <v>33.866376270000004</v>
      </c>
      <c r="F96" s="3">
        <v>26.394298970000001</v>
      </c>
      <c r="G96" s="3">
        <v>26.394298970000001</v>
      </c>
      <c r="H96" s="3">
        <v>33.866376270000004</v>
      </c>
      <c r="I96" s="48" t="s">
        <v>312</v>
      </c>
      <c r="J96" s="49" t="s">
        <v>345</v>
      </c>
      <c r="K96" s="3">
        <v>27595</v>
      </c>
      <c r="L96" s="48" t="s">
        <v>312</v>
      </c>
      <c r="M96" s="49" t="s">
        <v>345</v>
      </c>
      <c r="N96" s="3">
        <v>1789.812263</v>
      </c>
      <c r="O96" s="3">
        <v>2416.4741199999999</v>
      </c>
      <c r="P96" s="3">
        <v>1258.4572089999999</v>
      </c>
      <c r="Q96" s="3">
        <v>1196.330485</v>
      </c>
      <c r="R96" s="3">
        <v>2604.5580460000001</v>
      </c>
      <c r="S96" s="3">
        <v>3411.1067429999998</v>
      </c>
      <c r="T96" s="3">
        <v>2754.7301320000001</v>
      </c>
      <c r="U96" s="3">
        <v>2243.6328960000001</v>
      </c>
      <c r="V96" s="3">
        <v>1650.667549</v>
      </c>
      <c r="W96" s="3">
        <v>1018.482534</v>
      </c>
      <c r="X96" s="3">
        <v>1870.4822939999999</v>
      </c>
      <c r="Y96" s="3">
        <v>286.18505370000003</v>
      </c>
      <c r="Z96" s="3">
        <v>1315.6134400000001</v>
      </c>
      <c r="AA96" s="48" t="s">
        <v>312</v>
      </c>
      <c r="AB96" s="49" t="s">
        <v>345</v>
      </c>
      <c r="AC96" s="3">
        <v>0</v>
      </c>
      <c r="AD96" s="3">
        <v>0.439</v>
      </c>
      <c r="AE96" s="3">
        <v>0</v>
      </c>
      <c r="AF96" s="3">
        <v>0.34200000000000003</v>
      </c>
      <c r="AG96" s="3">
        <v>0</v>
      </c>
      <c r="AH96" s="3">
        <v>0.45500000000000002</v>
      </c>
      <c r="AI96" s="3">
        <v>0</v>
      </c>
      <c r="AJ96" s="3">
        <v>0.26</v>
      </c>
      <c r="AK96" s="3">
        <v>0</v>
      </c>
      <c r="AL96" s="3">
        <v>0.80400000000000005</v>
      </c>
      <c r="AM96" s="3">
        <v>0</v>
      </c>
      <c r="AN96" s="3">
        <v>0.223</v>
      </c>
      <c r="AO96" s="3">
        <v>0</v>
      </c>
      <c r="AP96" s="3">
        <v>0.223</v>
      </c>
      <c r="AQ96" s="3">
        <v>0</v>
      </c>
      <c r="AR96" s="3">
        <v>0.39300000000000002</v>
      </c>
      <c r="AS96" s="3">
        <v>0</v>
      </c>
      <c r="AT96" s="3">
        <v>0.25800000000000001</v>
      </c>
      <c r="AU96" s="3">
        <v>0</v>
      </c>
      <c r="AV96" s="3">
        <v>5.3999999999999999E-2</v>
      </c>
      <c r="AW96" s="3">
        <v>0</v>
      </c>
      <c r="AX96" s="3">
        <v>0.247</v>
      </c>
      <c r="AY96" s="3">
        <v>0</v>
      </c>
      <c r="AZ96" s="3">
        <v>4.2999999999999997E-2</v>
      </c>
      <c r="BA96" s="3">
        <v>0</v>
      </c>
      <c r="BB96" s="3">
        <v>3.5999999999999997E-2</v>
      </c>
      <c r="BC96" s="3">
        <v>0.748</v>
      </c>
      <c r="BD96" s="3">
        <v>0.69350000000000001</v>
      </c>
      <c r="BE96" s="3">
        <v>0.77100000000000002</v>
      </c>
      <c r="BF96" s="3">
        <v>0.88300000000000001</v>
      </c>
      <c r="BG96" s="3">
        <v>0.71683333400000004</v>
      </c>
      <c r="BH96" s="3">
        <v>0.86399999999999999</v>
      </c>
      <c r="BI96" s="3">
        <v>0.91100000000000003</v>
      </c>
      <c r="BJ96" s="3">
        <v>0.68566666700000001</v>
      </c>
      <c r="BK96" s="3">
        <v>0.71199999999999997</v>
      </c>
      <c r="BL96" s="3">
        <v>0.69099999999999995</v>
      </c>
      <c r="BM96" s="3">
        <v>0.01</v>
      </c>
      <c r="BN96" s="3">
        <v>0.69133333299999999</v>
      </c>
      <c r="BO96" s="3">
        <v>0.70299999999999996</v>
      </c>
      <c r="BP96" s="48" t="s">
        <v>312</v>
      </c>
      <c r="BQ96" s="49" t="s">
        <v>345</v>
      </c>
      <c r="BR96" s="3">
        <v>13.891999999999999</v>
      </c>
      <c r="BS96" s="3">
        <v>13.571999999999999</v>
      </c>
      <c r="BT96" s="3">
        <v>13.278</v>
      </c>
      <c r="BU96" s="3">
        <v>12.484</v>
      </c>
      <c r="BV96" s="3">
        <v>14.603</v>
      </c>
      <c r="BW96" s="3">
        <v>16.164000000000001</v>
      </c>
      <c r="BX96" s="3">
        <v>12.291</v>
      </c>
      <c r="BY96" s="3">
        <v>16.137</v>
      </c>
      <c r="BZ96" s="3">
        <v>15.597</v>
      </c>
      <c r="CA96" s="3">
        <v>14.013</v>
      </c>
      <c r="CB96" s="3">
        <v>13.522</v>
      </c>
      <c r="CC96" s="3">
        <v>13.084</v>
      </c>
      <c r="CD96" s="3">
        <v>13.343</v>
      </c>
    </row>
    <row r="97" spans="1:82" x14ac:dyDescent="0.3">
      <c r="A97" s="48" t="s">
        <v>312</v>
      </c>
      <c r="B97" s="49" t="s">
        <v>346</v>
      </c>
      <c r="C97" s="3">
        <v>41.796107300000003</v>
      </c>
      <c r="D97" s="3">
        <v>29.27223687</v>
      </c>
      <c r="E97" s="3">
        <v>29.835502999999999</v>
      </c>
      <c r="F97" s="3">
        <v>26.015854529999999</v>
      </c>
      <c r="G97" s="3">
        <v>26.015854529999999</v>
      </c>
      <c r="H97" s="3">
        <v>29.53626787</v>
      </c>
      <c r="I97" s="48" t="s">
        <v>312</v>
      </c>
      <c r="J97" s="49" t="s">
        <v>346</v>
      </c>
      <c r="K97" s="3">
        <v>24269</v>
      </c>
      <c r="L97" s="48" t="s">
        <v>312</v>
      </c>
      <c r="M97" s="49" t="s">
        <v>346</v>
      </c>
      <c r="N97" s="3">
        <v>1371.0124149999999</v>
      </c>
      <c r="O97" s="3">
        <v>1897.795433</v>
      </c>
      <c r="P97" s="3">
        <v>888.82940210000004</v>
      </c>
      <c r="Q97" s="3">
        <v>889.87095810000005</v>
      </c>
      <c r="R97" s="3">
        <v>2109.5811220000001</v>
      </c>
      <c r="S97" s="3">
        <v>2578.7463990000001</v>
      </c>
      <c r="T97" s="3">
        <v>2191.7701499999998</v>
      </c>
      <c r="U97" s="3">
        <v>1716.2168959999999</v>
      </c>
      <c r="V97" s="3">
        <v>1141.725289</v>
      </c>
      <c r="W97" s="3">
        <v>682.39373650000005</v>
      </c>
      <c r="X97" s="3">
        <v>1357.1578059999999</v>
      </c>
      <c r="Y97" s="3">
        <v>219.5461632</v>
      </c>
      <c r="Z97" s="3">
        <v>1011.057563</v>
      </c>
      <c r="AA97" s="48" t="s">
        <v>312</v>
      </c>
      <c r="AB97" s="49" t="s">
        <v>346</v>
      </c>
      <c r="AC97" s="3">
        <v>0</v>
      </c>
      <c r="AD97" s="3">
        <v>0.439</v>
      </c>
      <c r="AE97" s="3">
        <v>0</v>
      </c>
      <c r="AF97" s="3">
        <v>0.312</v>
      </c>
      <c r="AG97" s="3">
        <v>0</v>
      </c>
      <c r="AH97" s="3">
        <v>0.42899999999999999</v>
      </c>
      <c r="AI97" s="3">
        <v>0</v>
      </c>
      <c r="AJ97" s="3">
        <v>0.27</v>
      </c>
      <c r="AK97" s="3">
        <v>0</v>
      </c>
      <c r="AL97" s="3">
        <v>0.80600000000000005</v>
      </c>
      <c r="AM97" s="3">
        <v>0</v>
      </c>
      <c r="AN97" s="3">
        <v>0.22500000000000001</v>
      </c>
      <c r="AO97" s="3">
        <v>0</v>
      </c>
      <c r="AP97" s="3">
        <v>0.22500000000000001</v>
      </c>
      <c r="AQ97" s="3">
        <v>0</v>
      </c>
      <c r="AR97" s="3">
        <v>0.35299999999999998</v>
      </c>
      <c r="AS97" s="3">
        <v>0</v>
      </c>
      <c r="AT97" s="3">
        <v>0.25900000000000001</v>
      </c>
      <c r="AU97" s="3">
        <v>0</v>
      </c>
      <c r="AV97" s="3">
        <v>4.1000000000000002E-2</v>
      </c>
      <c r="AW97" s="3">
        <v>0</v>
      </c>
      <c r="AX97" s="3">
        <v>0.224</v>
      </c>
      <c r="AY97" s="3">
        <v>0</v>
      </c>
      <c r="AZ97" s="3">
        <v>4.5999999999999999E-2</v>
      </c>
      <c r="BA97" s="3">
        <v>0</v>
      </c>
      <c r="BB97" s="3">
        <v>5.0999999999999997E-2</v>
      </c>
      <c r="BC97" s="3">
        <v>0.75549999999999995</v>
      </c>
      <c r="BD97" s="3">
        <v>0.70699999999999996</v>
      </c>
      <c r="BE97" s="3">
        <v>0.78200000000000003</v>
      </c>
      <c r="BF97" s="3">
        <v>0.88333333300000005</v>
      </c>
      <c r="BG97" s="3">
        <v>0.71074999999999999</v>
      </c>
      <c r="BH97" s="3">
        <v>0.872</v>
      </c>
      <c r="BI97" s="3">
        <v>0.91649999999999998</v>
      </c>
      <c r="BJ97" s="3">
        <v>0.66600000000000004</v>
      </c>
      <c r="BK97" s="3">
        <v>0.66600000000000004</v>
      </c>
      <c r="BL97" s="3">
        <v>0.622</v>
      </c>
      <c r="BM97" s="3">
        <v>0.01</v>
      </c>
      <c r="BN97" s="3">
        <v>0.68333333299999999</v>
      </c>
      <c r="BO97" s="3">
        <v>0.66200000000000003</v>
      </c>
      <c r="BP97" s="48" t="s">
        <v>312</v>
      </c>
      <c r="BQ97" s="49" t="s">
        <v>346</v>
      </c>
      <c r="BR97" s="3">
        <v>13.686999999999999</v>
      </c>
      <c r="BS97" s="3">
        <v>13.387</v>
      </c>
      <c r="BT97" s="3">
        <v>13.081</v>
      </c>
      <c r="BU97" s="3">
        <v>12.391</v>
      </c>
      <c r="BV97" s="3">
        <v>14.397</v>
      </c>
      <c r="BW97" s="3">
        <v>16.141999999999999</v>
      </c>
      <c r="BX97" s="3">
        <v>12.121</v>
      </c>
      <c r="BY97" s="3">
        <v>15.782999999999999</v>
      </c>
      <c r="BZ97" s="3">
        <v>15.385999999999999</v>
      </c>
      <c r="CA97" s="3">
        <v>14.16</v>
      </c>
      <c r="CB97" s="3">
        <v>13.167999999999999</v>
      </c>
      <c r="CC97" s="3">
        <v>12.791</v>
      </c>
      <c r="CD97" s="3">
        <v>12.62</v>
      </c>
    </row>
    <row r="98" spans="1:82" x14ac:dyDescent="0.3">
      <c r="A98" s="48" t="s">
        <v>312</v>
      </c>
      <c r="B98" s="49" t="s">
        <v>347</v>
      </c>
      <c r="C98" s="3">
        <v>32.026960299999999</v>
      </c>
      <c r="D98" s="3">
        <v>27.89047463</v>
      </c>
      <c r="E98" s="3">
        <v>27.89047463</v>
      </c>
      <c r="F98" s="3">
        <v>25.751823529999999</v>
      </c>
      <c r="G98" s="3">
        <v>25.751823529999999</v>
      </c>
      <c r="H98" s="3">
        <v>27.89047463</v>
      </c>
      <c r="I98" s="48" t="s">
        <v>312</v>
      </c>
      <c r="J98" s="49" t="s">
        <v>347</v>
      </c>
      <c r="K98" s="3">
        <v>22971.5</v>
      </c>
      <c r="L98" s="48" t="s">
        <v>312</v>
      </c>
      <c r="M98" s="49" t="s">
        <v>347</v>
      </c>
      <c r="N98" s="3">
        <v>973.67259469999999</v>
      </c>
      <c r="O98" s="3">
        <v>1351.6065619999999</v>
      </c>
      <c r="P98" s="3">
        <v>632.50653409999995</v>
      </c>
      <c r="Q98" s="3">
        <v>643.15004969999995</v>
      </c>
      <c r="R98" s="3">
        <v>1592.37184</v>
      </c>
      <c r="S98" s="3">
        <v>1780.5953500000001</v>
      </c>
      <c r="T98" s="3">
        <v>1688.341044</v>
      </c>
      <c r="U98" s="3">
        <v>1164.7298659999999</v>
      </c>
      <c r="V98" s="3">
        <v>809.53847719999999</v>
      </c>
      <c r="W98" s="3">
        <v>437.12916360000003</v>
      </c>
      <c r="X98" s="3">
        <v>890.64395850000005</v>
      </c>
      <c r="Y98" s="3">
        <v>151.81277900000001</v>
      </c>
      <c r="Z98" s="3">
        <v>414.07005340000001</v>
      </c>
      <c r="AA98" s="48" t="s">
        <v>312</v>
      </c>
      <c r="AB98" s="49" t="s">
        <v>347</v>
      </c>
      <c r="AC98" s="3">
        <v>0</v>
      </c>
      <c r="AD98" s="3">
        <v>0.44800000000000001</v>
      </c>
      <c r="AE98" s="3">
        <v>0</v>
      </c>
      <c r="AF98" s="3">
        <v>0.28699999999999998</v>
      </c>
      <c r="AG98" s="3">
        <v>0</v>
      </c>
      <c r="AH98" s="3">
        <v>0.39600000000000002</v>
      </c>
      <c r="AI98" s="3">
        <v>0</v>
      </c>
      <c r="AJ98" s="3">
        <v>0.27</v>
      </c>
      <c r="AK98" s="3">
        <v>0</v>
      </c>
      <c r="AL98" s="3">
        <v>0.79700000000000004</v>
      </c>
      <c r="AM98" s="3">
        <v>0</v>
      </c>
      <c r="AN98" s="3">
        <v>0.23899999999999999</v>
      </c>
      <c r="AO98" s="3">
        <v>0</v>
      </c>
      <c r="AP98" s="3">
        <v>0.23899999999999999</v>
      </c>
      <c r="AQ98" s="3">
        <v>0</v>
      </c>
      <c r="AR98" s="3">
        <v>0.34899999999999998</v>
      </c>
      <c r="AS98" s="3">
        <v>0</v>
      </c>
      <c r="AT98" s="3">
        <v>0.27</v>
      </c>
      <c r="AU98" s="3">
        <v>0</v>
      </c>
      <c r="AV98" s="3">
        <v>2.9000000000000001E-2</v>
      </c>
      <c r="AW98" s="3">
        <v>0</v>
      </c>
      <c r="AX98" s="3">
        <v>0.19700000000000001</v>
      </c>
      <c r="AY98" s="3">
        <v>0</v>
      </c>
      <c r="AZ98" s="3">
        <v>5.5E-2</v>
      </c>
      <c r="BA98" s="3">
        <v>0</v>
      </c>
      <c r="BB98" s="3">
        <v>7.3999999999999996E-2</v>
      </c>
      <c r="BC98" s="3">
        <v>0.75749999999999995</v>
      </c>
      <c r="BD98" s="3">
        <v>0.70599999999999996</v>
      </c>
      <c r="BE98" s="3">
        <v>0.78049999999999997</v>
      </c>
      <c r="BF98" s="3">
        <v>0.87866666699999996</v>
      </c>
      <c r="BG98" s="3">
        <v>0.70541666700000005</v>
      </c>
      <c r="BH98" s="3">
        <v>0.86599999999999999</v>
      </c>
      <c r="BI98" s="3">
        <v>0.91100000000000003</v>
      </c>
      <c r="BJ98" s="3">
        <v>0.65333333299999996</v>
      </c>
      <c r="BK98" s="3">
        <v>0.62350000000000005</v>
      </c>
      <c r="BL98" s="3">
        <v>0.55700000000000005</v>
      </c>
      <c r="BM98" s="3">
        <v>0.01</v>
      </c>
      <c r="BN98" s="3">
        <v>0.66433333299999997</v>
      </c>
      <c r="BO98" s="3">
        <v>0.63900000000000001</v>
      </c>
      <c r="BP98" s="48" t="s">
        <v>312</v>
      </c>
      <c r="BQ98" s="49" t="s">
        <v>347</v>
      </c>
      <c r="BR98" s="3">
        <v>13.439</v>
      </c>
      <c r="BS98" s="3">
        <v>13.311</v>
      </c>
      <c r="BT98" s="3">
        <v>12.952</v>
      </c>
      <c r="BU98" s="3">
        <v>12.228</v>
      </c>
      <c r="BV98" s="3">
        <v>14.180999999999999</v>
      </c>
      <c r="BW98" s="3">
        <v>16.117999999999999</v>
      </c>
      <c r="BX98" s="3">
        <v>11.907</v>
      </c>
      <c r="BY98" s="3">
        <v>15.38</v>
      </c>
      <c r="BZ98" s="3">
        <v>15.177</v>
      </c>
      <c r="CA98" s="3">
        <v>14.285</v>
      </c>
      <c r="CB98" s="3">
        <v>12.842000000000001</v>
      </c>
      <c r="CC98" s="3">
        <v>12.529</v>
      </c>
      <c r="CD98" s="3">
        <v>11.856</v>
      </c>
    </row>
    <row r="99" spans="1:82" x14ac:dyDescent="0.3">
      <c r="A99" s="48" t="s">
        <v>313</v>
      </c>
      <c r="B99" s="49" t="s">
        <v>324</v>
      </c>
      <c r="C99" s="3">
        <v>32.151982500000003</v>
      </c>
      <c r="D99" s="3">
        <v>27.526240000000001</v>
      </c>
      <c r="E99" s="3">
        <v>27.526240000000001</v>
      </c>
      <c r="F99" s="3">
        <v>25.472304999999999</v>
      </c>
      <c r="G99" s="3">
        <v>25.472304999999999</v>
      </c>
      <c r="H99" s="3">
        <v>27.526240000000001</v>
      </c>
      <c r="I99" s="48" t="s">
        <v>313</v>
      </c>
      <c r="J99" s="49" t="s">
        <v>324</v>
      </c>
      <c r="K99" s="3">
        <v>24540.5</v>
      </c>
      <c r="L99" s="48" t="s">
        <v>313</v>
      </c>
      <c r="M99" s="49" t="s">
        <v>324</v>
      </c>
      <c r="N99" s="3">
        <v>689.70738540000002</v>
      </c>
      <c r="O99" s="3">
        <v>1130.548225</v>
      </c>
      <c r="P99" s="3">
        <v>494.75605789999997</v>
      </c>
      <c r="Q99" s="3">
        <v>571.57933170000001</v>
      </c>
      <c r="R99" s="3">
        <v>1058.876673</v>
      </c>
      <c r="S99" s="3">
        <v>1186.8747410000001</v>
      </c>
      <c r="T99" s="3">
        <v>973.08030550000001</v>
      </c>
      <c r="U99" s="3">
        <v>734.82638420000001</v>
      </c>
      <c r="V99" s="3">
        <v>478.3165922</v>
      </c>
      <c r="W99" s="3">
        <v>384.40200490000001</v>
      </c>
      <c r="X99" s="3">
        <v>768.3915806</v>
      </c>
      <c r="Y99" s="3">
        <v>90.344791569999998</v>
      </c>
      <c r="Z99" s="3">
        <v>440.78203669999999</v>
      </c>
      <c r="AA99" s="48" t="s">
        <v>313</v>
      </c>
      <c r="AB99" s="49" t="s">
        <v>324</v>
      </c>
      <c r="AC99" s="3">
        <v>0</v>
      </c>
      <c r="AD99" s="3">
        <v>0.161</v>
      </c>
      <c r="AE99" s="3">
        <v>0</v>
      </c>
      <c r="AF99" s="3">
        <v>0.11899999999999999</v>
      </c>
      <c r="AG99" s="3">
        <v>0</v>
      </c>
      <c r="AH99" s="3">
        <v>0.13400000000000001</v>
      </c>
      <c r="AI99" s="3">
        <v>0</v>
      </c>
      <c r="AJ99" s="3">
        <v>0.185</v>
      </c>
      <c r="AK99" s="3">
        <v>0</v>
      </c>
      <c r="AL99" s="3">
        <v>0.221</v>
      </c>
      <c r="AM99" s="3">
        <v>0</v>
      </c>
      <c r="AN99" s="3">
        <v>0.315</v>
      </c>
      <c r="AO99" s="3">
        <v>0</v>
      </c>
      <c r="AP99" s="3">
        <v>0.315</v>
      </c>
      <c r="AQ99" s="3">
        <v>0</v>
      </c>
      <c r="AR99" s="3">
        <v>0.17499999999999999</v>
      </c>
      <c r="AS99" s="3">
        <v>0</v>
      </c>
      <c r="AT99" s="3">
        <v>0.20200000000000001</v>
      </c>
      <c r="AU99" s="3">
        <v>0</v>
      </c>
      <c r="AV99" s="3">
        <v>9.6000000000000002E-2</v>
      </c>
      <c r="AW99" s="3">
        <v>0</v>
      </c>
      <c r="AX99" s="3">
        <v>0.10299999999999999</v>
      </c>
      <c r="AY99" s="3">
        <v>0</v>
      </c>
      <c r="AZ99" s="3">
        <v>5.8000000000000003E-2</v>
      </c>
      <c r="BA99" s="3">
        <v>0</v>
      </c>
      <c r="BB99" s="3">
        <v>2.3E-2</v>
      </c>
      <c r="BC99" s="3">
        <v>8.7999999999999995E-2</v>
      </c>
      <c r="BD99" s="3">
        <v>0.33100000000000002</v>
      </c>
      <c r="BE99" s="3">
        <v>0.34350000000000003</v>
      </c>
      <c r="BF99" s="3">
        <v>0.235666667</v>
      </c>
      <c r="BG99" s="3">
        <v>8.7333333999999999E-2</v>
      </c>
      <c r="BH99" s="3">
        <v>7.4999999999999997E-2</v>
      </c>
      <c r="BI99" s="3">
        <v>0.47649999999999998</v>
      </c>
      <c r="BJ99" s="3">
        <v>8.6666667000000003E-2</v>
      </c>
      <c r="BK99" s="3">
        <v>0.16350000000000001</v>
      </c>
      <c r="BL99" s="3">
        <v>0.142666667</v>
      </c>
      <c r="BM99" s="3">
        <v>0.01</v>
      </c>
      <c r="BN99" s="3">
        <v>6.3666666999999996E-2</v>
      </c>
      <c r="BO99" s="3">
        <v>0.13100000000000001</v>
      </c>
      <c r="BP99" s="48" t="s">
        <v>313</v>
      </c>
      <c r="BQ99" s="49" t="s">
        <v>324</v>
      </c>
      <c r="BR99" s="3">
        <v>11.52</v>
      </c>
      <c r="BS99" s="3">
        <v>10.917999999999999</v>
      </c>
      <c r="BT99" s="3">
        <v>10.656000000000001</v>
      </c>
      <c r="BU99" s="3">
        <v>9.9380000000000006</v>
      </c>
      <c r="BV99" s="3">
        <v>11.393000000000001</v>
      </c>
      <c r="BW99" s="3">
        <v>15.77</v>
      </c>
      <c r="BX99" s="3">
        <v>11.166</v>
      </c>
      <c r="BY99" s="3">
        <v>14.711</v>
      </c>
      <c r="BZ99" s="3">
        <v>13.619</v>
      </c>
      <c r="CA99" s="3">
        <v>11.816000000000001</v>
      </c>
      <c r="CB99" s="3">
        <v>10.701000000000001</v>
      </c>
      <c r="CC99" s="3">
        <v>11.474</v>
      </c>
      <c r="CD99" s="3">
        <v>11.47</v>
      </c>
    </row>
    <row r="100" spans="1:82" x14ac:dyDescent="0.3">
      <c r="A100" s="48" t="s">
        <v>313</v>
      </c>
      <c r="B100" s="49" t="s">
        <v>325</v>
      </c>
      <c r="C100" s="3">
        <v>31.84477</v>
      </c>
      <c r="D100" s="3">
        <v>27.499907499999999</v>
      </c>
      <c r="E100" s="3">
        <v>27.499907499999999</v>
      </c>
      <c r="F100" s="3">
        <v>25.5337475</v>
      </c>
      <c r="G100" s="3">
        <v>25.5337475</v>
      </c>
      <c r="H100" s="3">
        <v>27.499907499999999</v>
      </c>
      <c r="I100" s="48" t="s">
        <v>313</v>
      </c>
      <c r="J100" s="49" t="s">
        <v>325</v>
      </c>
      <c r="K100" s="3">
        <v>24158</v>
      </c>
      <c r="L100" s="48" t="s">
        <v>313</v>
      </c>
      <c r="M100" s="49" t="s">
        <v>325</v>
      </c>
      <c r="N100" s="3">
        <v>519.09253160000003</v>
      </c>
      <c r="O100" s="3">
        <v>887.42520160000004</v>
      </c>
      <c r="P100" s="3">
        <v>419.26526139999999</v>
      </c>
      <c r="Q100" s="3">
        <v>526.37990509999997</v>
      </c>
      <c r="R100" s="3">
        <v>645.26922000000002</v>
      </c>
      <c r="S100" s="3">
        <v>845.9546656</v>
      </c>
      <c r="T100" s="3">
        <v>651.04647439999997</v>
      </c>
      <c r="U100" s="3">
        <v>474.2239563</v>
      </c>
      <c r="V100" s="3">
        <v>351.57531729999999</v>
      </c>
      <c r="W100" s="3">
        <v>315.09608919999999</v>
      </c>
      <c r="X100" s="3">
        <v>520.11249429999998</v>
      </c>
      <c r="Y100" s="3">
        <v>78.529490240000001</v>
      </c>
      <c r="Z100" s="3">
        <v>452.90753339999998</v>
      </c>
      <c r="AA100" s="48" t="s">
        <v>313</v>
      </c>
      <c r="AB100" s="49" t="s">
        <v>325</v>
      </c>
      <c r="AC100" s="3">
        <v>0</v>
      </c>
      <c r="AD100" s="3">
        <v>0.16300000000000001</v>
      </c>
      <c r="AE100" s="3">
        <v>0</v>
      </c>
      <c r="AF100" s="3">
        <v>0.127</v>
      </c>
      <c r="AG100" s="3">
        <v>0</v>
      </c>
      <c r="AH100" s="3">
        <v>0.13400000000000001</v>
      </c>
      <c r="AI100" s="3">
        <v>0</v>
      </c>
      <c r="AJ100" s="3">
        <v>0.185</v>
      </c>
      <c r="AK100" s="3">
        <v>0</v>
      </c>
      <c r="AL100" s="3">
        <v>0.183</v>
      </c>
      <c r="AM100" s="3">
        <v>0</v>
      </c>
      <c r="AN100" s="3">
        <v>0.30199999999999999</v>
      </c>
      <c r="AO100" s="3">
        <v>0</v>
      </c>
      <c r="AP100" s="3">
        <v>0.30199999999999999</v>
      </c>
      <c r="AQ100" s="3">
        <v>0</v>
      </c>
      <c r="AR100" s="3">
        <v>0.157</v>
      </c>
      <c r="AS100" s="3">
        <v>0</v>
      </c>
      <c r="AT100" s="3">
        <v>0.19400000000000001</v>
      </c>
      <c r="AU100" s="3">
        <v>0</v>
      </c>
      <c r="AV100" s="3">
        <v>7.1999999999999995E-2</v>
      </c>
      <c r="AW100" s="3">
        <v>0</v>
      </c>
      <c r="AX100" s="3">
        <v>0.09</v>
      </c>
      <c r="AY100" s="3">
        <v>0</v>
      </c>
      <c r="AZ100" s="3">
        <v>3.6999999999999998E-2</v>
      </c>
      <c r="BA100" s="3">
        <v>0</v>
      </c>
      <c r="BB100" s="3">
        <v>1.2999999999999999E-2</v>
      </c>
      <c r="BC100" s="3">
        <v>7.9500000000000001E-2</v>
      </c>
      <c r="BD100" s="3">
        <v>0.29099999999999998</v>
      </c>
      <c r="BE100" s="3">
        <v>0.29149999999999998</v>
      </c>
      <c r="BF100" s="3">
        <v>0.20433333300000001</v>
      </c>
      <c r="BG100" s="3">
        <v>8.9249999999999996E-2</v>
      </c>
      <c r="BH100" s="3">
        <v>5.7000000000000002E-2</v>
      </c>
      <c r="BI100" s="3">
        <v>0.46750000000000003</v>
      </c>
      <c r="BJ100" s="3">
        <v>9.9000000000000005E-2</v>
      </c>
      <c r="BK100" s="3">
        <v>0.1925</v>
      </c>
      <c r="BL100" s="3">
        <v>0.153</v>
      </c>
      <c r="BM100" s="3">
        <v>0.01</v>
      </c>
      <c r="BN100" s="3">
        <v>6.9666667000000002E-2</v>
      </c>
      <c r="BO100" s="3">
        <v>0.16200000000000001</v>
      </c>
      <c r="BP100" s="48" t="s">
        <v>313</v>
      </c>
      <c r="BQ100" s="49" t="s">
        <v>325</v>
      </c>
      <c r="BR100" s="3">
        <v>11.475</v>
      </c>
      <c r="BS100" s="3">
        <v>10.741</v>
      </c>
      <c r="BT100" s="3">
        <v>10.433999999999999</v>
      </c>
      <c r="BU100" s="3">
        <v>9.7129999999999992</v>
      </c>
      <c r="BV100" s="3">
        <v>10.933</v>
      </c>
      <c r="BW100" s="3">
        <v>15.781000000000001</v>
      </c>
      <c r="BX100" s="3">
        <v>10.96</v>
      </c>
      <c r="BY100" s="3">
        <v>14.52</v>
      </c>
      <c r="BZ100" s="3">
        <v>13.256</v>
      </c>
      <c r="CA100" s="3">
        <v>11.611000000000001</v>
      </c>
      <c r="CB100" s="3">
        <v>10.25</v>
      </c>
      <c r="CC100" s="3">
        <v>11.625999999999999</v>
      </c>
      <c r="CD100" s="3">
        <v>11.691000000000001</v>
      </c>
    </row>
    <row r="101" spans="1:82" x14ac:dyDescent="0.3">
      <c r="A101" s="48" t="s">
        <v>313</v>
      </c>
      <c r="B101" s="49" t="s">
        <v>326</v>
      </c>
      <c r="C101" s="3">
        <v>30.194600000000001</v>
      </c>
      <c r="D101" s="3">
        <v>27.982669999999999</v>
      </c>
      <c r="E101" s="3">
        <v>27.982669999999999</v>
      </c>
      <c r="F101" s="3">
        <v>26.121839999999999</v>
      </c>
      <c r="G101" s="3">
        <v>26.121839999999999</v>
      </c>
      <c r="H101" s="3">
        <v>27.982669999999999</v>
      </c>
      <c r="I101" s="48" t="s">
        <v>313</v>
      </c>
      <c r="J101" s="49" t="s">
        <v>326</v>
      </c>
      <c r="K101" s="3">
        <v>23641.5</v>
      </c>
      <c r="L101" s="48" t="s">
        <v>313</v>
      </c>
      <c r="M101" s="49" t="s">
        <v>326</v>
      </c>
      <c r="N101" s="3">
        <v>448.0912715</v>
      </c>
      <c r="O101" s="3">
        <v>802.99580049999997</v>
      </c>
      <c r="P101" s="3">
        <v>425.15116280000001</v>
      </c>
      <c r="Q101" s="3">
        <v>478.23643779999998</v>
      </c>
      <c r="R101" s="3">
        <v>603.14998089999995</v>
      </c>
      <c r="S101" s="3">
        <v>711.8584118</v>
      </c>
      <c r="T101" s="3">
        <v>554.38937829999998</v>
      </c>
      <c r="U101" s="3">
        <v>423.52477549999998</v>
      </c>
      <c r="V101" s="3">
        <v>311.68790910000001</v>
      </c>
      <c r="W101" s="3">
        <v>417.72453410000003</v>
      </c>
      <c r="X101" s="3">
        <v>464.47000059999999</v>
      </c>
      <c r="Y101" s="3">
        <v>107.0013161</v>
      </c>
      <c r="Z101" s="3">
        <v>489.1920078</v>
      </c>
      <c r="AA101" s="48" t="s">
        <v>313</v>
      </c>
      <c r="AB101" s="49" t="s">
        <v>326</v>
      </c>
      <c r="AC101" s="3">
        <v>0</v>
      </c>
      <c r="AD101" s="3">
        <v>0.16200000000000001</v>
      </c>
      <c r="AE101" s="3">
        <v>0</v>
      </c>
      <c r="AF101" s="3">
        <v>0.124</v>
      </c>
      <c r="AG101" s="3">
        <v>0</v>
      </c>
      <c r="AH101" s="3">
        <v>0.115</v>
      </c>
      <c r="AI101" s="3">
        <v>0</v>
      </c>
      <c r="AJ101" s="3">
        <v>0.182</v>
      </c>
      <c r="AK101" s="3">
        <v>0</v>
      </c>
      <c r="AL101" s="3">
        <v>0.17100000000000001</v>
      </c>
      <c r="AM101" s="3">
        <v>0</v>
      </c>
      <c r="AN101" s="3">
        <v>0.29599999999999999</v>
      </c>
      <c r="AO101" s="3">
        <v>0</v>
      </c>
      <c r="AP101" s="3">
        <v>0.29599999999999999</v>
      </c>
      <c r="AQ101" s="3">
        <v>0</v>
      </c>
      <c r="AR101" s="3">
        <v>0.14000000000000001</v>
      </c>
      <c r="AS101" s="3">
        <v>0</v>
      </c>
      <c r="AT101" s="3">
        <v>0.18</v>
      </c>
      <c r="AU101" s="3">
        <v>0</v>
      </c>
      <c r="AV101" s="3">
        <v>6.0999999999999999E-2</v>
      </c>
      <c r="AW101" s="3">
        <v>0</v>
      </c>
      <c r="AX101" s="3">
        <v>7.5999999999999998E-2</v>
      </c>
      <c r="AY101" s="3">
        <v>0</v>
      </c>
      <c r="AZ101" s="3">
        <v>2.7E-2</v>
      </c>
      <c r="BA101" s="3">
        <v>0</v>
      </c>
      <c r="BB101" s="3">
        <v>8.9999999999999993E-3</v>
      </c>
      <c r="BC101" s="3">
        <v>7.2999999999999995E-2</v>
      </c>
      <c r="BD101" s="3">
        <v>0.253</v>
      </c>
      <c r="BE101" s="3">
        <v>0.247</v>
      </c>
      <c r="BF101" s="3">
        <v>0.170333333</v>
      </c>
      <c r="BG101" s="3">
        <v>9.3166666999999995E-2</v>
      </c>
      <c r="BH101" s="3">
        <v>3.7999999999999999E-2</v>
      </c>
      <c r="BI101" s="3">
        <v>0.44</v>
      </c>
      <c r="BJ101" s="3">
        <v>0.11333333299999999</v>
      </c>
      <c r="BK101" s="3">
        <v>0.218</v>
      </c>
      <c r="BL101" s="3">
        <v>0.16866666699999999</v>
      </c>
      <c r="BM101" s="3">
        <v>0.01</v>
      </c>
      <c r="BN101" s="3">
        <v>8.2000000000000003E-2</v>
      </c>
      <c r="BO101" s="3">
        <v>0.2</v>
      </c>
      <c r="BP101" s="48" t="s">
        <v>313</v>
      </c>
      <c r="BQ101" s="49" t="s">
        <v>326</v>
      </c>
      <c r="BR101" s="3">
        <v>11.542</v>
      </c>
      <c r="BS101" s="3">
        <v>10.715</v>
      </c>
      <c r="BT101" s="3">
        <v>10.397</v>
      </c>
      <c r="BU101" s="3">
        <v>9.5779999999999994</v>
      </c>
      <c r="BV101" s="3">
        <v>10.532</v>
      </c>
      <c r="BW101" s="3">
        <v>15.811</v>
      </c>
      <c r="BX101" s="3">
        <v>10.85</v>
      </c>
      <c r="BY101" s="3">
        <v>14.329000000000001</v>
      </c>
      <c r="BZ101" s="3">
        <v>13.038</v>
      </c>
      <c r="CA101" s="3">
        <v>11.407999999999999</v>
      </c>
      <c r="CB101" s="3">
        <v>9.8659999999999997</v>
      </c>
      <c r="CC101" s="3">
        <v>11.692</v>
      </c>
      <c r="CD101" s="3">
        <v>11.704000000000001</v>
      </c>
    </row>
    <row r="102" spans="1:82" x14ac:dyDescent="0.3">
      <c r="A102" s="48" t="s">
        <v>313</v>
      </c>
      <c r="B102" s="49" t="s">
        <v>327</v>
      </c>
      <c r="C102" s="3">
        <v>29.1325225</v>
      </c>
      <c r="D102" s="3">
        <v>29.501177500000001</v>
      </c>
      <c r="E102" s="3">
        <v>29.501177500000001</v>
      </c>
      <c r="F102" s="3">
        <v>26.832817500000001</v>
      </c>
      <c r="G102" s="3">
        <v>28.210885000000001</v>
      </c>
      <c r="H102" s="3">
        <v>29.501177500000001</v>
      </c>
      <c r="I102" s="48" t="s">
        <v>313</v>
      </c>
      <c r="J102" s="49" t="s">
        <v>327</v>
      </c>
      <c r="K102" s="3">
        <v>23628</v>
      </c>
      <c r="L102" s="48" t="s">
        <v>313</v>
      </c>
      <c r="M102" s="49" t="s">
        <v>327</v>
      </c>
      <c r="N102" s="3">
        <v>417.8095189</v>
      </c>
      <c r="O102" s="3">
        <v>730.93240820000005</v>
      </c>
      <c r="P102" s="3">
        <v>433.36882750000001</v>
      </c>
      <c r="Q102" s="3">
        <v>528.03796920000002</v>
      </c>
      <c r="R102" s="3">
        <v>549.84155810000004</v>
      </c>
      <c r="S102" s="3">
        <v>607.52256910000006</v>
      </c>
      <c r="T102" s="3">
        <v>391.56650689999998</v>
      </c>
      <c r="U102" s="3">
        <v>387.93578639999998</v>
      </c>
      <c r="V102" s="3">
        <v>338.71961690000001</v>
      </c>
      <c r="W102" s="3">
        <v>272.91276640000001</v>
      </c>
      <c r="X102" s="3">
        <v>401.42187250000001</v>
      </c>
      <c r="Y102" s="3">
        <v>72.067537819999998</v>
      </c>
      <c r="Z102" s="3">
        <v>546.56534910000005</v>
      </c>
      <c r="AA102" s="48" t="s">
        <v>313</v>
      </c>
      <c r="AB102" s="49" t="s">
        <v>327</v>
      </c>
      <c r="AC102" s="3">
        <v>0</v>
      </c>
      <c r="AD102" s="3">
        <v>0.158</v>
      </c>
      <c r="AE102" s="3">
        <v>0</v>
      </c>
      <c r="AF102" s="3">
        <v>0.11799999999999999</v>
      </c>
      <c r="AG102" s="3">
        <v>0</v>
      </c>
      <c r="AH102" s="3">
        <v>9.8000000000000004E-2</v>
      </c>
      <c r="AI102" s="3">
        <v>0</v>
      </c>
      <c r="AJ102" s="3">
        <v>0.183</v>
      </c>
      <c r="AK102" s="3">
        <v>0</v>
      </c>
      <c r="AL102" s="3">
        <v>0.18099999999999999</v>
      </c>
      <c r="AM102" s="3">
        <v>0</v>
      </c>
      <c r="AN102" s="3">
        <v>0.28799999999999998</v>
      </c>
      <c r="AO102" s="3">
        <v>0</v>
      </c>
      <c r="AP102" s="3">
        <v>0.28799999999999998</v>
      </c>
      <c r="AQ102" s="3">
        <v>0</v>
      </c>
      <c r="AR102" s="3">
        <v>0.123</v>
      </c>
      <c r="AS102" s="3">
        <v>0</v>
      </c>
      <c r="AT102" s="3">
        <v>0.16900000000000001</v>
      </c>
      <c r="AU102" s="3">
        <v>0</v>
      </c>
      <c r="AV102" s="3">
        <v>5.8999999999999997E-2</v>
      </c>
      <c r="AW102" s="3">
        <v>0</v>
      </c>
      <c r="AX102" s="3">
        <v>7.5999999999999998E-2</v>
      </c>
      <c r="AY102" s="3">
        <v>0</v>
      </c>
      <c r="AZ102" s="3">
        <v>2.5000000000000001E-2</v>
      </c>
      <c r="BA102" s="3">
        <v>0</v>
      </c>
      <c r="BB102" s="3">
        <v>1.2999999999999999E-2</v>
      </c>
      <c r="BC102" s="3">
        <v>7.2499999999999995E-2</v>
      </c>
      <c r="BD102" s="3">
        <v>0.22800000000000001</v>
      </c>
      <c r="BE102" s="3">
        <v>0.20300000000000001</v>
      </c>
      <c r="BF102" s="3">
        <v>0.129</v>
      </c>
      <c r="BG102" s="3">
        <v>9.8916667E-2</v>
      </c>
      <c r="BH102" s="3">
        <v>1.7999999999999999E-2</v>
      </c>
      <c r="BI102" s="3">
        <v>0.41149999999999998</v>
      </c>
      <c r="BJ102" s="3">
        <v>0.12533333299999999</v>
      </c>
      <c r="BK102" s="3">
        <v>0.23749999999999999</v>
      </c>
      <c r="BL102" s="3">
        <v>0.200333333</v>
      </c>
      <c r="BM102" s="3">
        <v>0.01</v>
      </c>
      <c r="BN102" s="3">
        <v>0.102666667</v>
      </c>
      <c r="BO102" s="3">
        <v>0.249</v>
      </c>
      <c r="BP102" s="48" t="s">
        <v>313</v>
      </c>
      <c r="BQ102" s="49" t="s">
        <v>327</v>
      </c>
      <c r="BR102" s="3">
        <v>11.705</v>
      </c>
      <c r="BS102" s="3">
        <v>10.791</v>
      </c>
      <c r="BT102" s="3">
        <v>10.41</v>
      </c>
      <c r="BU102" s="3">
        <v>9.4700000000000006</v>
      </c>
      <c r="BV102" s="3">
        <v>10.222</v>
      </c>
      <c r="BW102" s="3">
        <v>15.858000000000001</v>
      </c>
      <c r="BX102" s="3">
        <v>10.749000000000001</v>
      </c>
      <c r="BY102" s="3">
        <v>14.166</v>
      </c>
      <c r="BZ102" s="3">
        <v>12.928000000000001</v>
      </c>
      <c r="CA102" s="3">
        <v>11.199</v>
      </c>
      <c r="CB102" s="3">
        <v>9.49</v>
      </c>
      <c r="CC102" s="3">
        <v>11.625999999999999</v>
      </c>
      <c r="CD102" s="3">
        <v>11.526</v>
      </c>
    </row>
    <row r="103" spans="1:82" x14ac:dyDescent="0.3">
      <c r="A103" s="48" t="s">
        <v>313</v>
      </c>
      <c r="B103" s="49" t="s">
        <v>328</v>
      </c>
      <c r="C103" s="3">
        <v>29.1325225</v>
      </c>
      <c r="D103" s="3">
        <v>37.321930000000002</v>
      </c>
      <c r="E103" s="3">
        <v>37.321930000000002</v>
      </c>
      <c r="F103" s="3">
        <v>26.850372499999999</v>
      </c>
      <c r="G103" s="3">
        <v>31.037240000000001</v>
      </c>
      <c r="H103" s="3">
        <v>37.321930000000002</v>
      </c>
      <c r="I103" s="48" t="s">
        <v>313</v>
      </c>
      <c r="J103" s="49" t="s">
        <v>328</v>
      </c>
      <c r="K103" s="3">
        <v>24791</v>
      </c>
      <c r="L103" s="48" t="s">
        <v>313</v>
      </c>
      <c r="M103" s="49" t="s">
        <v>328</v>
      </c>
      <c r="N103" s="3">
        <v>364.39020909999999</v>
      </c>
      <c r="O103" s="3">
        <v>634.50631490000001</v>
      </c>
      <c r="P103" s="3">
        <v>468.88646929999999</v>
      </c>
      <c r="Q103" s="3">
        <v>515.62427809999997</v>
      </c>
      <c r="R103" s="3">
        <v>410.71579589999999</v>
      </c>
      <c r="S103" s="3">
        <v>435.26071180000002</v>
      </c>
      <c r="T103" s="3">
        <v>298.74573800000002</v>
      </c>
      <c r="U103" s="3">
        <v>340.54227270000001</v>
      </c>
      <c r="V103" s="3">
        <v>316.89979240000002</v>
      </c>
      <c r="W103" s="3">
        <v>317.0660982</v>
      </c>
      <c r="X103" s="3">
        <v>282.03548319999999</v>
      </c>
      <c r="Y103" s="3">
        <v>65.024585299999998</v>
      </c>
      <c r="Z103" s="3">
        <v>406.4271574</v>
      </c>
      <c r="AA103" s="48" t="s">
        <v>313</v>
      </c>
      <c r="AB103" s="49" t="s">
        <v>328</v>
      </c>
      <c r="AC103" s="3">
        <v>0</v>
      </c>
      <c r="AD103" s="3">
        <v>0.156</v>
      </c>
      <c r="AE103" s="3">
        <v>0</v>
      </c>
      <c r="AF103" s="3">
        <v>0.115</v>
      </c>
      <c r="AG103" s="3">
        <v>0</v>
      </c>
      <c r="AH103" s="3">
        <v>0.09</v>
      </c>
      <c r="AI103" s="3">
        <v>0</v>
      </c>
      <c r="AJ103" s="3">
        <v>0.19400000000000001</v>
      </c>
      <c r="AK103" s="3">
        <v>0</v>
      </c>
      <c r="AL103" s="3">
        <v>0.21</v>
      </c>
      <c r="AM103" s="3">
        <v>0</v>
      </c>
      <c r="AN103" s="3">
        <v>0.28999999999999998</v>
      </c>
      <c r="AO103" s="3">
        <v>0</v>
      </c>
      <c r="AP103" s="3">
        <v>0.28999999999999998</v>
      </c>
      <c r="AQ103" s="3">
        <v>0</v>
      </c>
      <c r="AR103" s="3">
        <v>0.113</v>
      </c>
      <c r="AS103" s="3">
        <v>0</v>
      </c>
      <c r="AT103" s="3">
        <v>0.17399999999999999</v>
      </c>
      <c r="AU103" s="3">
        <v>0</v>
      </c>
      <c r="AV103" s="3">
        <v>6.3E-2</v>
      </c>
      <c r="AW103" s="3">
        <v>0</v>
      </c>
      <c r="AX103" s="3">
        <v>8.6999999999999994E-2</v>
      </c>
      <c r="AY103" s="3">
        <v>0</v>
      </c>
      <c r="AZ103" s="3">
        <v>2.7E-2</v>
      </c>
      <c r="BA103" s="3">
        <v>0</v>
      </c>
      <c r="BB103" s="3">
        <v>2.1000000000000001E-2</v>
      </c>
      <c r="BC103" s="3">
        <v>8.1500000000000003E-2</v>
      </c>
      <c r="BD103" s="3">
        <v>0.20349999999999999</v>
      </c>
      <c r="BE103" s="3">
        <v>0.152</v>
      </c>
      <c r="BF103" s="3">
        <v>8.8666667000000005E-2</v>
      </c>
      <c r="BG103" s="3">
        <v>0.108583334</v>
      </c>
      <c r="BH103" s="3">
        <v>0.01</v>
      </c>
      <c r="BI103" s="3">
        <v>0.372</v>
      </c>
      <c r="BJ103" s="3">
        <v>0.13566666699999999</v>
      </c>
      <c r="BK103" s="3">
        <v>0.2495</v>
      </c>
      <c r="BL103" s="3">
        <v>0.24399999999999999</v>
      </c>
      <c r="BM103" s="3">
        <v>0.01</v>
      </c>
      <c r="BN103" s="3">
        <v>0.13300000000000001</v>
      </c>
      <c r="BO103" s="3">
        <v>0.30499999999999999</v>
      </c>
      <c r="BP103" s="48" t="s">
        <v>313</v>
      </c>
      <c r="BQ103" s="49" t="s">
        <v>328</v>
      </c>
      <c r="BR103" s="3">
        <v>11.635</v>
      </c>
      <c r="BS103" s="3">
        <v>10.865</v>
      </c>
      <c r="BT103" s="3">
        <v>10.391</v>
      </c>
      <c r="BU103" s="3">
        <v>9.3849999999999998</v>
      </c>
      <c r="BV103" s="3">
        <v>9.9849999999999994</v>
      </c>
      <c r="BW103" s="3">
        <v>15.917999999999999</v>
      </c>
      <c r="BX103" s="3">
        <v>10.597</v>
      </c>
      <c r="BY103" s="3">
        <v>13.99</v>
      </c>
      <c r="BZ103" s="3">
        <v>12.782999999999999</v>
      </c>
      <c r="CA103" s="3">
        <v>10.975</v>
      </c>
      <c r="CB103" s="3">
        <v>9.1059999999999999</v>
      </c>
      <c r="CC103" s="3">
        <v>11.589</v>
      </c>
      <c r="CD103" s="3">
        <v>11.141</v>
      </c>
    </row>
    <row r="104" spans="1:82" x14ac:dyDescent="0.3">
      <c r="A104" s="48" t="s">
        <v>313</v>
      </c>
      <c r="B104" s="49" t="s">
        <v>329</v>
      </c>
      <c r="C104" s="3">
        <v>31.423449999999999</v>
      </c>
      <c r="D104" s="3">
        <v>45.590335000000003</v>
      </c>
      <c r="E104" s="3">
        <v>45.265567500000003</v>
      </c>
      <c r="F104" s="3">
        <v>26.938147499999999</v>
      </c>
      <c r="G104" s="3">
        <v>33.363277500000002</v>
      </c>
      <c r="H104" s="3">
        <v>45.590335000000003</v>
      </c>
      <c r="I104" s="48" t="s">
        <v>313</v>
      </c>
      <c r="J104" s="49" t="s">
        <v>329</v>
      </c>
      <c r="K104" s="3">
        <v>29024.5</v>
      </c>
      <c r="L104" s="48" t="s">
        <v>313</v>
      </c>
      <c r="M104" s="49" t="s">
        <v>329</v>
      </c>
      <c r="N104" s="3">
        <v>473.33952740000001</v>
      </c>
      <c r="O104" s="3">
        <v>716.12303039999995</v>
      </c>
      <c r="P104" s="3">
        <v>720.90762059999997</v>
      </c>
      <c r="Q104" s="3">
        <v>867.75091210000005</v>
      </c>
      <c r="R104" s="3">
        <v>535.33440259999998</v>
      </c>
      <c r="S104" s="3">
        <v>507.70637529999999</v>
      </c>
      <c r="T104" s="3">
        <v>339.36808189999999</v>
      </c>
      <c r="U104" s="3">
        <v>430.84769419999998</v>
      </c>
      <c r="V104" s="3">
        <v>429.76859159999998</v>
      </c>
      <c r="W104" s="3">
        <v>532.61929859999998</v>
      </c>
      <c r="X104" s="3">
        <v>359.19396999999998</v>
      </c>
      <c r="Y104" s="3">
        <v>105.3618012</v>
      </c>
      <c r="Z104" s="3">
        <v>100.9921634</v>
      </c>
      <c r="AA104" s="48" t="s">
        <v>313</v>
      </c>
      <c r="AB104" s="49" t="s">
        <v>329</v>
      </c>
      <c r="AC104" s="3">
        <v>0</v>
      </c>
      <c r="AD104" s="3">
        <v>0.153</v>
      </c>
      <c r="AE104" s="3">
        <v>0</v>
      </c>
      <c r="AF104" s="3">
        <v>0.11799999999999999</v>
      </c>
      <c r="AG104" s="3">
        <v>0</v>
      </c>
      <c r="AH104" s="3">
        <v>9.2999999999999999E-2</v>
      </c>
      <c r="AI104" s="3">
        <v>0</v>
      </c>
      <c r="AJ104" s="3">
        <v>0.20399999999999999</v>
      </c>
      <c r="AK104" s="3">
        <v>0</v>
      </c>
      <c r="AL104" s="3">
        <v>0.23699999999999999</v>
      </c>
      <c r="AM104" s="3">
        <v>0</v>
      </c>
      <c r="AN104" s="3">
        <v>0.30599999999999999</v>
      </c>
      <c r="AO104" s="3">
        <v>0</v>
      </c>
      <c r="AP104" s="3">
        <v>0.30599999999999999</v>
      </c>
      <c r="AQ104" s="3">
        <v>0</v>
      </c>
      <c r="AR104" s="3">
        <v>0.112</v>
      </c>
      <c r="AS104" s="3">
        <v>0</v>
      </c>
      <c r="AT104" s="3">
        <v>0.184</v>
      </c>
      <c r="AU104" s="3">
        <v>0</v>
      </c>
      <c r="AV104" s="3">
        <v>7.0000000000000007E-2</v>
      </c>
      <c r="AW104" s="3">
        <v>0</v>
      </c>
      <c r="AX104" s="3">
        <v>9.9000000000000005E-2</v>
      </c>
      <c r="AY104" s="3">
        <v>0</v>
      </c>
      <c r="AZ104" s="3">
        <v>3.3000000000000002E-2</v>
      </c>
      <c r="BA104" s="3">
        <v>0</v>
      </c>
      <c r="BB104" s="3">
        <v>3.3000000000000002E-2</v>
      </c>
      <c r="BC104" s="3">
        <v>9.6000000000000002E-2</v>
      </c>
      <c r="BD104" s="3">
        <v>0.16650000000000001</v>
      </c>
      <c r="BE104" s="3">
        <v>0.10150000000000001</v>
      </c>
      <c r="BF104" s="3">
        <v>6.3666666999999996E-2</v>
      </c>
      <c r="BG104" s="3">
        <v>0.1235</v>
      </c>
      <c r="BH104" s="3">
        <v>1.7000000000000001E-2</v>
      </c>
      <c r="BI104" s="3">
        <v>0.34399999999999997</v>
      </c>
      <c r="BJ104" s="3">
        <v>0.151</v>
      </c>
      <c r="BK104" s="3">
        <v>0.25950000000000001</v>
      </c>
      <c r="BL104" s="3">
        <v>0.29099999999999998</v>
      </c>
      <c r="BM104" s="3">
        <v>0.01</v>
      </c>
      <c r="BN104" s="3">
        <v>0.16900000000000001</v>
      </c>
      <c r="BO104" s="3">
        <v>0.35699999999999998</v>
      </c>
      <c r="BP104" s="48" t="s">
        <v>313</v>
      </c>
      <c r="BQ104" s="49" t="s">
        <v>329</v>
      </c>
      <c r="BR104" s="3">
        <v>11.612</v>
      </c>
      <c r="BS104" s="3">
        <v>10.907</v>
      </c>
      <c r="BT104" s="3">
        <v>10.3</v>
      </c>
      <c r="BU104" s="3">
        <v>9.3140000000000001</v>
      </c>
      <c r="BV104" s="3">
        <v>9.7810000000000006</v>
      </c>
      <c r="BW104" s="3">
        <v>15.975</v>
      </c>
      <c r="BX104" s="3">
        <v>10.473000000000001</v>
      </c>
      <c r="BY104" s="3">
        <v>13.875999999999999</v>
      </c>
      <c r="BZ104" s="3">
        <v>12.68</v>
      </c>
      <c r="CA104" s="3">
        <v>10.712999999999999</v>
      </c>
      <c r="CB104" s="3">
        <v>8.8450000000000006</v>
      </c>
      <c r="CC104" s="3">
        <v>11.377000000000001</v>
      </c>
      <c r="CD104" s="3">
        <v>10.731999999999999</v>
      </c>
    </row>
    <row r="105" spans="1:82" x14ac:dyDescent="0.3">
      <c r="A105" s="48" t="s">
        <v>313</v>
      </c>
      <c r="B105" s="49" t="s">
        <v>330</v>
      </c>
      <c r="C105" s="3">
        <v>36.944497499999997</v>
      </c>
      <c r="D105" s="3">
        <v>48.451799999999999</v>
      </c>
      <c r="E105" s="3">
        <v>48.451799999999999</v>
      </c>
      <c r="F105" s="3">
        <v>26.982035</v>
      </c>
      <c r="G105" s="3">
        <v>34.153252500000001</v>
      </c>
      <c r="H105" s="3">
        <v>48.451799999999999</v>
      </c>
      <c r="I105" s="48" t="s">
        <v>313</v>
      </c>
      <c r="J105" s="49" t="s">
        <v>330</v>
      </c>
      <c r="K105" s="3">
        <v>34376.5</v>
      </c>
      <c r="L105" s="48" t="s">
        <v>313</v>
      </c>
      <c r="M105" s="49" t="s">
        <v>330</v>
      </c>
      <c r="N105" s="3">
        <v>865.76146340000003</v>
      </c>
      <c r="O105" s="3">
        <v>1247.9287059999999</v>
      </c>
      <c r="P105" s="3">
        <v>1740.3925899999999</v>
      </c>
      <c r="Q105" s="3">
        <v>1683.578213</v>
      </c>
      <c r="R105" s="3">
        <v>954.50080920000005</v>
      </c>
      <c r="S105" s="3">
        <v>1029.145597</v>
      </c>
      <c r="T105" s="3">
        <v>840.94549010000003</v>
      </c>
      <c r="U105" s="3">
        <v>1106.144982</v>
      </c>
      <c r="V105" s="3">
        <v>886.00037420000001</v>
      </c>
      <c r="W105" s="3">
        <v>1538.181701</v>
      </c>
      <c r="X105" s="3">
        <v>703.82433430000003</v>
      </c>
      <c r="Y105" s="3">
        <v>198.24266489999999</v>
      </c>
      <c r="Z105" s="3">
        <v>288.21591460000002</v>
      </c>
      <c r="AA105" s="48" t="s">
        <v>313</v>
      </c>
      <c r="AB105" s="49" t="s">
        <v>330</v>
      </c>
      <c r="AC105" s="3">
        <v>3.3000000000000002E-2</v>
      </c>
      <c r="AD105" s="3">
        <v>0.154</v>
      </c>
      <c r="AE105" s="3">
        <v>1.4999999999999999E-2</v>
      </c>
      <c r="AF105" s="3">
        <v>0.122</v>
      </c>
      <c r="AG105" s="3">
        <v>2.1000000000000001E-2</v>
      </c>
      <c r="AH105" s="3">
        <v>0.10299999999999999</v>
      </c>
      <c r="AI105" s="3">
        <v>1.2E-2</v>
      </c>
      <c r="AJ105" s="3">
        <v>0.20899999999999999</v>
      </c>
      <c r="AK105" s="3">
        <v>2.1000000000000001E-2</v>
      </c>
      <c r="AL105" s="3">
        <v>0.254</v>
      </c>
      <c r="AM105" s="3">
        <v>1.4E-2</v>
      </c>
      <c r="AN105" s="3">
        <v>0.318</v>
      </c>
      <c r="AO105" s="3">
        <v>1E-3</v>
      </c>
      <c r="AP105" s="3">
        <v>0.318</v>
      </c>
      <c r="AQ105" s="3">
        <v>3.5000000000000003E-2</v>
      </c>
      <c r="AR105" s="3">
        <v>0.121</v>
      </c>
      <c r="AS105" s="3">
        <v>1.9E-2</v>
      </c>
      <c r="AT105" s="3">
        <v>0.189</v>
      </c>
      <c r="AU105" s="3">
        <v>1.9E-2</v>
      </c>
      <c r="AV105" s="3">
        <v>8.2000000000000003E-2</v>
      </c>
      <c r="AW105" s="3">
        <v>1.0999999999999999E-2</v>
      </c>
      <c r="AX105" s="3">
        <v>9.8000000000000004E-2</v>
      </c>
      <c r="AY105" s="3">
        <v>1.6E-2</v>
      </c>
      <c r="AZ105" s="3">
        <v>4.4999999999999998E-2</v>
      </c>
      <c r="BA105" s="3">
        <v>8.9999999999999993E-3</v>
      </c>
      <c r="BB105" s="3">
        <v>4.7E-2</v>
      </c>
      <c r="BC105" s="3">
        <v>0.115</v>
      </c>
      <c r="BD105" s="3">
        <v>0.124</v>
      </c>
      <c r="BE105" s="3">
        <v>6.3E-2</v>
      </c>
      <c r="BF105" s="3">
        <v>5.7666666999999998E-2</v>
      </c>
      <c r="BG105" s="3">
        <v>0.140333334</v>
      </c>
      <c r="BH105" s="3">
        <v>4.4999999999999998E-2</v>
      </c>
      <c r="BI105" s="3">
        <v>0.31950000000000001</v>
      </c>
      <c r="BJ105" s="3">
        <v>0.16566666699999999</v>
      </c>
      <c r="BK105" s="3">
        <v>0.26400000000000001</v>
      </c>
      <c r="BL105" s="3">
        <v>0.32700000000000001</v>
      </c>
      <c r="BM105" s="3">
        <v>0.01</v>
      </c>
      <c r="BN105" s="3">
        <v>0.20100000000000001</v>
      </c>
      <c r="BO105" s="3">
        <v>0.39200000000000002</v>
      </c>
      <c r="BP105" s="48" t="s">
        <v>313</v>
      </c>
      <c r="BQ105" s="49" t="s">
        <v>330</v>
      </c>
      <c r="BR105" s="3">
        <v>12.176</v>
      </c>
      <c r="BS105" s="3">
        <v>11.39</v>
      </c>
      <c r="BT105" s="3">
        <v>10.542</v>
      </c>
      <c r="BU105" s="3">
        <v>9.5169999999999995</v>
      </c>
      <c r="BV105" s="3">
        <v>10.407999999999999</v>
      </c>
      <c r="BW105" s="3">
        <v>16.010999999999999</v>
      </c>
      <c r="BX105" s="3">
        <v>10.53</v>
      </c>
      <c r="BY105" s="3">
        <v>14.081</v>
      </c>
      <c r="BZ105" s="3">
        <v>12.984</v>
      </c>
      <c r="CA105" s="3">
        <v>10.625</v>
      </c>
      <c r="CB105" s="3">
        <v>9.0879999999999992</v>
      </c>
      <c r="CC105" s="3">
        <v>11.28</v>
      </c>
      <c r="CD105" s="3">
        <v>10.446999999999999</v>
      </c>
    </row>
    <row r="106" spans="1:82" x14ac:dyDescent="0.3">
      <c r="A106" s="48" t="s">
        <v>313</v>
      </c>
      <c r="B106" s="49" t="s">
        <v>331</v>
      </c>
      <c r="C106" s="3">
        <v>48.118254999999998</v>
      </c>
      <c r="D106" s="3">
        <v>48.285027499999998</v>
      </c>
      <c r="E106" s="3">
        <v>50.962164999999999</v>
      </c>
      <c r="F106" s="3">
        <v>26.973257499999999</v>
      </c>
      <c r="G106" s="3">
        <v>33.328167499999999</v>
      </c>
      <c r="H106" s="3">
        <v>50.602287500000003</v>
      </c>
      <c r="I106" s="48" t="s">
        <v>313</v>
      </c>
      <c r="J106" s="49" t="s">
        <v>331</v>
      </c>
      <c r="K106" s="3">
        <v>36072</v>
      </c>
      <c r="L106" s="48" t="s">
        <v>313</v>
      </c>
      <c r="M106" s="49" t="s">
        <v>331</v>
      </c>
      <c r="N106" s="3">
        <v>2560.381809</v>
      </c>
      <c r="O106" s="3">
        <v>3015.3957359999999</v>
      </c>
      <c r="P106" s="3">
        <v>2137.3923850000001</v>
      </c>
      <c r="Q106" s="3">
        <v>2110.3670280000001</v>
      </c>
      <c r="R106" s="3">
        <v>2818.0481199999999</v>
      </c>
      <c r="S106" s="3">
        <v>3046.7233630000001</v>
      </c>
      <c r="T106" s="3">
        <v>2699.6447750000002</v>
      </c>
      <c r="U106" s="3">
        <v>3084.4185339999999</v>
      </c>
      <c r="V106" s="3">
        <v>2400.3364350000002</v>
      </c>
      <c r="W106" s="3">
        <v>1987.535433</v>
      </c>
      <c r="X106" s="3">
        <v>2183.549407</v>
      </c>
      <c r="Y106" s="3">
        <v>343.73418830000003</v>
      </c>
      <c r="Z106" s="3">
        <v>1302.3222430000001</v>
      </c>
      <c r="AA106" s="48" t="s">
        <v>313</v>
      </c>
      <c r="AB106" s="49" t="s">
        <v>331</v>
      </c>
      <c r="AC106" s="3">
        <v>0.19400000000000001</v>
      </c>
      <c r="AD106" s="3">
        <v>0.12</v>
      </c>
      <c r="AE106" s="3">
        <v>0.09</v>
      </c>
      <c r="AF106" s="3">
        <v>9.4E-2</v>
      </c>
      <c r="AG106" s="3">
        <v>0.16700000000000001</v>
      </c>
      <c r="AH106" s="3">
        <v>9.2999999999999999E-2</v>
      </c>
      <c r="AI106" s="3">
        <v>0.14000000000000001</v>
      </c>
      <c r="AJ106" s="3">
        <v>0.14799999999999999</v>
      </c>
      <c r="AK106" s="3">
        <v>0.13800000000000001</v>
      </c>
      <c r="AL106" s="3">
        <v>0.26</v>
      </c>
      <c r="AM106" s="3">
        <v>0.14799999999999999</v>
      </c>
      <c r="AN106" s="3">
        <v>0.27100000000000002</v>
      </c>
      <c r="AO106" s="3">
        <v>4.2000000000000003E-2</v>
      </c>
      <c r="AP106" s="3">
        <v>0.27100000000000002</v>
      </c>
      <c r="AQ106" s="3">
        <v>0.20100000000000001</v>
      </c>
      <c r="AR106" s="3">
        <v>0.114</v>
      </c>
      <c r="AS106" s="3">
        <v>0.13400000000000001</v>
      </c>
      <c r="AT106" s="3">
        <v>0.14599999999999999</v>
      </c>
      <c r="AU106" s="3">
        <v>0.13300000000000001</v>
      </c>
      <c r="AV106" s="3">
        <v>7.0000000000000007E-2</v>
      </c>
      <c r="AW106" s="3">
        <v>0.124</v>
      </c>
      <c r="AX106" s="3">
        <v>7.2999999999999995E-2</v>
      </c>
      <c r="AY106" s="3">
        <v>0.12</v>
      </c>
      <c r="AZ106" s="3">
        <v>5.8000000000000003E-2</v>
      </c>
      <c r="BA106" s="3">
        <v>0.121</v>
      </c>
      <c r="BB106" s="3">
        <v>6.9000000000000006E-2</v>
      </c>
      <c r="BC106" s="3">
        <v>0.111</v>
      </c>
      <c r="BD106" s="3">
        <v>7.7499999999999999E-2</v>
      </c>
      <c r="BE106" s="3">
        <v>3.5499999999999997E-2</v>
      </c>
      <c r="BF106" s="3">
        <v>6.1333332999999997E-2</v>
      </c>
      <c r="BG106" s="3">
        <v>0.13266666699999999</v>
      </c>
      <c r="BH106" s="3">
        <v>7.6999999999999999E-2</v>
      </c>
      <c r="BI106" s="3">
        <v>0.28349999999999997</v>
      </c>
      <c r="BJ106" s="3">
        <v>0.15433333299999999</v>
      </c>
      <c r="BK106" s="3">
        <v>0.22</v>
      </c>
      <c r="BL106" s="3">
        <v>0.325333333</v>
      </c>
      <c r="BM106" s="3">
        <v>0.01</v>
      </c>
      <c r="BN106" s="3">
        <v>0.193333333</v>
      </c>
      <c r="BO106" s="3">
        <v>0.35799999999999998</v>
      </c>
      <c r="BP106" s="48" t="s">
        <v>313</v>
      </c>
      <c r="BQ106" s="49" t="s">
        <v>331</v>
      </c>
      <c r="BR106" s="3">
        <v>14.473000000000001</v>
      </c>
      <c r="BS106" s="3">
        <v>13.688000000000001</v>
      </c>
      <c r="BT106" s="3">
        <v>12.912000000000001</v>
      </c>
      <c r="BU106" s="3">
        <v>11.742000000000001</v>
      </c>
      <c r="BV106" s="3">
        <v>13.468</v>
      </c>
      <c r="BW106" s="3">
        <v>16.015000000000001</v>
      </c>
      <c r="BX106" s="3">
        <v>11.548999999999999</v>
      </c>
      <c r="BY106" s="3">
        <v>15.436</v>
      </c>
      <c r="BZ106" s="3">
        <v>14.74</v>
      </c>
      <c r="CA106" s="3">
        <v>12.507</v>
      </c>
      <c r="CB106" s="3">
        <v>11.669</v>
      </c>
      <c r="CC106" s="3">
        <v>12.555999999999999</v>
      </c>
      <c r="CD106" s="3">
        <v>11.46</v>
      </c>
    </row>
    <row r="107" spans="1:82" x14ac:dyDescent="0.3">
      <c r="A107" s="48" t="s">
        <v>313</v>
      </c>
      <c r="B107" s="49" t="s">
        <v>332</v>
      </c>
      <c r="C107" s="3">
        <v>48.328915000000002</v>
      </c>
      <c r="D107" s="3">
        <v>47.960259999999998</v>
      </c>
      <c r="E107" s="3">
        <v>51.945245</v>
      </c>
      <c r="F107" s="3">
        <v>26.946925</v>
      </c>
      <c r="G107" s="3">
        <v>31.669219999999999</v>
      </c>
      <c r="H107" s="3">
        <v>52.252457499999998</v>
      </c>
      <c r="I107" s="48" t="s">
        <v>313</v>
      </c>
      <c r="J107" s="49" t="s">
        <v>332</v>
      </c>
      <c r="K107" s="3">
        <v>35956.5</v>
      </c>
      <c r="L107" s="48" t="s">
        <v>313</v>
      </c>
      <c r="M107" s="49" t="s">
        <v>332</v>
      </c>
      <c r="N107" s="3">
        <v>2873.4544679999999</v>
      </c>
      <c r="O107" s="3">
        <v>3618.4406159999999</v>
      </c>
      <c r="P107" s="3">
        <v>1697.6628929999999</v>
      </c>
      <c r="Q107" s="3">
        <v>1704.544073</v>
      </c>
      <c r="R107" s="3">
        <v>3438.3662439999998</v>
      </c>
      <c r="S107" s="3">
        <v>4014.1606569999999</v>
      </c>
      <c r="T107" s="3">
        <v>3501.1757510000002</v>
      </c>
      <c r="U107" s="3">
        <v>3407.683853</v>
      </c>
      <c r="V107" s="3">
        <v>2673.1748859999998</v>
      </c>
      <c r="W107" s="3">
        <v>1530.7958839999999</v>
      </c>
      <c r="X107" s="3">
        <v>2887.4832839999999</v>
      </c>
      <c r="Y107" s="3">
        <v>281.60742629999999</v>
      </c>
      <c r="Z107" s="3">
        <v>1126.8540949999999</v>
      </c>
      <c r="AA107" s="48" t="s">
        <v>313</v>
      </c>
      <c r="AB107" s="49" t="s">
        <v>332</v>
      </c>
      <c r="AC107" s="3">
        <v>0.40699999999999997</v>
      </c>
      <c r="AD107" s="3">
        <v>8.6999999999999994E-2</v>
      </c>
      <c r="AE107" s="3">
        <v>0.26600000000000001</v>
      </c>
      <c r="AF107" s="3">
        <v>6.0999999999999999E-2</v>
      </c>
      <c r="AG107" s="3">
        <v>0.35199999999999998</v>
      </c>
      <c r="AH107" s="3">
        <v>6.5000000000000002E-2</v>
      </c>
      <c r="AI107" s="3">
        <v>0.32700000000000001</v>
      </c>
      <c r="AJ107" s="3">
        <v>9.9000000000000005E-2</v>
      </c>
      <c r="AK107" s="3">
        <v>0.38500000000000001</v>
      </c>
      <c r="AL107" s="3">
        <v>0.26300000000000001</v>
      </c>
      <c r="AM107" s="3">
        <v>0.32800000000000001</v>
      </c>
      <c r="AN107" s="3">
        <v>0.20399999999999999</v>
      </c>
      <c r="AO107" s="3">
        <v>0.109</v>
      </c>
      <c r="AP107" s="3">
        <v>0.20399999999999999</v>
      </c>
      <c r="AQ107" s="3">
        <v>0.39900000000000002</v>
      </c>
      <c r="AR107" s="3">
        <v>0.10100000000000001</v>
      </c>
      <c r="AS107" s="3">
        <v>0.38900000000000001</v>
      </c>
      <c r="AT107" s="3">
        <v>0.105</v>
      </c>
      <c r="AU107" s="3">
        <v>0.38900000000000001</v>
      </c>
      <c r="AV107" s="3">
        <v>4.5999999999999999E-2</v>
      </c>
      <c r="AW107" s="3">
        <v>0.375</v>
      </c>
      <c r="AX107" s="3">
        <v>5.6000000000000001E-2</v>
      </c>
      <c r="AY107" s="3">
        <v>0.29699999999999999</v>
      </c>
      <c r="AZ107" s="3">
        <v>5.5E-2</v>
      </c>
      <c r="BA107" s="3">
        <v>0.34200000000000003</v>
      </c>
      <c r="BB107" s="3">
        <v>5.8999999999999997E-2</v>
      </c>
      <c r="BC107" s="3">
        <v>7.9500000000000001E-2</v>
      </c>
      <c r="BD107" s="3">
        <v>3.4000000000000002E-2</v>
      </c>
      <c r="BE107" s="3">
        <v>1.2500000000000001E-2</v>
      </c>
      <c r="BF107" s="3">
        <v>5.1999999999999998E-2</v>
      </c>
      <c r="BG107" s="3">
        <v>0.110416667</v>
      </c>
      <c r="BH107" s="3">
        <v>7.2999999999999995E-2</v>
      </c>
      <c r="BI107" s="3">
        <v>0.23749999999999999</v>
      </c>
      <c r="BJ107" s="3">
        <v>0.14133333300000001</v>
      </c>
      <c r="BK107" s="3">
        <v>0.1875</v>
      </c>
      <c r="BL107" s="3">
        <v>0.28766666699999999</v>
      </c>
      <c r="BM107" s="3">
        <v>0.01</v>
      </c>
      <c r="BN107" s="3">
        <v>0.15166666700000001</v>
      </c>
      <c r="BO107" s="3">
        <v>0.26100000000000001</v>
      </c>
      <c r="BP107" s="48" t="s">
        <v>313</v>
      </c>
      <c r="BQ107" s="49" t="s">
        <v>332</v>
      </c>
      <c r="BR107" s="3">
        <v>15.907</v>
      </c>
      <c r="BS107" s="3">
        <v>15.039</v>
      </c>
      <c r="BT107" s="3">
        <v>14.340999999999999</v>
      </c>
      <c r="BU107" s="3">
        <v>13.234999999999999</v>
      </c>
      <c r="BV107" s="3">
        <v>15.451000000000001</v>
      </c>
      <c r="BW107" s="3">
        <v>16.015000000000001</v>
      </c>
      <c r="BX107" s="3">
        <v>12.458</v>
      </c>
      <c r="BY107" s="3">
        <v>16.202000000000002</v>
      </c>
      <c r="BZ107" s="3">
        <v>16.055</v>
      </c>
      <c r="CA107" s="3">
        <v>14.287000000000001</v>
      </c>
      <c r="CB107" s="3">
        <v>13.535</v>
      </c>
      <c r="CC107" s="3">
        <v>13.749000000000001</v>
      </c>
      <c r="CD107" s="3">
        <v>12.595000000000001</v>
      </c>
    </row>
    <row r="108" spans="1:82" x14ac:dyDescent="0.3">
      <c r="A108" s="48" t="s">
        <v>313</v>
      </c>
      <c r="B108" s="49" t="s">
        <v>333</v>
      </c>
      <c r="C108" s="3">
        <v>41.236694999999997</v>
      </c>
      <c r="D108" s="3">
        <v>47.047400000000003</v>
      </c>
      <c r="E108" s="3">
        <v>47.214172499999997</v>
      </c>
      <c r="F108" s="3">
        <v>26.911815000000001</v>
      </c>
      <c r="G108" s="3">
        <v>31.3971175</v>
      </c>
      <c r="H108" s="3">
        <v>50.435515000000002</v>
      </c>
      <c r="I108" s="48" t="s">
        <v>313</v>
      </c>
      <c r="J108" s="49" t="s">
        <v>333</v>
      </c>
      <c r="K108" s="3">
        <v>34814</v>
      </c>
      <c r="L108" s="48" t="s">
        <v>313</v>
      </c>
      <c r="M108" s="49" t="s">
        <v>333</v>
      </c>
      <c r="N108" s="3">
        <v>2038.060107</v>
      </c>
      <c r="O108" s="3">
        <v>2902.0959910000001</v>
      </c>
      <c r="P108" s="3">
        <v>1376.4176829999999</v>
      </c>
      <c r="Q108" s="3">
        <v>1384.5911060000001</v>
      </c>
      <c r="R108" s="3">
        <v>2605.6765329999998</v>
      </c>
      <c r="S108" s="3">
        <v>3229.4201680000001</v>
      </c>
      <c r="T108" s="3">
        <v>2854.9545910000002</v>
      </c>
      <c r="U108" s="3">
        <v>2314.0943630000002</v>
      </c>
      <c r="V108" s="3">
        <v>1916.6545309999999</v>
      </c>
      <c r="W108" s="3">
        <v>1115.4248889999999</v>
      </c>
      <c r="X108" s="3">
        <v>2290.820972</v>
      </c>
      <c r="Y108" s="3">
        <v>225.38253510000001</v>
      </c>
      <c r="Z108" s="3">
        <v>906.62382379999997</v>
      </c>
      <c r="AA108" s="48" t="s">
        <v>313</v>
      </c>
      <c r="AB108" s="49" t="s">
        <v>333</v>
      </c>
      <c r="AC108" s="3">
        <v>0.55400000000000005</v>
      </c>
      <c r="AD108" s="3">
        <v>6.9000000000000006E-2</v>
      </c>
      <c r="AE108" s="3">
        <v>0.54</v>
      </c>
      <c r="AF108" s="3">
        <v>4.9000000000000002E-2</v>
      </c>
      <c r="AG108" s="3">
        <v>0.505</v>
      </c>
      <c r="AH108" s="3">
        <v>6.4000000000000001E-2</v>
      </c>
      <c r="AI108" s="3">
        <v>0.49199999999999999</v>
      </c>
      <c r="AJ108" s="3">
        <v>7.0999999999999994E-2</v>
      </c>
      <c r="AK108" s="3">
        <v>0.55000000000000004</v>
      </c>
      <c r="AL108" s="3">
        <v>0.25700000000000001</v>
      </c>
      <c r="AM108" s="3">
        <v>0.51300000000000001</v>
      </c>
      <c r="AN108" s="3">
        <v>0.23</v>
      </c>
      <c r="AO108" s="3">
        <v>0.248</v>
      </c>
      <c r="AP108" s="3">
        <v>0.23</v>
      </c>
      <c r="AQ108" s="3">
        <v>0.53500000000000003</v>
      </c>
      <c r="AR108" s="3">
        <v>8.6999999999999994E-2</v>
      </c>
      <c r="AS108" s="3">
        <v>0.54400000000000004</v>
      </c>
      <c r="AT108" s="3">
        <v>8.1000000000000003E-2</v>
      </c>
      <c r="AU108" s="3">
        <v>0.54400000000000004</v>
      </c>
      <c r="AV108" s="3">
        <v>3.7999999999999999E-2</v>
      </c>
      <c r="AW108" s="3">
        <v>0.53600000000000003</v>
      </c>
      <c r="AX108" s="3">
        <v>6.0999999999999999E-2</v>
      </c>
      <c r="AY108" s="3">
        <v>0.53</v>
      </c>
      <c r="AZ108" s="3">
        <v>6.6000000000000003E-2</v>
      </c>
      <c r="BA108" s="3">
        <v>0.52800000000000002</v>
      </c>
      <c r="BB108" s="3">
        <v>7.0999999999999994E-2</v>
      </c>
      <c r="BC108" s="3">
        <v>7.2999999999999995E-2</v>
      </c>
      <c r="BD108" s="3">
        <v>2.1499999999999998E-2</v>
      </c>
      <c r="BE108" s="3">
        <v>7.4999999999999997E-3</v>
      </c>
      <c r="BF108" s="3">
        <v>4.9000000000000002E-2</v>
      </c>
      <c r="BG108" s="3">
        <v>0.1145</v>
      </c>
      <c r="BH108" s="3">
        <v>7.3999999999999996E-2</v>
      </c>
      <c r="BI108" s="3">
        <v>0.2185</v>
      </c>
      <c r="BJ108" s="3">
        <v>0.156</v>
      </c>
      <c r="BK108" s="3">
        <v>0.20549999999999999</v>
      </c>
      <c r="BL108" s="3">
        <v>0.25766666700000002</v>
      </c>
      <c r="BM108" s="3">
        <v>0.01</v>
      </c>
      <c r="BN108" s="3">
        <v>0.13200000000000001</v>
      </c>
      <c r="BO108" s="3">
        <v>0.20399999999999999</v>
      </c>
      <c r="BP108" s="48" t="s">
        <v>313</v>
      </c>
      <c r="BQ108" s="49" t="s">
        <v>333</v>
      </c>
      <c r="BR108" s="3">
        <v>17.085000000000001</v>
      </c>
      <c r="BS108" s="3">
        <v>16.026</v>
      </c>
      <c r="BT108" s="3">
        <v>15.358000000000001</v>
      </c>
      <c r="BU108" s="3">
        <v>14.208</v>
      </c>
      <c r="BV108" s="3">
        <v>17.23</v>
      </c>
      <c r="BW108" s="3">
        <v>16.04</v>
      </c>
      <c r="BX108" s="3">
        <v>13.79</v>
      </c>
      <c r="BY108" s="3">
        <v>16.914000000000001</v>
      </c>
      <c r="BZ108" s="3">
        <v>17.43</v>
      </c>
      <c r="CA108" s="3">
        <v>16.352</v>
      </c>
      <c r="CB108" s="3">
        <v>15.141</v>
      </c>
      <c r="CC108" s="3">
        <v>14.987</v>
      </c>
      <c r="CD108" s="3">
        <v>13.706</v>
      </c>
    </row>
    <row r="109" spans="1:82" x14ac:dyDescent="0.3">
      <c r="A109" s="48" t="s">
        <v>313</v>
      </c>
      <c r="B109" s="49" t="s">
        <v>334</v>
      </c>
      <c r="C109" s="3">
        <v>36.531955000000004</v>
      </c>
      <c r="D109" s="3">
        <v>43.545177500000001</v>
      </c>
      <c r="E109" s="3">
        <v>43.237965000000003</v>
      </c>
      <c r="F109" s="3">
        <v>26.885482499999998</v>
      </c>
      <c r="G109" s="3">
        <v>31.6779975</v>
      </c>
      <c r="H109" s="3">
        <v>47.854930000000003</v>
      </c>
      <c r="I109" s="48" t="s">
        <v>313</v>
      </c>
      <c r="J109" s="49" t="s">
        <v>334</v>
      </c>
      <c r="K109" s="3">
        <v>34112</v>
      </c>
      <c r="L109" s="48" t="s">
        <v>313</v>
      </c>
      <c r="M109" s="49" t="s">
        <v>334</v>
      </c>
      <c r="N109" s="3">
        <v>1341.3569950000001</v>
      </c>
      <c r="O109" s="3">
        <v>2113.7813379999998</v>
      </c>
      <c r="P109" s="3">
        <v>1210.511753</v>
      </c>
      <c r="Q109" s="3">
        <v>1132.5247770000001</v>
      </c>
      <c r="R109" s="3">
        <v>1838.7262009999999</v>
      </c>
      <c r="S109" s="3">
        <v>2339.0632179999998</v>
      </c>
      <c r="T109" s="3">
        <v>2031.80936</v>
      </c>
      <c r="U109" s="3">
        <v>1748.8283960000001</v>
      </c>
      <c r="V109" s="3">
        <v>1322.0264460000001</v>
      </c>
      <c r="W109" s="3">
        <v>819.80204560000004</v>
      </c>
      <c r="X109" s="3">
        <v>1699.6952450000001</v>
      </c>
      <c r="Y109" s="3">
        <v>184.62703189999999</v>
      </c>
      <c r="Z109" s="3">
        <v>837.19548650000002</v>
      </c>
      <c r="AA109" s="48" t="s">
        <v>313</v>
      </c>
      <c r="AB109" s="49" t="s">
        <v>334</v>
      </c>
      <c r="AC109" s="3">
        <v>0.64400000000000002</v>
      </c>
      <c r="AD109" s="3">
        <v>5.5E-2</v>
      </c>
      <c r="AE109" s="3">
        <v>0.63800000000000001</v>
      </c>
      <c r="AF109" s="3">
        <v>4.9000000000000002E-2</v>
      </c>
      <c r="AG109" s="3">
        <v>0.59699999999999998</v>
      </c>
      <c r="AH109" s="3">
        <v>7.4999999999999997E-2</v>
      </c>
      <c r="AI109" s="3">
        <v>0.59299999999999997</v>
      </c>
      <c r="AJ109" s="3">
        <v>4.2999999999999997E-2</v>
      </c>
      <c r="AK109" s="3">
        <v>0.64900000000000002</v>
      </c>
      <c r="AL109" s="3">
        <v>0.245</v>
      </c>
      <c r="AM109" s="3">
        <v>0.61799999999999999</v>
      </c>
      <c r="AN109" s="3">
        <v>0.29399999999999998</v>
      </c>
      <c r="AO109" s="3">
        <v>0.31</v>
      </c>
      <c r="AP109" s="3">
        <v>0.29399999999999998</v>
      </c>
      <c r="AQ109" s="3">
        <v>0.64</v>
      </c>
      <c r="AR109" s="3">
        <v>6.9000000000000006E-2</v>
      </c>
      <c r="AS109" s="3">
        <v>0.64500000000000002</v>
      </c>
      <c r="AT109" s="3">
        <v>5.5E-2</v>
      </c>
      <c r="AU109" s="3">
        <v>0.64500000000000002</v>
      </c>
      <c r="AV109" s="3">
        <v>2.7E-2</v>
      </c>
      <c r="AW109" s="3">
        <v>0.64100000000000001</v>
      </c>
      <c r="AX109" s="3">
        <v>5.5E-2</v>
      </c>
      <c r="AY109" s="3">
        <v>0.63800000000000001</v>
      </c>
      <c r="AZ109" s="3">
        <v>7.5999999999999998E-2</v>
      </c>
      <c r="BA109" s="3">
        <v>0.63700000000000001</v>
      </c>
      <c r="BB109" s="3">
        <v>0.111</v>
      </c>
      <c r="BC109" s="3">
        <v>7.1499999999999994E-2</v>
      </c>
      <c r="BD109" s="3">
        <v>2.1499999999999998E-2</v>
      </c>
      <c r="BE109" s="3">
        <v>7.0000000000000001E-3</v>
      </c>
      <c r="BF109" s="3">
        <v>5.7666666999999998E-2</v>
      </c>
      <c r="BG109" s="3">
        <v>0.12275</v>
      </c>
      <c r="BH109" s="3">
        <v>7.8E-2</v>
      </c>
      <c r="BI109" s="3">
        <v>0.216</v>
      </c>
      <c r="BJ109" s="3">
        <v>0.17399999999999999</v>
      </c>
      <c r="BK109" s="3">
        <v>0.22</v>
      </c>
      <c r="BL109" s="3">
        <v>0.246</v>
      </c>
      <c r="BM109" s="3">
        <v>0.01</v>
      </c>
      <c r="BN109" s="3">
        <v>0.11600000000000001</v>
      </c>
      <c r="BO109" s="3">
        <v>0.158</v>
      </c>
      <c r="BP109" s="48" t="s">
        <v>313</v>
      </c>
      <c r="BQ109" s="49" t="s">
        <v>334</v>
      </c>
      <c r="BR109" s="3">
        <v>17.991</v>
      </c>
      <c r="BS109" s="3">
        <v>16.815999999999999</v>
      </c>
      <c r="BT109" s="3">
        <v>16.178000000000001</v>
      </c>
      <c r="BU109" s="3">
        <v>15.054</v>
      </c>
      <c r="BV109" s="3">
        <v>18.582000000000001</v>
      </c>
      <c r="BW109" s="3">
        <v>16.058</v>
      </c>
      <c r="BX109" s="3">
        <v>14.936</v>
      </c>
      <c r="BY109" s="3">
        <v>17.5</v>
      </c>
      <c r="BZ109" s="3">
        <v>18.481999999999999</v>
      </c>
      <c r="CA109" s="3">
        <v>17.824000000000002</v>
      </c>
      <c r="CB109" s="3">
        <v>16.303000000000001</v>
      </c>
      <c r="CC109" s="3">
        <v>15.923</v>
      </c>
      <c r="CD109" s="3">
        <v>14.858000000000001</v>
      </c>
    </row>
    <row r="110" spans="1:82" x14ac:dyDescent="0.3">
      <c r="A110" s="48" t="s">
        <v>313</v>
      </c>
      <c r="B110" s="49" t="s">
        <v>335</v>
      </c>
      <c r="C110" s="3">
        <v>34.8730075</v>
      </c>
      <c r="D110" s="3">
        <v>43.492512499999997</v>
      </c>
      <c r="E110" s="3">
        <v>43.185299999999998</v>
      </c>
      <c r="F110" s="3">
        <v>26.876705000000001</v>
      </c>
      <c r="G110" s="3">
        <v>30.835357500000001</v>
      </c>
      <c r="H110" s="3">
        <v>47.6530475</v>
      </c>
      <c r="I110" s="48" t="s">
        <v>313</v>
      </c>
      <c r="J110" s="49" t="s">
        <v>335</v>
      </c>
      <c r="K110" s="3">
        <v>33836</v>
      </c>
      <c r="L110" s="48" t="s">
        <v>313</v>
      </c>
      <c r="M110" s="49" t="s">
        <v>335</v>
      </c>
      <c r="N110" s="3">
        <v>1071.994404</v>
      </c>
      <c r="O110" s="3">
        <v>1757.784185</v>
      </c>
      <c r="P110" s="3">
        <v>1137.75884</v>
      </c>
      <c r="Q110" s="3">
        <v>946.02632730000005</v>
      </c>
      <c r="R110" s="3">
        <v>1565.1170500000001</v>
      </c>
      <c r="S110" s="3">
        <v>1941.1338029999999</v>
      </c>
      <c r="T110" s="3">
        <v>1632.7299599999999</v>
      </c>
      <c r="U110" s="3">
        <v>1331.8722889999999</v>
      </c>
      <c r="V110" s="3">
        <v>1026.772622</v>
      </c>
      <c r="W110" s="3">
        <v>735.06966090000003</v>
      </c>
      <c r="X110" s="3">
        <v>1379.5688</v>
      </c>
      <c r="Y110" s="3">
        <v>145.8158157</v>
      </c>
      <c r="Z110" s="3">
        <v>721.44813390000002</v>
      </c>
      <c r="AA110" s="48" t="s">
        <v>313</v>
      </c>
      <c r="AB110" s="49" t="s">
        <v>335</v>
      </c>
      <c r="AC110" s="3">
        <v>0.68600000000000005</v>
      </c>
      <c r="AD110" s="3">
        <v>0.05</v>
      </c>
      <c r="AE110" s="3">
        <v>0.68799999999999994</v>
      </c>
      <c r="AF110" s="3">
        <v>5.1999999999999998E-2</v>
      </c>
      <c r="AG110" s="3">
        <v>0.46800000000000003</v>
      </c>
      <c r="AH110" s="3">
        <v>8.8999999999999996E-2</v>
      </c>
      <c r="AI110" s="3">
        <v>0.59699999999999998</v>
      </c>
      <c r="AJ110" s="3">
        <v>2.9000000000000001E-2</v>
      </c>
      <c r="AK110" s="3">
        <v>0.69799999999999995</v>
      </c>
      <c r="AL110" s="3">
        <v>0.23</v>
      </c>
      <c r="AM110" s="3">
        <v>0.63200000000000001</v>
      </c>
      <c r="AN110" s="3">
        <v>0.32500000000000001</v>
      </c>
      <c r="AO110" s="3">
        <v>0.27800000000000002</v>
      </c>
      <c r="AP110" s="3">
        <v>0.32500000000000001</v>
      </c>
      <c r="AQ110" s="3">
        <v>0.68300000000000005</v>
      </c>
      <c r="AR110" s="3">
        <v>5.2999999999999999E-2</v>
      </c>
      <c r="AS110" s="3">
        <v>0.69499999999999995</v>
      </c>
      <c r="AT110" s="3">
        <v>3.6999999999999998E-2</v>
      </c>
      <c r="AU110" s="3">
        <v>0.69499999999999995</v>
      </c>
      <c r="AV110" s="3">
        <v>1.9E-2</v>
      </c>
      <c r="AW110" s="3">
        <v>0.69799999999999995</v>
      </c>
      <c r="AX110" s="3">
        <v>0.05</v>
      </c>
      <c r="AY110" s="3">
        <v>0.69199999999999995</v>
      </c>
      <c r="AZ110" s="3">
        <v>7.8E-2</v>
      </c>
      <c r="BA110" s="3">
        <v>0.69399999999999995</v>
      </c>
      <c r="BB110" s="3">
        <v>0.13400000000000001</v>
      </c>
      <c r="BC110" s="3">
        <v>7.1499999999999994E-2</v>
      </c>
      <c r="BD110" s="3">
        <v>2.8500000000000001E-2</v>
      </c>
      <c r="BE110" s="3">
        <v>5.4999999999999997E-3</v>
      </c>
      <c r="BF110" s="3">
        <v>6.7333332999999995E-2</v>
      </c>
      <c r="BG110" s="3">
        <v>0.13008333399999999</v>
      </c>
      <c r="BH110" s="3">
        <v>7.5999999999999998E-2</v>
      </c>
      <c r="BI110" s="3">
        <v>0.2205</v>
      </c>
      <c r="BJ110" s="3">
        <v>0.18866666700000001</v>
      </c>
      <c r="BK110" s="3">
        <v>0.22850000000000001</v>
      </c>
      <c r="BL110" s="3">
        <v>0.25800000000000001</v>
      </c>
      <c r="BM110" s="3">
        <v>0.01</v>
      </c>
      <c r="BN110" s="3">
        <v>0.101333333</v>
      </c>
      <c r="BO110" s="3">
        <v>0.124</v>
      </c>
      <c r="BP110" s="48" t="s">
        <v>313</v>
      </c>
      <c r="BQ110" s="49" t="s">
        <v>335</v>
      </c>
      <c r="BR110" s="3">
        <v>18.707999999999998</v>
      </c>
      <c r="BS110" s="3">
        <v>17.417999999999999</v>
      </c>
      <c r="BT110" s="3">
        <v>16.725999999999999</v>
      </c>
      <c r="BU110" s="3">
        <v>15.725</v>
      </c>
      <c r="BV110" s="3">
        <v>19.541</v>
      </c>
      <c r="BW110" s="3">
        <v>16.056999999999999</v>
      </c>
      <c r="BX110" s="3">
        <v>15.638</v>
      </c>
      <c r="BY110" s="3">
        <v>17.925999999999998</v>
      </c>
      <c r="BZ110" s="3">
        <v>19.146999999999998</v>
      </c>
      <c r="CA110" s="3">
        <v>18.766999999999999</v>
      </c>
      <c r="CB110" s="3">
        <v>17.259</v>
      </c>
      <c r="CC110" s="3">
        <v>16.489000000000001</v>
      </c>
      <c r="CD110" s="3">
        <v>15.654999999999999</v>
      </c>
    </row>
    <row r="111" spans="1:82" x14ac:dyDescent="0.3">
      <c r="A111" s="48" t="s">
        <v>313</v>
      </c>
      <c r="B111" s="49" t="s">
        <v>336</v>
      </c>
      <c r="C111" s="3">
        <v>33.205282500000003</v>
      </c>
      <c r="D111" s="3">
        <v>42.246107500000001</v>
      </c>
      <c r="E111" s="3">
        <v>41.947672500000003</v>
      </c>
      <c r="F111" s="3">
        <v>26.885482499999998</v>
      </c>
      <c r="G111" s="3">
        <v>30.572032499999999</v>
      </c>
      <c r="H111" s="3">
        <v>47.0912875</v>
      </c>
      <c r="I111" s="48" t="s">
        <v>313</v>
      </c>
      <c r="J111" s="49" t="s">
        <v>336</v>
      </c>
      <c r="K111" s="3">
        <v>33185</v>
      </c>
      <c r="L111" s="48" t="s">
        <v>313</v>
      </c>
      <c r="M111" s="49" t="s">
        <v>336</v>
      </c>
      <c r="N111" s="3">
        <v>981.02318379999997</v>
      </c>
      <c r="O111" s="3">
        <v>1654.983381</v>
      </c>
      <c r="P111" s="3">
        <v>1140.6155630000001</v>
      </c>
      <c r="Q111" s="3">
        <v>876.168542</v>
      </c>
      <c r="R111" s="3">
        <v>1443.5610770000001</v>
      </c>
      <c r="S111" s="3">
        <v>1756.012019</v>
      </c>
      <c r="T111" s="3">
        <v>1505.969625</v>
      </c>
      <c r="U111" s="3">
        <v>1280.750272</v>
      </c>
      <c r="V111" s="3">
        <v>947.8109207</v>
      </c>
      <c r="W111" s="3">
        <v>796.58780879999995</v>
      </c>
      <c r="X111" s="3">
        <v>1357.754416</v>
      </c>
      <c r="Y111" s="3">
        <v>124.0156927</v>
      </c>
      <c r="Z111" s="3">
        <v>699.29065390000005</v>
      </c>
      <c r="AA111" s="48" t="s">
        <v>313</v>
      </c>
      <c r="AB111" s="49" t="s">
        <v>336</v>
      </c>
      <c r="AC111" s="3">
        <v>0.68600000000000005</v>
      </c>
      <c r="AD111" s="3">
        <v>4.8000000000000001E-2</v>
      </c>
      <c r="AE111" s="3">
        <v>0.68700000000000006</v>
      </c>
      <c r="AF111" s="3">
        <v>5.8999999999999997E-2</v>
      </c>
      <c r="AG111" s="3">
        <v>0.57499999999999996</v>
      </c>
      <c r="AH111" s="3">
        <v>0.107</v>
      </c>
      <c r="AI111" s="3">
        <v>0.53900000000000003</v>
      </c>
      <c r="AJ111" s="3">
        <v>2.1000000000000001E-2</v>
      </c>
      <c r="AK111" s="3">
        <v>0.69799999999999995</v>
      </c>
      <c r="AL111" s="3">
        <v>0.214</v>
      </c>
      <c r="AM111" s="3">
        <v>0.65600000000000003</v>
      </c>
      <c r="AN111" s="3">
        <v>0.33500000000000002</v>
      </c>
      <c r="AO111" s="3">
        <v>0.26600000000000001</v>
      </c>
      <c r="AP111" s="3">
        <v>0.33500000000000002</v>
      </c>
      <c r="AQ111" s="3">
        <v>0.68799999999999994</v>
      </c>
      <c r="AR111" s="3">
        <v>4.2000000000000003E-2</v>
      </c>
      <c r="AS111" s="3">
        <v>0.7</v>
      </c>
      <c r="AT111" s="3">
        <v>2.5999999999999999E-2</v>
      </c>
      <c r="AU111" s="3">
        <v>0.7</v>
      </c>
      <c r="AV111" s="3">
        <v>1.6E-2</v>
      </c>
      <c r="AW111" s="3">
        <v>0.70699999999999996</v>
      </c>
      <c r="AX111" s="3">
        <v>4.7E-2</v>
      </c>
      <c r="AY111" s="3">
        <v>0.69699999999999995</v>
      </c>
      <c r="AZ111" s="3">
        <v>7.9000000000000001E-2</v>
      </c>
      <c r="BA111" s="3">
        <v>0.70499999999999996</v>
      </c>
      <c r="BB111" s="3">
        <v>0.13700000000000001</v>
      </c>
      <c r="BC111" s="3">
        <v>7.4499999999999997E-2</v>
      </c>
      <c r="BD111" s="3">
        <v>4.4499999999999998E-2</v>
      </c>
      <c r="BE111" s="3">
        <v>5.0000000000000001E-3</v>
      </c>
      <c r="BF111" s="3">
        <v>7.0999999999999994E-2</v>
      </c>
      <c r="BG111" s="3">
        <v>0.14074999999999999</v>
      </c>
      <c r="BH111" s="3">
        <v>6.9000000000000006E-2</v>
      </c>
      <c r="BI111" s="3">
        <v>0.20649999999999999</v>
      </c>
      <c r="BJ111" s="3">
        <v>0.20699999999999999</v>
      </c>
      <c r="BK111" s="3">
        <v>0.23499999999999999</v>
      </c>
      <c r="BL111" s="3">
        <v>0.28666666699999999</v>
      </c>
      <c r="BM111" s="3">
        <v>0.01</v>
      </c>
      <c r="BN111" s="3">
        <v>9.0666667000000006E-2</v>
      </c>
      <c r="BO111" s="3">
        <v>0.1</v>
      </c>
      <c r="BP111" s="48" t="s">
        <v>313</v>
      </c>
      <c r="BQ111" s="49" t="s">
        <v>336</v>
      </c>
      <c r="BR111" s="3">
        <v>19.102</v>
      </c>
      <c r="BS111" s="3">
        <v>17.795999999999999</v>
      </c>
      <c r="BT111" s="3">
        <v>17.064</v>
      </c>
      <c r="BU111" s="3">
        <v>16.143000000000001</v>
      </c>
      <c r="BV111" s="3">
        <v>20.097000000000001</v>
      </c>
      <c r="BW111" s="3">
        <v>16.026</v>
      </c>
      <c r="BX111" s="3">
        <v>15.973000000000001</v>
      </c>
      <c r="BY111" s="3">
        <v>18.170999999999999</v>
      </c>
      <c r="BZ111" s="3">
        <v>19.54</v>
      </c>
      <c r="CA111" s="3">
        <v>19.297000000000001</v>
      </c>
      <c r="CB111" s="3">
        <v>17.888999999999999</v>
      </c>
      <c r="CC111" s="3">
        <v>16.774000000000001</v>
      </c>
      <c r="CD111" s="3">
        <v>16.018000000000001</v>
      </c>
    </row>
    <row r="112" spans="1:82" x14ac:dyDescent="0.3">
      <c r="A112" s="48" t="s">
        <v>313</v>
      </c>
      <c r="B112" s="49" t="s">
        <v>337</v>
      </c>
      <c r="C112" s="3">
        <v>31.423449999999999</v>
      </c>
      <c r="D112" s="3">
        <v>42.228552499999999</v>
      </c>
      <c r="E112" s="3">
        <v>41.930117500000001</v>
      </c>
      <c r="F112" s="3">
        <v>26.850372499999999</v>
      </c>
      <c r="G112" s="3">
        <v>31.511225</v>
      </c>
      <c r="H112" s="3">
        <v>46.634857500000003</v>
      </c>
      <c r="I112" s="48" t="s">
        <v>313</v>
      </c>
      <c r="J112" s="49" t="s">
        <v>337</v>
      </c>
      <c r="K112" s="3">
        <v>33059</v>
      </c>
      <c r="L112" s="48" t="s">
        <v>313</v>
      </c>
      <c r="M112" s="49" t="s">
        <v>337</v>
      </c>
      <c r="N112" s="3">
        <v>1100.0994479999999</v>
      </c>
      <c r="O112" s="3">
        <v>1634.089896</v>
      </c>
      <c r="P112" s="3">
        <v>1056.4816639999999</v>
      </c>
      <c r="Q112" s="3">
        <v>1105.913219</v>
      </c>
      <c r="R112" s="3">
        <v>1577.1432339999999</v>
      </c>
      <c r="S112" s="3">
        <v>1707.963796</v>
      </c>
      <c r="T112" s="3">
        <v>1414.1990060000001</v>
      </c>
      <c r="U112" s="3">
        <v>1135.879678</v>
      </c>
      <c r="V112" s="3">
        <v>924.97986709999998</v>
      </c>
      <c r="W112" s="3">
        <v>616.79675840000004</v>
      </c>
      <c r="X112" s="3">
        <v>1265.5956639999999</v>
      </c>
      <c r="Y112" s="3">
        <v>126.0719189</v>
      </c>
      <c r="Z112" s="3">
        <v>456.06035259999999</v>
      </c>
      <c r="AA112" s="48" t="s">
        <v>313</v>
      </c>
      <c r="AB112" s="49" t="s">
        <v>337</v>
      </c>
      <c r="AC112" s="3">
        <v>0.63600000000000001</v>
      </c>
      <c r="AD112" s="3">
        <v>4.8000000000000001E-2</v>
      </c>
      <c r="AE112" s="3">
        <v>0.64300000000000002</v>
      </c>
      <c r="AF112" s="3">
        <v>6.9000000000000006E-2</v>
      </c>
      <c r="AG112" s="3">
        <v>0.54200000000000004</v>
      </c>
      <c r="AH112" s="3">
        <v>0.125</v>
      </c>
      <c r="AI112" s="3">
        <v>0.52</v>
      </c>
      <c r="AJ112" s="3">
        <v>1.7000000000000001E-2</v>
      </c>
      <c r="AK112" s="3">
        <v>0.64900000000000002</v>
      </c>
      <c r="AL112" s="3">
        <v>0.20300000000000001</v>
      </c>
      <c r="AM112" s="3">
        <v>0.626</v>
      </c>
      <c r="AN112" s="3">
        <v>0.34699999999999998</v>
      </c>
      <c r="AO112" s="3">
        <v>0.128</v>
      </c>
      <c r="AP112" s="3">
        <v>0.34699999999999998</v>
      </c>
      <c r="AQ112" s="3">
        <v>0.63800000000000001</v>
      </c>
      <c r="AR112" s="3">
        <v>3.6999999999999998E-2</v>
      </c>
      <c r="AS112" s="3">
        <v>0.65500000000000003</v>
      </c>
      <c r="AT112" s="3">
        <v>1.7999999999999999E-2</v>
      </c>
      <c r="AU112" s="3">
        <v>0.65600000000000003</v>
      </c>
      <c r="AV112" s="3">
        <v>1.7999999999999999E-2</v>
      </c>
      <c r="AW112" s="3">
        <v>0.66700000000000004</v>
      </c>
      <c r="AX112" s="3">
        <v>4.3999999999999997E-2</v>
      </c>
      <c r="AY112" s="3">
        <v>0.65400000000000003</v>
      </c>
      <c r="AZ112" s="3">
        <v>8.3000000000000004E-2</v>
      </c>
      <c r="BA112" s="3">
        <v>0.66700000000000004</v>
      </c>
      <c r="BB112" s="3">
        <v>0.14299999999999999</v>
      </c>
      <c r="BC112" s="3">
        <v>8.2000000000000003E-2</v>
      </c>
      <c r="BD112" s="3">
        <v>7.1999999999999995E-2</v>
      </c>
      <c r="BE112" s="3">
        <v>8.0000000000000002E-3</v>
      </c>
      <c r="BF112" s="3">
        <v>6.6666666999999999E-2</v>
      </c>
      <c r="BG112" s="3">
        <v>0.16</v>
      </c>
      <c r="BH112" s="3">
        <v>5.8000000000000003E-2</v>
      </c>
      <c r="BI112" s="3">
        <v>0.17199999999999999</v>
      </c>
      <c r="BJ112" s="3">
        <v>0.23799999999999999</v>
      </c>
      <c r="BK112" s="3">
        <v>0.2525</v>
      </c>
      <c r="BL112" s="3">
        <v>0.33033333300000001</v>
      </c>
      <c r="BM112" s="3">
        <v>0.01</v>
      </c>
      <c r="BN112" s="3">
        <v>8.6999999999999994E-2</v>
      </c>
      <c r="BO112" s="3">
        <v>8.4000000000000005E-2</v>
      </c>
      <c r="BP112" s="48" t="s">
        <v>313</v>
      </c>
      <c r="BQ112" s="49" t="s">
        <v>337</v>
      </c>
      <c r="BR112" s="3">
        <v>19.266999999999999</v>
      </c>
      <c r="BS112" s="3">
        <v>18.001000000000001</v>
      </c>
      <c r="BT112" s="3">
        <v>17.149999999999999</v>
      </c>
      <c r="BU112" s="3">
        <v>16.329999999999998</v>
      </c>
      <c r="BV112" s="3">
        <v>20.350000000000001</v>
      </c>
      <c r="BW112" s="3">
        <v>15.98</v>
      </c>
      <c r="BX112" s="3">
        <v>16.088000000000001</v>
      </c>
      <c r="BY112" s="3">
        <v>18.254000000000001</v>
      </c>
      <c r="BZ112" s="3">
        <v>19.768999999999998</v>
      </c>
      <c r="CA112" s="3">
        <v>19.303000000000001</v>
      </c>
      <c r="CB112" s="3">
        <v>18.239000000000001</v>
      </c>
      <c r="CC112" s="3">
        <v>16.937000000000001</v>
      </c>
      <c r="CD112" s="3">
        <v>16.195</v>
      </c>
    </row>
    <row r="113" spans="1:82" x14ac:dyDescent="0.3">
      <c r="A113" s="48" t="s">
        <v>313</v>
      </c>
      <c r="B113" s="49" t="s">
        <v>338</v>
      </c>
      <c r="C113" s="3">
        <v>31.423449999999999</v>
      </c>
      <c r="D113" s="3">
        <v>40.797820000000002</v>
      </c>
      <c r="E113" s="3">
        <v>36.698727499999997</v>
      </c>
      <c r="F113" s="3">
        <v>26.85915</v>
      </c>
      <c r="G113" s="3">
        <v>33.433497500000001</v>
      </c>
      <c r="H113" s="3">
        <v>40.499384999999997</v>
      </c>
      <c r="I113" s="48" t="s">
        <v>313</v>
      </c>
      <c r="J113" s="49" t="s">
        <v>338</v>
      </c>
      <c r="K113" s="3">
        <v>33146</v>
      </c>
      <c r="L113" s="48" t="s">
        <v>313</v>
      </c>
      <c r="M113" s="49" t="s">
        <v>338</v>
      </c>
      <c r="N113" s="3">
        <v>975.66743140000005</v>
      </c>
      <c r="O113" s="3">
        <v>1581.001381</v>
      </c>
      <c r="P113" s="3">
        <v>838.64531339999996</v>
      </c>
      <c r="Q113" s="3">
        <v>908.26483080000003</v>
      </c>
      <c r="R113" s="3">
        <v>1467.1801889999999</v>
      </c>
      <c r="S113" s="3">
        <v>1739.417434</v>
      </c>
      <c r="T113" s="3">
        <v>1287.02503</v>
      </c>
      <c r="U113" s="3">
        <v>1221.177782</v>
      </c>
      <c r="V113" s="3">
        <v>917.61814949999996</v>
      </c>
      <c r="W113" s="3">
        <v>550.16520530000003</v>
      </c>
      <c r="X113" s="3">
        <v>1247.3384860000001</v>
      </c>
      <c r="Y113" s="3">
        <v>148.1790565</v>
      </c>
      <c r="Z113" s="3">
        <v>116.7551146</v>
      </c>
      <c r="AA113" s="48" t="s">
        <v>313</v>
      </c>
      <c r="AB113" s="49" t="s">
        <v>338</v>
      </c>
      <c r="AC113" s="3">
        <v>0.54</v>
      </c>
      <c r="AD113" s="3">
        <v>5.3999999999999999E-2</v>
      </c>
      <c r="AE113" s="3">
        <v>0.54800000000000004</v>
      </c>
      <c r="AF113" s="3">
        <v>0.08</v>
      </c>
      <c r="AG113" s="3">
        <v>0.51200000000000001</v>
      </c>
      <c r="AH113" s="3">
        <v>0.14099999999999999</v>
      </c>
      <c r="AI113" s="3">
        <v>0.46200000000000002</v>
      </c>
      <c r="AJ113" s="3">
        <v>1.6E-2</v>
      </c>
      <c r="AK113" s="3">
        <v>0.55200000000000005</v>
      </c>
      <c r="AL113" s="3">
        <v>0.20599999999999999</v>
      </c>
      <c r="AM113" s="3">
        <v>0.54100000000000004</v>
      </c>
      <c r="AN113" s="3">
        <v>0.36</v>
      </c>
      <c r="AO113" s="3">
        <v>0.155</v>
      </c>
      <c r="AP113" s="3">
        <v>0.36</v>
      </c>
      <c r="AQ113" s="3">
        <v>0.55100000000000005</v>
      </c>
      <c r="AR113" s="3">
        <v>3.6999999999999998E-2</v>
      </c>
      <c r="AS113" s="3">
        <v>0.56200000000000006</v>
      </c>
      <c r="AT113" s="3">
        <v>1.4E-2</v>
      </c>
      <c r="AU113" s="3">
        <v>0.56200000000000006</v>
      </c>
      <c r="AV113" s="3">
        <v>2.4E-2</v>
      </c>
      <c r="AW113" s="3">
        <v>0.57899999999999996</v>
      </c>
      <c r="AX113" s="3">
        <v>4.5999999999999999E-2</v>
      </c>
      <c r="AY113" s="3">
        <v>0.56299999999999994</v>
      </c>
      <c r="AZ113" s="3">
        <v>8.5000000000000006E-2</v>
      </c>
      <c r="BA113" s="3">
        <v>0.57999999999999996</v>
      </c>
      <c r="BB113" s="3">
        <v>0.13800000000000001</v>
      </c>
      <c r="BC113" s="3">
        <v>9.9000000000000005E-2</v>
      </c>
      <c r="BD113" s="3">
        <v>0.11</v>
      </c>
      <c r="BE113" s="3">
        <v>1.6500000000000001E-2</v>
      </c>
      <c r="BF113" s="3">
        <v>6.0666667000000001E-2</v>
      </c>
      <c r="BG113" s="3">
        <v>0.19</v>
      </c>
      <c r="BH113" s="3">
        <v>4.9000000000000002E-2</v>
      </c>
      <c r="BI113" s="3">
        <v>0.14000000000000001</v>
      </c>
      <c r="BJ113" s="3">
        <v>0.28100000000000003</v>
      </c>
      <c r="BK113" s="3">
        <v>0.29399999999999998</v>
      </c>
      <c r="BL113" s="3">
        <v>0.38066666700000001</v>
      </c>
      <c r="BM113" s="3">
        <v>0.01</v>
      </c>
      <c r="BN113" s="3">
        <v>8.8999999999999996E-2</v>
      </c>
      <c r="BO113" s="3">
        <v>7.8E-2</v>
      </c>
      <c r="BP113" s="48" t="s">
        <v>313</v>
      </c>
      <c r="BQ113" s="49" t="s">
        <v>338</v>
      </c>
      <c r="BR113" s="3">
        <v>19.102</v>
      </c>
      <c r="BS113" s="3">
        <v>18.036999999999999</v>
      </c>
      <c r="BT113" s="3">
        <v>16.998999999999999</v>
      </c>
      <c r="BU113" s="3">
        <v>16.148</v>
      </c>
      <c r="BV113" s="3">
        <v>20.262</v>
      </c>
      <c r="BW113" s="3">
        <v>15.914999999999999</v>
      </c>
      <c r="BX113" s="3">
        <v>15.887</v>
      </c>
      <c r="BY113" s="3">
        <v>18.202999999999999</v>
      </c>
      <c r="BZ113" s="3">
        <v>19.780999999999999</v>
      </c>
      <c r="CA113" s="3">
        <v>19.134</v>
      </c>
      <c r="CB113" s="3">
        <v>18.219000000000001</v>
      </c>
      <c r="CC113" s="3">
        <v>16.896000000000001</v>
      </c>
      <c r="CD113" s="3">
        <v>16.010999999999999</v>
      </c>
    </row>
    <row r="114" spans="1:82" x14ac:dyDescent="0.3">
      <c r="A114" s="48" t="s">
        <v>313</v>
      </c>
      <c r="B114" s="49" t="s">
        <v>339</v>
      </c>
      <c r="C114" s="3">
        <v>32.836627499999999</v>
      </c>
      <c r="D114" s="3">
        <v>43.395960000000002</v>
      </c>
      <c r="E114" s="3">
        <v>41.324469999999998</v>
      </c>
      <c r="F114" s="3">
        <v>26.85915</v>
      </c>
      <c r="G114" s="3">
        <v>35.127555000000001</v>
      </c>
      <c r="H114" s="3">
        <v>43.194077499999999</v>
      </c>
      <c r="I114" s="48" t="s">
        <v>313</v>
      </c>
      <c r="J114" s="49" t="s">
        <v>339</v>
      </c>
      <c r="K114" s="3">
        <v>35214</v>
      </c>
      <c r="L114" s="48" t="s">
        <v>313</v>
      </c>
      <c r="M114" s="49" t="s">
        <v>339</v>
      </c>
      <c r="N114" s="3">
        <v>951.52437510000004</v>
      </c>
      <c r="O114" s="3">
        <v>1393.4341710000001</v>
      </c>
      <c r="P114" s="3">
        <v>1083.2577510000001</v>
      </c>
      <c r="Q114" s="3">
        <v>1052.4861759999999</v>
      </c>
      <c r="R114" s="3">
        <v>1405.9461980000001</v>
      </c>
      <c r="S114" s="3">
        <v>1685.886892</v>
      </c>
      <c r="T114" s="3">
        <v>1286.1428659999999</v>
      </c>
      <c r="U114" s="3">
        <v>1539.8567849999999</v>
      </c>
      <c r="V114" s="3">
        <v>867.93962929999998</v>
      </c>
      <c r="W114" s="3">
        <v>577.00868360000004</v>
      </c>
      <c r="X114" s="3">
        <v>1089.107669</v>
      </c>
      <c r="Y114" s="3">
        <v>138.31715800000001</v>
      </c>
      <c r="Z114" s="3">
        <v>131.24069710000001</v>
      </c>
      <c r="AA114" s="48" t="s">
        <v>313</v>
      </c>
      <c r="AB114" s="49" t="s">
        <v>339</v>
      </c>
      <c r="AC114" s="3">
        <v>0.38200000000000001</v>
      </c>
      <c r="AD114" s="3">
        <v>7.0000000000000007E-2</v>
      </c>
      <c r="AE114" s="3">
        <v>0.40400000000000003</v>
      </c>
      <c r="AF114" s="3">
        <v>0.1</v>
      </c>
      <c r="AG114" s="3">
        <v>0.36199999999999999</v>
      </c>
      <c r="AH114" s="3">
        <v>0.16</v>
      </c>
      <c r="AI114" s="3">
        <v>0.32300000000000001</v>
      </c>
      <c r="AJ114" s="3">
        <v>2.1999999999999999E-2</v>
      </c>
      <c r="AK114" s="3">
        <v>0.40500000000000003</v>
      </c>
      <c r="AL114" s="3">
        <v>0.23</v>
      </c>
      <c r="AM114" s="3">
        <v>0.40100000000000002</v>
      </c>
      <c r="AN114" s="3">
        <v>0.33900000000000002</v>
      </c>
      <c r="AO114" s="3">
        <v>0.104</v>
      </c>
      <c r="AP114" s="3">
        <v>0.33900000000000002</v>
      </c>
      <c r="AQ114" s="3">
        <v>0.40400000000000003</v>
      </c>
      <c r="AR114" s="3">
        <v>4.2999999999999997E-2</v>
      </c>
      <c r="AS114" s="3">
        <v>0.41699999999999998</v>
      </c>
      <c r="AT114" s="3">
        <v>1.6E-2</v>
      </c>
      <c r="AU114" s="3">
        <v>0.41799999999999998</v>
      </c>
      <c r="AV114" s="3">
        <v>3.4000000000000002E-2</v>
      </c>
      <c r="AW114" s="3">
        <v>0.441</v>
      </c>
      <c r="AX114" s="3">
        <v>5.7000000000000002E-2</v>
      </c>
      <c r="AY114" s="3">
        <v>0.42199999999999999</v>
      </c>
      <c r="AZ114" s="3">
        <v>8.4000000000000005E-2</v>
      </c>
      <c r="BA114" s="3">
        <v>0.443</v>
      </c>
      <c r="BB114" s="3">
        <v>0.11799999999999999</v>
      </c>
      <c r="BC114" s="3">
        <v>0.122</v>
      </c>
      <c r="BD114" s="3">
        <v>0.151</v>
      </c>
      <c r="BE114" s="3">
        <v>3.4500000000000003E-2</v>
      </c>
      <c r="BF114" s="3">
        <v>6.3E-2</v>
      </c>
      <c r="BG114" s="3">
        <v>0.22700000000000001</v>
      </c>
      <c r="BH114" s="3">
        <v>5.2999999999999999E-2</v>
      </c>
      <c r="BI114" s="3">
        <v>0.11600000000000001</v>
      </c>
      <c r="BJ114" s="3">
        <v>0.33200000000000002</v>
      </c>
      <c r="BK114" s="3">
        <v>0.35949999999999999</v>
      </c>
      <c r="BL114" s="3">
        <v>0.436</v>
      </c>
      <c r="BM114" s="3">
        <v>0.01</v>
      </c>
      <c r="BN114" s="3">
        <v>9.5000000000000001E-2</v>
      </c>
      <c r="BO114" s="3">
        <v>8.6999999999999994E-2</v>
      </c>
      <c r="BP114" s="48" t="s">
        <v>313</v>
      </c>
      <c r="BQ114" s="49" t="s">
        <v>339</v>
      </c>
      <c r="BR114" s="3">
        <v>18.739999999999998</v>
      </c>
      <c r="BS114" s="3">
        <v>17.591999999999999</v>
      </c>
      <c r="BT114" s="3">
        <v>16.503</v>
      </c>
      <c r="BU114" s="3">
        <v>15.618</v>
      </c>
      <c r="BV114" s="3">
        <v>19.823</v>
      </c>
      <c r="BW114" s="3">
        <v>15.779</v>
      </c>
      <c r="BX114" s="3">
        <v>15.593</v>
      </c>
      <c r="BY114" s="3">
        <v>17.945</v>
      </c>
      <c r="BZ114" s="3">
        <v>19.442</v>
      </c>
      <c r="CA114" s="3">
        <v>18.631</v>
      </c>
      <c r="CB114" s="3">
        <v>17.8</v>
      </c>
      <c r="CC114" s="3">
        <v>16.675000000000001</v>
      </c>
      <c r="CD114" s="3">
        <v>15.686</v>
      </c>
    </row>
    <row r="115" spans="1:82" x14ac:dyDescent="0.3">
      <c r="A115" s="48" t="s">
        <v>313</v>
      </c>
      <c r="B115" s="49" t="s">
        <v>340</v>
      </c>
      <c r="C115" s="3">
        <v>35.180219999999998</v>
      </c>
      <c r="D115" s="3">
        <v>46.608525</v>
      </c>
      <c r="E115" s="3">
        <v>44.607255000000002</v>
      </c>
      <c r="F115" s="3">
        <v>26.850372499999999</v>
      </c>
      <c r="G115" s="3">
        <v>39.446084999999997</v>
      </c>
      <c r="H115" s="3">
        <v>46.424197499999998</v>
      </c>
      <c r="I115" s="48" t="s">
        <v>313</v>
      </c>
      <c r="J115" s="49" t="s">
        <v>340</v>
      </c>
      <c r="K115" s="3">
        <v>36930.5</v>
      </c>
      <c r="L115" s="48" t="s">
        <v>313</v>
      </c>
      <c r="M115" s="49" t="s">
        <v>340</v>
      </c>
      <c r="N115" s="3">
        <v>1148.172769</v>
      </c>
      <c r="O115" s="3">
        <v>1609.213438</v>
      </c>
      <c r="P115" s="3">
        <v>1463.9971680000001</v>
      </c>
      <c r="Q115" s="3">
        <v>1362.7644769999999</v>
      </c>
      <c r="R115" s="3">
        <v>1537.5879070000001</v>
      </c>
      <c r="S115" s="3">
        <v>1924.0780179999999</v>
      </c>
      <c r="T115" s="3">
        <v>1534.7830570000001</v>
      </c>
      <c r="U115" s="3">
        <v>1160.8366169999999</v>
      </c>
      <c r="V115" s="3">
        <v>944.9271066</v>
      </c>
      <c r="W115" s="3">
        <v>1125.109815</v>
      </c>
      <c r="X115" s="3">
        <v>1240.744721</v>
      </c>
      <c r="Y115" s="3">
        <v>203.8704984</v>
      </c>
      <c r="Z115" s="3">
        <v>562.87225020000005</v>
      </c>
      <c r="AA115" s="48" t="s">
        <v>313</v>
      </c>
      <c r="AB115" s="49" t="s">
        <v>340</v>
      </c>
      <c r="AC115" s="3">
        <v>0.19400000000000001</v>
      </c>
      <c r="AD115" s="3">
        <v>0.108</v>
      </c>
      <c r="AE115" s="3">
        <v>0.219</v>
      </c>
      <c r="AF115" s="3">
        <v>0.13700000000000001</v>
      </c>
      <c r="AG115" s="3">
        <v>0.14899999999999999</v>
      </c>
      <c r="AH115" s="3">
        <v>0.182</v>
      </c>
      <c r="AI115" s="3">
        <v>0.155</v>
      </c>
      <c r="AJ115" s="3">
        <v>4.2999999999999997E-2</v>
      </c>
      <c r="AK115" s="3">
        <v>0.216</v>
      </c>
      <c r="AL115" s="3">
        <v>0.27500000000000002</v>
      </c>
      <c r="AM115" s="3">
        <v>0.22600000000000001</v>
      </c>
      <c r="AN115" s="3">
        <v>0.33900000000000002</v>
      </c>
      <c r="AO115" s="3">
        <v>6.9000000000000006E-2</v>
      </c>
      <c r="AP115" s="3">
        <v>0.33900000000000002</v>
      </c>
      <c r="AQ115" s="3">
        <v>0.19600000000000001</v>
      </c>
      <c r="AR115" s="3">
        <v>6.5000000000000002E-2</v>
      </c>
      <c r="AS115" s="3">
        <v>0.22600000000000001</v>
      </c>
      <c r="AT115" s="3">
        <v>0.03</v>
      </c>
      <c r="AU115" s="3">
        <v>0.22700000000000001</v>
      </c>
      <c r="AV115" s="3">
        <v>4.9000000000000002E-2</v>
      </c>
      <c r="AW115" s="3">
        <v>0.25700000000000001</v>
      </c>
      <c r="AX115" s="3">
        <v>7.6999999999999999E-2</v>
      </c>
      <c r="AY115" s="3">
        <v>0.23799999999999999</v>
      </c>
      <c r="AZ115" s="3">
        <v>0.08</v>
      </c>
      <c r="BA115" s="3">
        <v>0.26200000000000001</v>
      </c>
      <c r="BB115" s="3">
        <v>0.11799999999999999</v>
      </c>
      <c r="BC115" s="3">
        <v>0.1525</v>
      </c>
      <c r="BD115" s="3">
        <v>0.19700000000000001</v>
      </c>
      <c r="BE115" s="3">
        <v>6.9000000000000006E-2</v>
      </c>
      <c r="BF115" s="3">
        <v>8.2000000000000003E-2</v>
      </c>
      <c r="BG115" s="3">
        <v>0.26958333400000001</v>
      </c>
      <c r="BH115" s="3">
        <v>7.3999999999999996E-2</v>
      </c>
      <c r="BI115" s="3">
        <v>0.1225</v>
      </c>
      <c r="BJ115" s="3">
        <v>0.38666666700000002</v>
      </c>
      <c r="BK115" s="3">
        <v>0.4425</v>
      </c>
      <c r="BL115" s="3">
        <v>0.48599999999999999</v>
      </c>
      <c r="BM115" s="3">
        <v>0.01</v>
      </c>
      <c r="BN115" s="3">
        <v>0.10766666699999999</v>
      </c>
      <c r="BO115" s="3">
        <v>0.106</v>
      </c>
      <c r="BP115" s="48" t="s">
        <v>313</v>
      </c>
      <c r="BQ115" s="49" t="s">
        <v>340</v>
      </c>
      <c r="BR115" s="3">
        <v>17.594000000000001</v>
      </c>
      <c r="BS115" s="3">
        <v>16.736999999999998</v>
      </c>
      <c r="BT115" s="3">
        <v>15.696999999999999</v>
      </c>
      <c r="BU115" s="3">
        <v>14.814</v>
      </c>
      <c r="BV115" s="3">
        <v>18.774999999999999</v>
      </c>
      <c r="BW115" s="3">
        <v>15.603</v>
      </c>
      <c r="BX115" s="3">
        <v>15.036</v>
      </c>
      <c r="BY115" s="3">
        <v>17.387</v>
      </c>
      <c r="BZ115" s="3">
        <v>18.611000000000001</v>
      </c>
      <c r="CA115" s="3">
        <v>17.934000000000001</v>
      </c>
      <c r="CB115" s="3">
        <v>16.931999999999999</v>
      </c>
      <c r="CC115" s="3">
        <v>16.266999999999999</v>
      </c>
      <c r="CD115" s="3">
        <v>15.241</v>
      </c>
    </row>
    <row r="116" spans="1:82" x14ac:dyDescent="0.3">
      <c r="A116" s="48" t="s">
        <v>313</v>
      </c>
      <c r="B116" s="49" t="s">
        <v>341</v>
      </c>
      <c r="C116" s="3">
        <v>44.975909999999999</v>
      </c>
      <c r="D116" s="3">
        <v>49.092557499999998</v>
      </c>
      <c r="E116" s="3">
        <v>48.285027499999998</v>
      </c>
      <c r="F116" s="3">
        <v>26.8679275</v>
      </c>
      <c r="G116" s="3">
        <v>34.179585000000003</v>
      </c>
      <c r="H116" s="3">
        <v>49.022337499999999</v>
      </c>
      <c r="I116" s="48" t="s">
        <v>313</v>
      </c>
      <c r="J116" s="49" t="s">
        <v>341</v>
      </c>
      <c r="K116" s="3">
        <v>37937</v>
      </c>
      <c r="L116" s="48" t="s">
        <v>313</v>
      </c>
      <c r="M116" s="49" t="s">
        <v>341</v>
      </c>
      <c r="N116" s="3">
        <v>1776.671063</v>
      </c>
      <c r="O116" s="3">
        <v>2345.597127</v>
      </c>
      <c r="P116" s="3">
        <v>1873.968713</v>
      </c>
      <c r="Q116" s="3">
        <v>1774.8472899999999</v>
      </c>
      <c r="R116" s="3">
        <v>2014.90131</v>
      </c>
      <c r="S116" s="3">
        <v>2672.5154349999998</v>
      </c>
      <c r="T116" s="3">
        <v>2239.0259689999998</v>
      </c>
      <c r="U116" s="3">
        <v>1959.1933369999999</v>
      </c>
      <c r="V116" s="3">
        <v>1690.5668089999999</v>
      </c>
      <c r="W116" s="3">
        <v>1486.8092099999999</v>
      </c>
      <c r="X116" s="3">
        <v>1720.6100750000001</v>
      </c>
      <c r="Y116" s="3">
        <v>313.91322989999998</v>
      </c>
      <c r="Z116" s="3">
        <v>1243.3330940000001</v>
      </c>
      <c r="AA116" s="48" t="s">
        <v>313</v>
      </c>
      <c r="AB116" s="49" t="s">
        <v>341</v>
      </c>
      <c r="AC116" s="3">
        <v>2.4E-2</v>
      </c>
      <c r="AD116" s="3">
        <v>0.188</v>
      </c>
      <c r="AE116" s="3">
        <v>3.7999999999999999E-2</v>
      </c>
      <c r="AF116" s="3">
        <v>0.22700000000000001</v>
      </c>
      <c r="AG116" s="3">
        <v>2.7E-2</v>
      </c>
      <c r="AH116" s="3">
        <v>0.249</v>
      </c>
      <c r="AI116" s="3">
        <v>1.9E-2</v>
      </c>
      <c r="AJ116" s="3">
        <v>0.108</v>
      </c>
      <c r="AK116" s="3">
        <v>3.2000000000000001E-2</v>
      </c>
      <c r="AL116" s="3">
        <v>0.33600000000000002</v>
      </c>
      <c r="AM116" s="3">
        <v>4.4999999999999998E-2</v>
      </c>
      <c r="AN116" s="3">
        <v>0.40899999999999997</v>
      </c>
      <c r="AO116" s="3">
        <v>1.9E-2</v>
      </c>
      <c r="AP116" s="3">
        <v>0.40899999999999997</v>
      </c>
      <c r="AQ116" s="3">
        <v>2.3E-2</v>
      </c>
      <c r="AR116" s="3">
        <v>0.106</v>
      </c>
      <c r="AS116" s="3">
        <v>4.2999999999999997E-2</v>
      </c>
      <c r="AT116" s="3">
        <v>6.3E-2</v>
      </c>
      <c r="AU116" s="3">
        <v>4.3999999999999997E-2</v>
      </c>
      <c r="AV116" s="3">
        <v>7.6999999999999999E-2</v>
      </c>
      <c r="AW116" s="3">
        <v>6.6000000000000003E-2</v>
      </c>
      <c r="AX116" s="3">
        <v>0.11799999999999999</v>
      </c>
      <c r="AY116" s="3">
        <v>5.1999999999999998E-2</v>
      </c>
      <c r="AZ116" s="3">
        <v>9.5000000000000001E-2</v>
      </c>
      <c r="BA116" s="3">
        <v>7.0000000000000007E-2</v>
      </c>
      <c r="BB116" s="3">
        <v>0.16700000000000001</v>
      </c>
      <c r="BC116" s="3">
        <v>0.20599999999999999</v>
      </c>
      <c r="BD116" s="3">
        <v>0.27100000000000002</v>
      </c>
      <c r="BE116" s="3">
        <v>0.13300000000000001</v>
      </c>
      <c r="BF116" s="3">
        <v>0.136333333</v>
      </c>
      <c r="BG116" s="3">
        <v>0.33250000000000002</v>
      </c>
      <c r="BH116" s="3">
        <v>0.126</v>
      </c>
      <c r="BI116" s="3">
        <v>0.17100000000000001</v>
      </c>
      <c r="BJ116" s="3">
        <v>0.45900000000000002</v>
      </c>
      <c r="BK116" s="3">
        <v>0.55700000000000005</v>
      </c>
      <c r="BL116" s="3">
        <v>0.53766666699999999</v>
      </c>
      <c r="BM116" s="3">
        <v>0.01</v>
      </c>
      <c r="BN116" s="3">
        <v>0.13200000000000001</v>
      </c>
      <c r="BO116" s="3">
        <v>0.13700000000000001</v>
      </c>
      <c r="BP116" s="48" t="s">
        <v>313</v>
      </c>
      <c r="BQ116" s="49" t="s">
        <v>341</v>
      </c>
      <c r="BR116" s="3">
        <v>15.305999999999999</v>
      </c>
      <c r="BS116" s="3">
        <v>15.173999999999999</v>
      </c>
      <c r="BT116" s="3">
        <v>14.151</v>
      </c>
      <c r="BU116" s="3">
        <v>13.666</v>
      </c>
      <c r="BV116" s="3">
        <v>16.225000000000001</v>
      </c>
      <c r="BW116" s="3">
        <v>15.504</v>
      </c>
      <c r="BX116" s="3">
        <v>13.951000000000001</v>
      </c>
      <c r="BY116" s="3">
        <v>16.225000000000001</v>
      </c>
      <c r="BZ116" s="3">
        <v>16.818000000000001</v>
      </c>
      <c r="CA116" s="3">
        <v>16.344999999999999</v>
      </c>
      <c r="CB116" s="3">
        <v>14.914999999999999</v>
      </c>
      <c r="CC116" s="3">
        <v>15.33</v>
      </c>
      <c r="CD116" s="3">
        <v>14.340999999999999</v>
      </c>
    </row>
    <row r="117" spans="1:82" x14ac:dyDescent="0.3">
      <c r="A117" s="48" t="s">
        <v>313</v>
      </c>
      <c r="B117" s="49" t="s">
        <v>342</v>
      </c>
      <c r="C117" s="3">
        <v>69.912787499999993</v>
      </c>
      <c r="D117" s="3">
        <v>48.495687500000003</v>
      </c>
      <c r="E117" s="3">
        <v>44.774027500000003</v>
      </c>
      <c r="F117" s="3">
        <v>26.876705000000001</v>
      </c>
      <c r="G117" s="3">
        <v>31.651665000000001</v>
      </c>
      <c r="H117" s="3">
        <v>48.162142500000002</v>
      </c>
      <c r="I117" s="48" t="s">
        <v>313</v>
      </c>
      <c r="J117" s="49" t="s">
        <v>342</v>
      </c>
      <c r="K117" s="3">
        <v>39326</v>
      </c>
      <c r="L117" s="48" t="s">
        <v>313</v>
      </c>
      <c r="M117" s="49" t="s">
        <v>342</v>
      </c>
      <c r="N117" s="3">
        <v>2247.0921130000002</v>
      </c>
      <c r="O117" s="3">
        <v>2943.1734019999999</v>
      </c>
      <c r="P117" s="3">
        <v>2173.0350119999998</v>
      </c>
      <c r="Q117" s="3">
        <v>2398.6194890000002</v>
      </c>
      <c r="R117" s="3">
        <v>2550.3376450000001</v>
      </c>
      <c r="S117" s="3">
        <v>3275.531399</v>
      </c>
      <c r="T117" s="3">
        <v>2934.9313659999998</v>
      </c>
      <c r="U117" s="3">
        <v>2602.0844029999998</v>
      </c>
      <c r="V117" s="3">
        <v>1995.6027779999999</v>
      </c>
      <c r="W117" s="3">
        <v>1774.151719</v>
      </c>
      <c r="X117" s="3">
        <v>2166.4927619999999</v>
      </c>
      <c r="Y117" s="3">
        <v>373.11427750000001</v>
      </c>
      <c r="Z117" s="3">
        <v>1486.687502</v>
      </c>
      <c r="AA117" s="48" t="s">
        <v>313</v>
      </c>
      <c r="AB117" s="49" t="s">
        <v>342</v>
      </c>
      <c r="AC117" s="3">
        <v>0</v>
      </c>
      <c r="AD117" s="3">
        <v>0.26900000000000002</v>
      </c>
      <c r="AE117" s="3">
        <v>0</v>
      </c>
      <c r="AF117" s="3">
        <v>0.33</v>
      </c>
      <c r="AG117" s="3">
        <v>0</v>
      </c>
      <c r="AH117" s="3">
        <v>0.33800000000000002</v>
      </c>
      <c r="AI117" s="3">
        <v>0</v>
      </c>
      <c r="AJ117" s="3">
        <v>0.19600000000000001</v>
      </c>
      <c r="AK117" s="3">
        <v>0</v>
      </c>
      <c r="AL117" s="3">
        <v>0.38900000000000001</v>
      </c>
      <c r="AM117" s="3">
        <v>0</v>
      </c>
      <c r="AN117" s="3">
        <v>0.498</v>
      </c>
      <c r="AO117" s="3">
        <v>0</v>
      </c>
      <c r="AP117" s="3">
        <v>0.498</v>
      </c>
      <c r="AQ117" s="3">
        <v>0</v>
      </c>
      <c r="AR117" s="3">
        <v>0.14199999999999999</v>
      </c>
      <c r="AS117" s="3">
        <v>0</v>
      </c>
      <c r="AT117" s="3">
        <v>0.10199999999999999</v>
      </c>
      <c r="AU117" s="3">
        <v>0</v>
      </c>
      <c r="AV117" s="3">
        <v>0.10299999999999999</v>
      </c>
      <c r="AW117" s="3">
        <v>0</v>
      </c>
      <c r="AX117" s="3">
        <v>0.184</v>
      </c>
      <c r="AY117" s="3">
        <v>0</v>
      </c>
      <c r="AZ117" s="3">
        <v>0.121</v>
      </c>
      <c r="BA117" s="3">
        <v>0</v>
      </c>
      <c r="BB117" s="3">
        <v>0.20599999999999999</v>
      </c>
      <c r="BC117" s="3">
        <v>0.26650000000000001</v>
      </c>
      <c r="BD117" s="3">
        <v>0.312</v>
      </c>
      <c r="BE117" s="3">
        <v>0.193</v>
      </c>
      <c r="BF117" s="3">
        <v>0.222</v>
      </c>
      <c r="BG117" s="3">
        <v>0.38641666699999999</v>
      </c>
      <c r="BH117" s="3">
        <v>0.215</v>
      </c>
      <c r="BI117" s="3">
        <v>0.22750000000000001</v>
      </c>
      <c r="BJ117" s="3">
        <v>0.50633333300000005</v>
      </c>
      <c r="BK117" s="3">
        <v>0.64949999999999997</v>
      </c>
      <c r="BL117" s="3">
        <v>0.58799999999999997</v>
      </c>
      <c r="BM117" s="3">
        <v>0.01</v>
      </c>
      <c r="BN117" s="3">
        <v>0.161</v>
      </c>
      <c r="BO117" s="3">
        <v>0.17299999999999999</v>
      </c>
      <c r="BP117" s="48" t="s">
        <v>313</v>
      </c>
      <c r="BQ117" s="49" t="s">
        <v>342</v>
      </c>
      <c r="BR117" s="3">
        <v>13.757999999999999</v>
      </c>
      <c r="BS117" s="3">
        <v>14.025</v>
      </c>
      <c r="BT117" s="3">
        <v>12.898999999999999</v>
      </c>
      <c r="BU117" s="3">
        <v>12.616</v>
      </c>
      <c r="BV117" s="3">
        <v>14.451000000000001</v>
      </c>
      <c r="BW117" s="3">
        <v>15.46</v>
      </c>
      <c r="BX117" s="3">
        <v>12.782</v>
      </c>
      <c r="BY117" s="3">
        <v>15.279</v>
      </c>
      <c r="BZ117" s="3">
        <v>15.516</v>
      </c>
      <c r="CA117" s="3">
        <v>14.79</v>
      </c>
      <c r="CB117" s="3">
        <v>13.364000000000001</v>
      </c>
      <c r="CC117" s="3">
        <v>14.401999999999999</v>
      </c>
      <c r="CD117" s="3">
        <v>13.532999999999999</v>
      </c>
    </row>
    <row r="118" spans="1:82" x14ac:dyDescent="0.3">
      <c r="A118" s="48" t="s">
        <v>313</v>
      </c>
      <c r="B118" s="49" t="s">
        <v>343</v>
      </c>
      <c r="C118" s="3">
        <v>51.778472499999999</v>
      </c>
      <c r="D118" s="3">
        <v>46.52075</v>
      </c>
      <c r="E118" s="3">
        <v>35.022224999999999</v>
      </c>
      <c r="F118" s="3">
        <v>26.82404</v>
      </c>
      <c r="G118" s="3">
        <v>29.641617499999999</v>
      </c>
      <c r="H118" s="3">
        <v>46.52075</v>
      </c>
      <c r="I118" s="48" t="s">
        <v>313</v>
      </c>
      <c r="J118" s="49" t="s">
        <v>343</v>
      </c>
      <c r="K118" s="3">
        <v>37072</v>
      </c>
      <c r="L118" s="48" t="s">
        <v>313</v>
      </c>
      <c r="M118" s="49" t="s">
        <v>343</v>
      </c>
      <c r="N118" s="3">
        <v>2527.0069290000001</v>
      </c>
      <c r="O118" s="3">
        <v>3406.2784329999999</v>
      </c>
      <c r="P118" s="3">
        <v>2254.7949400000002</v>
      </c>
      <c r="Q118" s="3">
        <v>2244.7914620000001</v>
      </c>
      <c r="R118" s="3">
        <v>3084.2340429999999</v>
      </c>
      <c r="S118" s="3">
        <v>4000.383777</v>
      </c>
      <c r="T118" s="3">
        <v>3403.2916140000002</v>
      </c>
      <c r="U118" s="3">
        <v>3028.2093410000002</v>
      </c>
      <c r="V118" s="3">
        <v>2166.4029030000002</v>
      </c>
      <c r="W118" s="3">
        <v>1859.604073</v>
      </c>
      <c r="X118" s="3">
        <v>2552.685786</v>
      </c>
      <c r="Y118" s="3">
        <v>419.87379659999999</v>
      </c>
      <c r="Z118" s="3">
        <v>1638.7401870000001</v>
      </c>
      <c r="AA118" s="48" t="s">
        <v>313</v>
      </c>
      <c r="AB118" s="49" t="s">
        <v>343</v>
      </c>
      <c r="AC118" s="3">
        <v>0</v>
      </c>
      <c r="AD118" s="3">
        <v>0.29199999999999998</v>
      </c>
      <c r="AE118" s="3">
        <v>0</v>
      </c>
      <c r="AF118" s="3">
        <v>0.36299999999999999</v>
      </c>
      <c r="AG118" s="3">
        <v>0</v>
      </c>
      <c r="AH118" s="3">
        <v>0.36099999999999999</v>
      </c>
      <c r="AI118" s="3">
        <v>0</v>
      </c>
      <c r="AJ118" s="3">
        <v>0.251</v>
      </c>
      <c r="AK118" s="3">
        <v>0</v>
      </c>
      <c r="AL118" s="3">
        <v>0.41</v>
      </c>
      <c r="AM118" s="3">
        <v>0</v>
      </c>
      <c r="AN118" s="3">
        <v>0.54600000000000004</v>
      </c>
      <c r="AO118" s="3">
        <v>0</v>
      </c>
      <c r="AP118" s="3">
        <v>0.54600000000000004</v>
      </c>
      <c r="AQ118" s="3">
        <v>0</v>
      </c>
      <c r="AR118" s="3">
        <v>0.157</v>
      </c>
      <c r="AS118" s="3">
        <v>0</v>
      </c>
      <c r="AT118" s="3">
        <v>0.126</v>
      </c>
      <c r="AU118" s="3">
        <v>0</v>
      </c>
      <c r="AV118" s="3">
        <v>0.115</v>
      </c>
      <c r="AW118" s="3">
        <v>0</v>
      </c>
      <c r="AX118" s="3">
        <v>0.251</v>
      </c>
      <c r="AY118" s="3">
        <v>0</v>
      </c>
      <c r="AZ118" s="3">
        <v>0.14499999999999999</v>
      </c>
      <c r="BA118" s="3">
        <v>0</v>
      </c>
      <c r="BB118" s="3">
        <v>0.21199999999999999</v>
      </c>
      <c r="BC118" s="3">
        <v>0.32250000000000001</v>
      </c>
      <c r="BD118" s="3">
        <v>0.3115</v>
      </c>
      <c r="BE118" s="3">
        <v>0.22600000000000001</v>
      </c>
      <c r="BF118" s="3">
        <v>0.31033333299999999</v>
      </c>
      <c r="BG118" s="3">
        <v>0.42558333399999998</v>
      </c>
      <c r="BH118" s="3">
        <v>0.32800000000000001</v>
      </c>
      <c r="BI118" s="3">
        <v>0.29199999999999998</v>
      </c>
      <c r="BJ118" s="3">
        <v>0.52866666699999998</v>
      </c>
      <c r="BK118" s="3">
        <v>0.68200000000000005</v>
      </c>
      <c r="BL118" s="3">
        <v>0.62533333300000005</v>
      </c>
      <c r="BM118" s="3">
        <v>0.01</v>
      </c>
      <c r="BN118" s="3">
        <v>0.193333333</v>
      </c>
      <c r="BO118" s="3">
        <v>0.216</v>
      </c>
      <c r="BP118" s="48" t="s">
        <v>313</v>
      </c>
      <c r="BQ118" s="49" t="s">
        <v>343</v>
      </c>
      <c r="BR118" s="3">
        <v>12.968999999999999</v>
      </c>
      <c r="BS118" s="3">
        <v>13.561</v>
      </c>
      <c r="BT118" s="3">
        <v>12.513999999999999</v>
      </c>
      <c r="BU118" s="3">
        <v>12.172000000000001</v>
      </c>
      <c r="BV118" s="3">
        <v>13.852</v>
      </c>
      <c r="BW118" s="3">
        <v>15.433</v>
      </c>
      <c r="BX118" s="3">
        <v>12.391999999999999</v>
      </c>
      <c r="BY118" s="3">
        <v>14.811999999999999</v>
      </c>
      <c r="BZ118" s="3">
        <v>14.991</v>
      </c>
      <c r="CA118" s="3">
        <v>14.236000000000001</v>
      </c>
      <c r="CB118" s="3">
        <v>13.052</v>
      </c>
      <c r="CC118" s="3">
        <v>13.993</v>
      </c>
      <c r="CD118" s="3">
        <v>13.157</v>
      </c>
    </row>
    <row r="119" spans="1:82" x14ac:dyDescent="0.3">
      <c r="A119" s="48" t="s">
        <v>313</v>
      </c>
      <c r="B119" s="49" t="s">
        <v>344</v>
      </c>
      <c r="C119" s="3">
        <v>37.7871375</v>
      </c>
      <c r="D119" s="3">
        <v>43.202855</v>
      </c>
      <c r="E119" s="3">
        <v>33.49494</v>
      </c>
      <c r="F119" s="3">
        <v>26.841595000000002</v>
      </c>
      <c r="G119" s="3">
        <v>28.000225</v>
      </c>
      <c r="H119" s="3">
        <v>42.298772499999998</v>
      </c>
      <c r="I119" s="48" t="s">
        <v>313</v>
      </c>
      <c r="J119" s="49" t="s">
        <v>344</v>
      </c>
      <c r="K119" s="3">
        <v>33410</v>
      </c>
      <c r="L119" s="48" t="s">
        <v>313</v>
      </c>
      <c r="M119" s="49" t="s">
        <v>344</v>
      </c>
      <c r="N119" s="3">
        <v>2434.129128</v>
      </c>
      <c r="O119" s="3">
        <v>3439.5382220000001</v>
      </c>
      <c r="P119" s="3">
        <v>1801.3173429999999</v>
      </c>
      <c r="Q119" s="3">
        <v>1867.360772</v>
      </c>
      <c r="R119" s="3">
        <v>3097.8773120000001</v>
      </c>
      <c r="S119" s="3">
        <v>4215.673812</v>
      </c>
      <c r="T119" s="3">
        <v>3410.9986020000001</v>
      </c>
      <c r="U119" s="3">
        <v>2896.8925210000002</v>
      </c>
      <c r="V119" s="3">
        <v>2063.7510309999998</v>
      </c>
      <c r="W119" s="3">
        <v>1484.333678</v>
      </c>
      <c r="X119" s="3">
        <v>2804.3613169999999</v>
      </c>
      <c r="Y119" s="3">
        <v>356.6403186</v>
      </c>
      <c r="Z119" s="3">
        <v>1293.5089559999999</v>
      </c>
      <c r="AA119" s="48" t="s">
        <v>313</v>
      </c>
      <c r="AB119" s="49" t="s">
        <v>344</v>
      </c>
      <c r="AC119" s="3">
        <v>0</v>
      </c>
      <c r="AD119" s="3">
        <v>0.28100000000000003</v>
      </c>
      <c r="AE119" s="3">
        <v>0</v>
      </c>
      <c r="AF119" s="3">
        <v>0.35099999999999998</v>
      </c>
      <c r="AG119" s="3">
        <v>0</v>
      </c>
      <c r="AH119" s="3">
        <v>0.35199999999999998</v>
      </c>
      <c r="AI119" s="3">
        <v>0</v>
      </c>
      <c r="AJ119" s="3">
        <v>0.253</v>
      </c>
      <c r="AK119" s="3">
        <v>0</v>
      </c>
      <c r="AL119" s="3">
        <v>0.39300000000000002</v>
      </c>
      <c r="AM119" s="3">
        <v>0</v>
      </c>
      <c r="AN119" s="3">
        <v>0.58499999999999996</v>
      </c>
      <c r="AO119" s="3">
        <v>0</v>
      </c>
      <c r="AP119" s="3">
        <v>0.58499999999999996</v>
      </c>
      <c r="AQ119" s="3">
        <v>0</v>
      </c>
      <c r="AR119" s="3">
        <v>0.157</v>
      </c>
      <c r="AS119" s="3">
        <v>0</v>
      </c>
      <c r="AT119" s="3">
        <v>0.13100000000000001</v>
      </c>
      <c r="AU119" s="3">
        <v>0</v>
      </c>
      <c r="AV119" s="3">
        <v>0.114</v>
      </c>
      <c r="AW119" s="3">
        <v>0</v>
      </c>
      <c r="AX119" s="3">
        <v>0.29499999999999998</v>
      </c>
      <c r="AY119" s="3">
        <v>0</v>
      </c>
      <c r="AZ119" s="3">
        <v>0.16200000000000001</v>
      </c>
      <c r="BA119" s="3">
        <v>0</v>
      </c>
      <c r="BB119" s="3">
        <v>0.216</v>
      </c>
      <c r="BC119" s="3">
        <v>0.35849999999999999</v>
      </c>
      <c r="BD119" s="3">
        <v>0.3</v>
      </c>
      <c r="BE119" s="3">
        <v>0.23749999999999999</v>
      </c>
      <c r="BF119" s="3">
        <v>0.37933333299999999</v>
      </c>
      <c r="BG119" s="3">
        <v>0.449583334</v>
      </c>
      <c r="BH119" s="3">
        <v>0.434</v>
      </c>
      <c r="BI119" s="3">
        <v>0.35549999999999998</v>
      </c>
      <c r="BJ119" s="3">
        <v>0.54066666699999999</v>
      </c>
      <c r="BK119" s="3">
        <v>0.66849999999999998</v>
      </c>
      <c r="BL119" s="3">
        <v>0.64366666699999997</v>
      </c>
      <c r="BM119" s="3">
        <v>0.01</v>
      </c>
      <c r="BN119" s="3">
        <v>0.22033333299999999</v>
      </c>
      <c r="BO119" s="3">
        <v>0.25</v>
      </c>
      <c r="BP119" s="48" t="s">
        <v>313</v>
      </c>
      <c r="BQ119" s="49" t="s">
        <v>344</v>
      </c>
      <c r="BR119" s="3">
        <v>12.202999999999999</v>
      </c>
      <c r="BS119" s="3">
        <v>12.948</v>
      </c>
      <c r="BT119" s="3">
        <v>12.01</v>
      </c>
      <c r="BU119" s="3">
        <v>11.82</v>
      </c>
      <c r="BV119" s="3">
        <v>13.233000000000001</v>
      </c>
      <c r="BW119" s="3">
        <v>15.409000000000001</v>
      </c>
      <c r="BX119" s="3">
        <v>12.021000000000001</v>
      </c>
      <c r="BY119" s="3">
        <v>14.48</v>
      </c>
      <c r="BZ119" s="3">
        <v>14.484999999999999</v>
      </c>
      <c r="CA119" s="3">
        <v>13.742000000000001</v>
      </c>
      <c r="CB119" s="3">
        <v>12.837999999999999</v>
      </c>
      <c r="CC119" s="3">
        <v>13.464</v>
      </c>
      <c r="CD119" s="3">
        <v>12.698</v>
      </c>
    </row>
    <row r="120" spans="1:82" x14ac:dyDescent="0.3">
      <c r="A120" s="48" t="s">
        <v>313</v>
      </c>
      <c r="B120" s="49" t="s">
        <v>345</v>
      </c>
      <c r="C120" s="3">
        <v>34.8730075</v>
      </c>
      <c r="D120" s="3">
        <v>36.663617500000001</v>
      </c>
      <c r="E120" s="3">
        <v>33.530050000000003</v>
      </c>
      <c r="F120" s="3">
        <v>26.086729999999999</v>
      </c>
      <c r="G120" s="3">
        <v>26.086729999999999</v>
      </c>
      <c r="H120" s="3">
        <v>34.416577500000002</v>
      </c>
      <c r="I120" s="48" t="s">
        <v>313</v>
      </c>
      <c r="J120" s="49" t="s">
        <v>345</v>
      </c>
      <c r="K120" s="3">
        <v>29461</v>
      </c>
      <c r="L120" s="48" t="s">
        <v>313</v>
      </c>
      <c r="M120" s="49" t="s">
        <v>345</v>
      </c>
      <c r="N120" s="3">
        <v>2032.864785</v>
      </c>
      <c r="O120" s="3">
        <v>2828.9256919999998</v>
      </c>
      <c r="P120" s="3">
        <v>1382.169171</v>
      </c>
      <c r="Q120" s="3">
        <v>1370.4939280000001</v>
      </c>
      <c r="R120" s="3">
        <v>2690.341437</v>
      </c>
      <c r="S120" s="3">
        <v>3635.3327089999998</v>
      </c>
      <c r="T120" s="3">
        <v>3011.0011989999998</v>
      </c>
      <c r="U120" s="3">
        <v>2312.9626790000002</v>
      </c>
      <c r="V120" s="3">
        <v>1705.5937980000001</v>
      </c>
      <c r="W120" s="3">
        <v>1111.631834</v>
      </c>
      <c r="X120" s="3">
        <v>2423.0799659999998</v>
      </c>
      <c r="Y120" s="3">
        <v>271.7896887</v>
      </c>
      <c r="Z120" s="3">
        <v>1053.654616</v>
      </c>
      <c r="AA120" s="48" t="s">
        <v>313</v>
      </c>
      <c r="AB120" s="49" t="s">
        <v>345</v>
      </c>
      <c r="AC120" s="3">
        <v>0</v>
      </c>
      <c r="AD120" s="3">
        <v>0.254</v>
      </c>
      <c r="AE120" s="3">
        <v>0</v>
      </c>
      <c r="AF120" s="3">
        <v>0.34100000000000003</v>
      </c>
      <c r="AG120" s="3">
        <v>0</v>
      </c>
      <c r="AH120" s="3">
        <v>0.36099999999999999</v>
      </c>
      <c r="AI120" s="3">
        <v>0</v>
      </c>
      <c r="AJ120" s="3">
        <v>0.217</v>
      </c>
      <c r="AK120" s="3">
        <v>0</v>
      </c>
      <c r="AL120" s="3">
        <v>0.35799999999999998</v>
      </c>
      <c r="AM120" s="3">
        <v>0</v>
      </c>
      <c r="AN120" s="3">
        <v>0.59699999999999998</v>
      </c>
      <c r="AO120" s="3">
        <v>0</v>
      </c>
      <c r="AP120" s="3">
        <v>0.59699999999999998</v>
      </c>
      <c r="AQ120" s="3">
        <v>0</v>
      </c>
      <c r="AR120" s="3">
        <v>0.14699999999999999</v>
      </c>
      <c r="AS120" s="3">
        <v>0</v>
      </c>
      <c r="AT120" s="3">
        <v>0.11899999999999999</v>
      </c>
      <c r="AU120" s="3">
        <v>0</v>
      </c>
      <c r="AV120" s="3">
        <v>0.10299999999999999</v>
      </c>
      <c r="AW120" s="3">
        <v>0</v>
      </c>
      <c r="AX120" s="3">
        <v>0.309</v>
      </c>
      <c r="AY120" s="3">
        <v>0</v>
      </c>
      <c r="AZ120" s="3">
        <v>0.17399999999999999</v>
      </c>
      <c r="BA120" s="3">
        <v>0</v>
      </c>
      <c r="BB120" s="3">
        <v>0.23499999999999999</v>
      </c>
      <c r="BC120" s="3">
        <v>0.3695</v>
      </c>
      <c r="BD120" s="3">
        <v>0.27100000000000002</v>
      </c>
      <c r="BE120" s="3">
        <v>0.21249999999999999</v>
      </c>
      <c r="BF120" s="3">
        <v>0.41199999999999998</v>
      </c>
      <c r="BG120" s="3">
        <v>0.46608333400000002</v>
      </c>
      <c r="BH120" s="3">
        <v>0.49099999999999999</v>
      </c>
      <c r="BI120" s="3">
        <v>0.39450000000000002</v>
      </c>
      <c r="BJ120" s="3">
        <v>0.56266666700000001</v>
      </c>
      <c r="BK120" s="3">
        <v>0.66500000000000004</v>
      </c>
      <c r="BL120" s="3">
        <v>0.62866666699999996</v>
      </c>
      <c r="BM120" s="3">
        <v>0.01</v>
      </c>
      <c r="BN120" s="3">
        <v>0.24099999999999999</v>
      </c>
      <c r="BO120" s="3">
        <v>0.26900000000000002</v>
      </c>
      <c r="BP120" s="48" t="s">
        <v>313</v>
      </c>
      <c r="BQ120" s="49" t="s">
        <v>345</v>
      </c>
      <c r="BR120" s="3">
        <v>11.635999999999999</v>
      </c>
      <c r="BS120" s="3">
        <v>12.47</v>
      </c>
      <c r="BT120" s="3">
        <v>11.728999999999999</v>
      </c>
      <c r="BU120" s="3">
        <v>11.356999999999999</v>
      </c>
      <c r="BV120" s="3">
        <v>12.598000000000001</v>
      </c>
      <c r="BW120" s="3">
        <v>15.433999999999999</v>
      </c>
      <c r="BX120" s="3">
        <v>11.782999999999999</v>
      </c>
      <c r="BY120" s="3">
        <v>14.25</v>
      </c>
      <c r="BZ120" s="3">
        <v>14.016</v>
      </c>
      <c r="CA120" s="3">
        <v>13.201000000000001</v>
      </c>
      <c r="CB120" s="3">
        <v>12.557</v>
      </c>
      <c r="CC120" s="3">
        <v>12.904999999999999</v>
      </c>
      <c r="CD120" s="3">
        <v>12.291</v>
      </c>
    </row>
    <row r="121" spans="1:82" x14ac:dyDescent="0.3">
      <c r="A121" s="48" t="s">
        <v>313</v>
      </c>
      <c r="B121" s="49" t="s">
        <v>346</v>
      </c>
      <c r="C121" s="3">
        <v>31.853547500000001</v>
      </c>
      <c r="D121" s="3">
        <v>33.249169999999999</v>
      </c>
      <c r="E121" s="3">
        <v>41.693125000000002</v>
      </c>
      <c r="F121" s="3">
        <v>26.6572675</v>
      </c>
      <c r="G121" s="3">
        <v>27.131252499999999</v>
      </c>
      <c r="H121" s="3">
        <v>36.988385000000001</v>
      </c>
      <c r="I121" s="48" t="s">
        <v>313</v>
      </c>
      <c r="J121" s="49" t="s">
        <v>346</v>
      </c>
      <c r="K121" s="3">
        <v>25414.5</v>
      </c>
      <c r="L121" s="48" t="s">
        <v>313</v>
      </c>
      <c r="M121" s="49" t="s">
        <v>346</v>
      </c>
      <c r="N121" s="3">
        <v>1597.6687320000001</v>
      </c>
      <c r="O121" s="3">
        <v>2238.6194839999998</v>
      </c>
      <c r="P121" s="3">
        <v>1029.6515669999999</v>
      </c>
      <c r="Q121" s="3">
        <v>981.12284620000003</v>
      </c>
      <c r="R121" s="3">
        <v>2268.9362120000001</v>
      </c>
      <c r="S121" s="3">
        <v>2839.164143</v>
      </c>
      <c r="T121" s="3">
        <v>2429.308282</v>
      </c>
      <c r="U121" s="3">
        <v>1823.587072</v>
      </c>
      <c r="V121" s="3">
        <v>1265.3793370000001</v>
      </c>
      <c r="W121" s="3">
        <v>792.00171020000005</v>
      </c>
      <c r="X121" s="3">
        <v>1868.471487</v>
      </c>
      <c r="Y121" s="3">
        <v>198.5591239</v>
      </c>
      <c r="Z121" s="3">
        <v>328.68299830000001</v>
      </c>
      <c r="AA121" s="48" t="s">
        <v>313</v>
      </c>
      <c r="AB121" s="49" t="s">
        <v>346</v>
      </c>
      <c r="AC121" s="3">
        <v>0</v>
      </c>
      <c r="AD121" s="3">
        <v>0.222</v>
      </c>
      <c r="AE121" s="3">
        <v>0</v>
      </c>
      <c r="AF121" s="3">
        <v>0.34100000000000003</v>
      </c>
      <c r="AG121" s="3">
        <v>0</v>
      </c>
      <c r="AH121" s="3">
        <v>0.37</v>
      </c>
      <c r="AI121" s="3">
        <v>0</v>
      </c>
      <c r="AJ121" s="3">
        <v>0.18099999999999999</v>
      </c>
      <c r="AK121" s="3">
        <v>0</v>
      </c>
      <c r="AL121" s="3">
        <v>0.32100000000000001</v>
      </c>
      <c r="AM121" s="3">
        <v>0</v>
      </c>
      <c r="AN121" s="3">
        <v>0.58099999999999996</v>
      </c>
      <c r="AO121" s="3">
        <v>0</v>
      </c>
      <c r="AP121" s="3">
        <v>0.58099999999999996</v>
      </c>
      <c r="AQ121" s="3">
        <v>0</v>
      </c>
      <c r="AR121" s="3">
        <v>0.13800000000000001</v>
      </c>
      <c r="AS121" s="3">
        <v>0</v>
      </c>
      <c r="AT121" s="3">
        <v>0.113</v>
      </c>
      <c r="AU121" s="3">
        <v>0</v>
      </c>
      <c r="AV121" s="3">
        <v>9.4E-2</v>
      </c>
      <c r="AW121" s="3">
        <v>0</v>
      </c>
      <c r="AX121" s="3">
        <v>0.31</v>
      </c>
      <c r="AY121" s="3">
        <v>0</v>
      </c>
      <c r="AZ121" s="3">
        <v>0.183</v>
      </c>
      <c r="BA121" s="3">
        <v>0</v>
      </c>
      <c r="BB121" s="3">
        <v>0.25700000000000001</v>
      </c>
      <c r="BC121" s="3">
        <v>0.35599999999999998</v>
      </c>
      <c r="BD121" s="3">
        <v>0.215</v>
      </c>
      <c r="BE121" s="3">
        <v>0.16</v>
      </c>
      <c r="BF121" s="3">
        <v>0.424666667</v>
      </c>
      <c r="BG121" s="3">
        <v>0.46933333399999999</v>
      </c>
      <c r="BH121" s="3">
        <v>0.50800000000000001</v>
      </c>
      <c r="BI121" s="3">
        <v>0.42049999999999998</v>
      </c>
      <c r="BJ121" s="3">
        <v>0.58266666700000003</v>
      </c>
      <c r="BK121" s="3">
        <v>0.67249999999999999</v>
      </c>
      <c r="BL121" s="3">
        <v>0.58133333300000001</v>
      </c>
      <c r="BM121" s="3">
        <v>0.01</v>
      </c>
      <c r="BN121" s="3">
        <v>0.25333333299999999</v>
      </c>
      <c r="BO121" s="3">
        <v>0.27700000000000002</v>
      </c>
      <c r="BP121" s="48" t="s">
        <v>313</v>
      </c>
      <c r="BQ121" s="49" t="s">
        <v>346</v>
      </c>
      <c r="BR121" s="3">
        <v>11.196</v>
      </c>
      <c r="BS121" s="3">
        <v>12.157999999999999</v>
      </c>
      <c r="BT121" s="3">
        <v>11.507999999999999</v>
      </c>
      <c r="BU121" s="3">
        <v>10.94</v>
      </c>
      <c r="BV121" s="3">
        <v>12.135999999999999</v>
      </c>
      <c r="BW121" s="3">
        <v>15.457000000000001</v>
      </c>
      <c r="BX121" s="3">
        <v>11.432</v>
      </c>
      <c r="BY121" s="3">
        <v>14.127000000000001</v>
      </c>
      <c r="BZ121" s="3">
        <v>13.792</v>
      </c>
      <c r="CA121" s="3">
        <v>12.598000000000001</v>
      </c>
      <c r="CB121" s="3">
        <v>12.215</v>
      </c>
      <c r="CC121" s="3">
        <v>12.475</v>
      </c>
      <c r="CD121" s="3">
        <v>11.930999999999999</v>
      </c>
    </row>
    <row r="122" spans="1:82" x14ac:dyDescent="0.3">
      <c r="A122" s="48" t="s">
        <v>313</v>
      </c>
      <c r="B122" s="49" t="s">
        <v>347</v>
      </c>
      <c r="C122" s="3">
        <v>28.052890000000001</v>
      </c>
      <c r="D122" s="3">
        <v>30.370149999999999</v>
      </c>
      <c r="E122" s="3">
        <v>35.022224999999999</v>
      </c>
      <c r="F122" s="3">
        <v>26.367609999999999</v>
      </c>
      <c r="G122" s="3">
        <v>26.367609999999999</v>
      </c>
      <c r="H122" s="3">
        <v>32.415307499999997</v>
      </c>
      <c r="I122" s="48" t="s">
        <v>313</v>
      </c>
      <c r="J122" s="49" t="s">
        <v>347</v>
      </c>
      <c r="K122" s="3">
        <v>23997</v>
      </c>
      <c r="L122" s="48" t="s">
        <v>313</v>
      </c>
      <c r="M122" s="49" t="s">
        <v>347</v>
      </c>
      <c r="N122" s="3">
        <v>1187.1766319999999</v>
      </c>
      <c r="O122" s="3">
        <v>1708.6927430000001</v>
      </c>
      <c r="P122" s="3">
        <v>736.35012570000004</v>
      </c>
      <c r="Q122" s="3">
        <v>692.02998200000002</v>
      </c>
      <c r="R122" s="3">
        <v>1715.766269</v>
      </c>
      <c r="S122" s="3">
        <v>2016.0217680000001</v>
      </c>
      <c r="T122" s="3">
        <v>1698.6068540000001</v>
      </c>
      <c r="U122" s="3">
        <v>1292.9603549999999</v>
      </c>
      <c r="V122" s="3">
        <v>913.04779259999998</v>
      </c>
      <c r="W122" s="3">
        <v>506.11867860000001</v>
      </c>
      <c r="X122" s="3">
        <v>1413.0153359999999</v>
      </c>
      <c r="Y122" s="3">
        <v>122.4158309</v>
      </c>
      <c r="Z122" s="3">
        <v>239.89497230000001</v>
      </c>
      <c r="AA122" s="48" t="s">
        <v>313</v>
      </c>
      <c r="AB122" s="49" t="s">
        <v>347</v>
      </c>
      <c r="AC122" s="3">
        <v>0</v>
      </c>
      <c r="AD122" s="3">
        <v>0.19900000000000001</v>
      </c>
      <c r="AE122" s="3">
        <v>0</v>
      </c>
      <c r="AF122" s="3">
        <v>0.33</v>
      </c>
      <c r="AG122" s="3">
        <v>0</v>
      </c>
      <c r="AH122" s="3">
        <v>0.376</v>
      </c>
      <c r="AI122" s="3">
        <v>0</v>
      </c>
      <c r="AJ122" s="3">
        <v>0.159</v>
      </c>
      <c r="AK122" s="3">
        <v>0</v>
      </c>
      <c r="AL122" s="3">
        <v>0.28499999999999998</v>
      </c>
      <c r="AM122" s="3">
        <v>0</v>
      </c>
      <c r="AN122" s="3">
        <v>0.59899999999999998</v>
      </c>
      <c r="AO122" s="3">
        <v>0</v>
      </c>
      <c r="AP122" s="3">
        <v>0.59899999999999998</v>
      </c>
      <c r="AQ122" s="3">
        <v>0</v>
      </c>
      <c r="AR122" s="3">
        <v>0.13400000000000001</v>
      </c>
      <c r="AS122" s="3">
        <v>0</v>
      </c>
      <c r="AT122" s="3">
        <v>0.121</v>
      </c>
      <c r="AU122" s="3">
        <v>0</v>
      </c>
      <c r="AV122" s="3">
        <v>0.11799999999999999</v>
      </c>
      <c r="AW122" s="3">
        <v>0</v>
      </c>
      <c r="AX122" s="3">
        <v>0.314</v>
      </c>
      <c r="AY122" s="3">
        <v>0</v>
      </c>
      <c r="AZ122" s="3">
        <v>0.20499999999999999</v>
      </c>
      <c r="BA122" s="3">
        <v>0</v>
      </c>
      <c r="BB122" s="3">
        <v>0.28100000000000003</v>
      </c>
      <c r="BC122" s="3">
        <v>0.33750000000000002</v>
      </c>
      <c r="BD122" s="3">
        <v>0.1545</v>
      </c>
      <c r="BE122" s="3">
        <v>0.1135</v>
      </c>
      <c r="BF122" s="3">
        <v>0.43766666700000001</v>
      </c>
      <c r="BG122" s="3">
        <v>0.46975</v>
      </c>
      <c r="BH122" s="3">
        <v>0.51700000000000002</v>
      </c>
      <c r="BI122" s="3">
        <v>0.4345</v>
      </c>
      <c r="BJ122" s="3">
        <v>0.60199999999999998</v>
      </c>
      <c r="BK122" s="3">
        <v>0.68</v>
      </c>
      <c r="BL122" s="3">
        <v>0.53866666699999999</v>
      </c>
      <c r="BM122" s="3">
        <v>0.01</v>
      </c>
      <c r="BN122" s="3">
        <v>0.26</v>
      </c>
      <c r="BO122" s="3">
        <v>0.27400000000000002</v>
      </c>
      <c r="BP122" s="48" t="s">
        <v>313</v>
      </c>
      <c r="BQ122" s="49" t="s">
        <v>347</v>
      </c>
      <c r="BR122" s="3">
        <v>10.827</v>
      </c>
      <c r="BS122" s="3">
        <v>11.814</v>
      </c>
      <c r="BT122" s="3">
        <v>11.298999999999999</v>
      </c>
      <c r="BU122" s="3">
        <v>10.738</v>
      </c>
      <c r="BV122" s="3">
        <v>11.863</v>
      </c>
      <c r="BW122" s="3">
        <v>15.489000000000001</v>
      </c>
      <c r="BX122" s="3">
        <v>11.16</v>
      </c>
      <c r="BY122" s="3">
        <v>14.025</v>
      </c>
      <c r="BZ122" s="3">
        <v>13.672000000000001</v>
      </c>
      <c r="CA122" s="3">
        <v>12.03</v>
      </c>
      <c r="CB122" s="3">
        <v>11.798999999999999</v>
      </c>
      <c r="CC122" s="3">
        <v>12.111000000000001</v>
      </c>
      <c r="CD122" s="3">
        <v>11.651999999999999</v>
      </c>
    </row>
    <row r="123" spans="1:82" x14ac:dyDescent="0.3">
      <c r="A123" s="48" t="s">
        <v>314</v>
      </c>
      <c r="B123" s="49" t="s">
        <v>324</v>
      </c>
      <c r="C123" s="3">
        <v>30.322887170000001</v>
      </c>
      <c r="D123" s="3">
        <v>39.917831999999997</v>
      </c>
      <c r="E123" s="3">
        <v>23.965006670000001</v>
      </c>
      <c r="F123" s="3">
        <v>22.328590169999998</v>
      </c>
      <c r="G123" s="3">
        <v>9.5860026670000007</v>
      </c>
      <c r="H123" s="3">
        <v>40.275518669999997</v>
      </c>
      <c r="I123" s="48" t="s">
        <v>314</v>
      </c>
      <c r="J123" s="49" t="s">
        <v>324</v>
      </c>
      <c r="K123" s="3">
        <v>22489</v>
      </c>
      <c r="L123" s="48" t="s">
        <v>314</v>
      </c>
      <c r="M123" s="49" t="s">
        <v>324</v>
      </c>
      <c r="N123" s="3">
        <v>1165.9349400000001</v>
      </c>
      <c r="O123" s="3">
        <v>1276.350195</v>
      </c>
      <c r="P123" s="3">
        <v>697.58914800000002</v>
      </c>
      <c r="Q123" s="3">
        <v>809.57590230000005</v>
      </c>
      <c r="R123" s="3">
        <v>1617.256805</v>
      </c>
      <c r="S123" s="3">
        <v>1684.8727980000001</v>
      </c>
      <c r="T123" s="3">
        <v>1235.948619</v>
      </c>
      <c r="U123" s="3">
        <v>1450.745226</v>
      </c>
      <c r="V123" s="3">
        <v>935.39383329999998</v>
      </c>
      <c r="W123" s="3">
        <v>459.12948399999999</v>
      </c>
      <c r="X123" s="3">
        <v>1036.497668</v>
      </c>
      <c r="Y123" s="3">
        <v>112.97968729999999</v>
      </c>
      <c r="Z123" s="3">
        <v>28.647373259999998</v>
      </c>
      <c r="AA123" s="48" t="s">
        <v>314</v>
      </c>
      <c r="AB123" s="49" t="s">
        <v>324</v>
      </c>
      <c r="AC123" s="3">
        <v>0</v>
      </c>
      <c r="AD123" s="3">
        <v>0.46899999999999997</v>
      </c>
      <c r="AE123" s="3">
        <v>0</v>
      </c>
      <c r="AF123" s="3">
        <v>0.46500000000000002</v>
      </c>
      <c r="AG123" s="3">
        <v>0</v>
      </c>
      <c r="AH123" s="3">
        <v>0.54400000000000004</v>
      </c>
      <c r="AI123" s="3">
        <v>0</v>
      </c>
      <c r="AJ123" s="3">
        <v>0.42</v>
      </c>
      <c r="AK123" s="3">
        <v>0</v>
      </c>
      <c r="AL123" s="3">
        <v>0.87</v>
      </c>
      <c r="AM123" s="3">
        <v>0</v>
      </c>
      <c r="AN123" s="3">
        <v>0.81599999999999995</v>
      </c>
      <c r="AO123" s="3">
        <v>0</v>
      </c>
      <c r="AP123" s="3">
        <v>0.81599999999999995</v>
      </c>
      <c r="AQ123" s="3">
        <v>0</v>
      </c>
      <c r="AR123" s="3">
        <v>0.56299999999999994</v>
      </c>
      <c r="AS123" s="3">
        <v>0</v>
      </c>
      <c r="AT123" s="3">
        <v>0.48299999999999998</v>
      </c>
      <c r="AU123" s="3">
        <v>0</v>
      </c>
      <c r="AV123" s="3">
        <v>0.56399999999999995</v>
      </c>
      <c r="AW123" s="3">
        <v>0</v>
      </c>
      <c r="AX123" s="3">
        <v>0.56399999999999995</v>
      </c>
      <c r="AY123" s="3">
        <v>0</v>
      </c>
      <c r="AZ123" s="3">
        <v>0.66700000000000004</v>
      </c>
      <c r="BA123" s="3">
        <v>0</v>
      </c>
      <c r="BB123" s="3">
        <v>0.68</v>
      </c>
      <c r="BC123" s="3">
        <v>0.45050000000000001</v>
      </c>
      <c r="BD123" s="3">
        <v>0.19800000000000001</v>
      </c>
      <c r="BE123" s="3">
        <v>0.192</v>
      </c>
      <c r="BF123" s="3">
        <v>0.27433333300000001</v>
      </c>
      <c r="BG123" s="3">
        <v>0.56558333400000005</v>
      </c>
      <c r="BH123" s="3">
        <v>0.29199999999999998</v>
      </c>
      <c r="BI123" s="3">
        <v>0.1895</v>
      </c>
      <c r="BJ123" s="3">
        <v>0.680666667</v>
      </c>
      <c r="BK123" s="3">
        <v>0.74150000000000005</v>
      </c>
      <c r="BL123" s="3">
        <v>0.97533333300000002</v>
      </c>
      <c r="BM123" s="3">
        <v>0.01</v>
      </c>
      <c r="BN123" s="3">
        <v>0.70899999999999996</v>
      </c>
      <c r="BO123" s="3">
        <v>0.96599999999999997</v>
      </c>
      <c r="BP123" s="48" t="s">
        <v>314</v>
      </c>
      <c r="BQ123" s="49" t="s">
        <v>324</v>
      </c>
      <c r="BR123" s="3">
        <v>8.9280000000000008</v>
      </c>
      <c r="BS123" s="3">
        <v>9.5410000000000004</v>
      </c>
      <c r="BT123" s="3">
        <v>9.4290000000000003</v>
      </c>
      <c r="BU123" s="3">
        <v>10.347</v>
      </c>
      <c r="BV123" s="3">
        <v>8.5399999999999991</v>
      </c>
      <c r="BW123" s="3">
        <v>13.704000000000001</v>
      </c>
      <c r="BX123" s="3">
        <v>10.664</v>
      </c>
      <c r="BY123" s="3">
        <v>11.974</v>
      </c>
      <c r="BZ123" s="3">
        <v>10.891999999999999</v>
      </c>
      <c r="CA123" s="3">
        <v>9.8030000000000008</v>
      </c>
      <c r="CB123" s="3">
        <v>9.9220000000000006</v>
      </c>
      <c r="CC123" s="3">
        <v>12.313000000000001</v>
      </c>
      <c r="CD123" s="3">
        <v>11.911</v>
      </c>
    </row>
    <row r="124" spans="1:82" x14ac:dyDescent="0.3">
      <c r="A124" s="48" t="s">
        <v>314</v>
      </c>
      <c r="B124" s="49" t="s">
        <v>325</v>
      </c>
      <c r="C124" s="3">
        <v>30.322887170000001</v>
      </c>
      <c r="D124" s="3">
        <v>37.467678329999998</v>
      </c>
      <c r="E124" s="3">
        <v>22.972426169999999</v>
      </c>
      <c r="F124" s="3">
        <v>22.239168500000002</v>
      </c>
      <c r="G124" s="3">
        <v>9.8721519999999998</v>
      </c>
      <c r="H124" s="3">
        <v>24.05442833</v>
      </c>
      <c r="I124" s="48" t="s">
        <v>314</v>
      </c>
      <c r="J124" s="49" t="s">
        <v>325</v>
      </c>
      <c r="K124" s="3">
        <v>21939</v>
      </c>
      <c r="L124" s="48" t="s">
        <v>314</v>
      </c>
      <c r="M124" s="49" t="s">
        <v>325</v>
      </c>
      <c r="N124" s="3">
        <v>811.07691169999998</v>
      </c>
      <c r="O124" s="3">
        <v>911.74068139999997</v>
      </c>
      <c r="P124" s="3">
        <v>597.19347700000003</v>
      </c>
      <c r="Q124" s="3">
        <v>733.50565449999999</v>
      </c>
      <c r="R124" s="3">
        <v>1137.843406</v>
      </c>
      <c r="S124" s="3">
        <v>1135.839013</v>
      </c>
      <c r="T124" s="3">
        <v>861.00252079999996</v>
      </c>
      <c r="U124" s="3">
        <v>949.07296610000003</v>
      </c>
      <c r="V124" s="3">
        <v>697.78852700000004</v>
      </c>
      <c r="W124" s="3">
        <v>337.32687449999997</v>
      </c>
      <c r="X124" s="3">
        <v>640.99097259999996</v>
      </c>
      <c r="Y124" s="3">
        <v>81.345855940000007</v>
      </c>
      <c r="Z124" s="3">
        <v>75.595894999999999</v>
      </c>
      <c r="AA124" s="48" t="s">
        <v>314</v>
      </c>
      <c r="AB124" s="49" t="s">
        <v>325</v>
      </c>
      <c r="AC124" s="3">
        <v>0</v>
      </c>
      <c r="AD124" s="3">
        <v>0.47899999999999998</v>
      </c>
      <c r="AE124" s="3">
        <v>0</v>
      </c>
      <c r="AF124" s="3">
        <v>0.55000000000000004</v>
      </c>
      <c r="AG124" s="3">
        <v>0</v>
      </c>
      <c r="AH124" s="3">
        <v>0.56899999999999995</v>
      </c>
      <c r="AI124" s="3">
        <v>0</v>
      </c>
      <c r="AJ124" s="3">
        <v>0.46600000000000003</v>
      </c>
      <c r="AK124" s="3">
        <v>0</v>
      </c>
      <c r="AL124" s="3">
        <v>0.91900000000000004</v>
      </c>
      <c r="AM124" s="3">
        <v>0</v>
      </c>
      <c r="AN124" s="3">
        <v>0.82099999999999995</v>
      </c>
      <c r="AO124" s="3">
        <v>0</v>
      </c>
      <c r="AP124" s="3">
        <v>0.82099999999999995</v>
      </c>
      <c r="AQ124" s="3">
        <v>0</v>
      </c>
      <c r="AR124" s="3">
        <v>0.63100000000000001</v>
      </c>
      <c r="AS124" s="3">
        <v>0</v>
      </c>
      <c r="AT124" s="3">
        <v>0.54900000000000004</v>
      </c>
      <c r="AU124" s="3">
        <v>0</v>
      </c>
      <c r="AV124" s="3">
        <v>0.60099999999999998</v>
      </c>
      <c r="AW124" s="3">
        <v>0</v>
      </c>
      <c r="AX124" s="3">
        <v>0.52400000000000002</v>
      </c>
      <c r="AY124" s="3">
        <v>0</v>
      </c>
      <c r="AZ124" s="3">
        <v>0.69399999999999995</v>
      </c>
      <c r="BA124" s="3">
        <v>0</v>
      </c>
      <c r="BB124" s="3">
        <v>0.68500000000000005</v>
      </c>
      <c r="BC124" s="3">
        <v>0.46750000000000003</v>
      </c>
      <c r="BD124" s="3">
        <v>0.14399999999999999</v>
      </c>
      <c r="BE124" s="3">
        <v>0.152</v>
      </c>
      <c r="BF124" s="3">
        <v>0.36199999999999999</v>
      </c>
      <c r="BG124" s="3">
        <v>0.56025000000000003</v>
      </c>
      <c r="BH124" s="3">
        <v>0.41499999999999998</v>
      </c>
      <c r="BI124" s="3">
        <v>0.23649999999999999</v>
      </c>
      <c r="BJ124" s="3">
        <v>0.65300000000000002</v>
      </c>
      <c r="BK124" s="3">
        <v>0.8135</v>
      </c>
      <c r="BL124" s="3">
        <v>0.95899999999999996</v>
      </c>
      <c r="BM124" s="3">
        <v>0.01</v>
      </c>
      <c r="BN124" s="3">
        <v>0.69766666700000002</v>
      </c>
      <c r="BO124" s="3">
        <v>0.96099999999999997</v>
      </c>
      <c r="BP124" s="48" t="s">
        <v>314</v>
      </c>
      <c r="BQ124" s="49" t="s">
        <v>325</v>
      </c>
      <c r="BR124" s="3">
        <v>8.9559999999999995</v>
      </c>
      <c r="BS124" s="3">
        <v>9.6370000000000005</v>
      </c>
      <c r="BT124" s="3">
        <v>9.4450000000000003</v>
      </c>
      <c r="BU124" s="3">
        <v>11.403</v>
      </c>
      <c r="BV124" s="3">
        <v>8.5419999999999998</v>
      </c>
      <c r="BW124" s="3">
        <v>13.73</v>
      </c>
      <c r="BX124" s="3">
        <v>11.03</v>
      </c>
      <c r="BY124" s="3">
        <v>11.968</v>
      </c>
      <c r="BZ124" s="3">
        <v>10.872999999999999</v>
      </c>
      <c r="CA124" s="3">
        <v>10.545999999999999</v>
      </c>
      <c r="CB124" s="3">
        <v>10.013999999999999</v>
      </c>
      <c r="CC124" s="3">
        <v>12.661</v>
      </c>
      <c r="CD124" s="3">
        <v>12.288</v>
      </c>
    </row>
    <row r="125" spans="1:82" x14ac:dyDescent="0.3">
      <c r="A125" s="48" t="s">
        <v>314</v>
      </c>
      <c r="B125" s="49" t="s">
        <v>326</v>
      </c>
      <c r="C125" s="3">
        <v>30.179812500000001</v>
      </c>
      <c r="D125" s="3">
        <v>32.129204829999999</v>
      </c>
      <c r="E125" s="3">
        <v>31.90565067</v>
      </c>
      <c r="F125" s="3">
        <v>22.36435883</v>
      </c>
      <c r="G125" s="3">
        <v>8.0479500000000002</v>
      </c>
      <c r="H125" s="3">
        <v>31.90565067</v>
      </c>
      <c r="I125" s="48" t="s">
        <v>314</v>
      </c>
      <c r="J125" s="49" t="s">
        <v>326</v>
      </c>
      <c r="K125" s="3">
        <v>20932.5</v>
      </c>
      <c r="L125" s="48" t="s">
        <v>314</v>
      </c>
      <c r="M125" s="49" t="s">
        <v>326</v>
      </c>
      <c r="N125" s="3">
        <v>679.47020259999999</v>
      </c>
      <c r="O125" s="3">
        <v>777.77549320000003</v>
      </c>
      <c r="P125" s="3">
        <v>522.35944259999997</v>
      </c>
      <c r="Q125" s="3">
        <v>662.60902299999998</v>
      </c>
      <c r="R125" s="3">
        <v>897.72382279999999</v>
      </c>
      <c r="S125" s="3">
        <v>923.90560849999997</v>
      </c>
      <c r="T125" s="3">
        <v>652.61199869999996</v>
      </c>
      <c r="U125" s="3">
        <v>770.64187230000005</v>
      </c>
      <c r="V125" s="3">
        <v>593.87699150000003</v>
      </c>
      <c r="W125" s="3">
        <v>308.63419959999999</v>
      </c>
      <c r="X125" s="3">
        <v>489.69521880000002</v>
      </c>
      <c r="Y125" s="3">
        <v>63.059153530000003</v>
      </c>
      <c r="Z125" s="3">
        <v>111.7653279</v>
      </c>
      <c r="AA125" s="48" t="s">
        <v>314</v>
      </c>
      <c r="AB125" s="49" t="s">
        <v>326</v>
      </c>
      <c r="AC125" s="3">
        <v>0</v>
      </c>
      <c r="AD125" s="3">
        <v>0.505</v>
      </c>
      <c r="AE125" s="3">
        <v>0</v>
      </c>
      <c r="AF125" s="3">
        <v>0.57899999999999996</v>
      </c>
      <c r="AG125" s="3">
        <v>0</v>
      </c>
      <c r="AH125" s="3">
        <v>0.59599999999999997</v>
      </c>
      <c r="AI125" s="3">
        <v>0</v>
      </c>
      <c r="AJ125" s="3">
        <v>0.51300000000000001</v>
      </c>
      <c r="AK125" s="3">
        <v>0</v>
      </c>
      <c r="AL125" s="3">
        <v>0.95299999999999996</v>
      </c>
      <c r="AM125" s="3">
        <v>0</v>
      </c>
      <c r="AN125" s="3">
        <v>0.86099999999999999</v>
      </c>
      <c r="AO125" s="3">
        <v>0</v>
      </c>
      <c r="AP125" s="3">
        <v>0.86099999999999999</v>
      </c>
      <c r="AQ125" s="3">
        <v>0</v>
      </c>
      <c r="AR125" s="3">
        <v>0.69399999999999995</v>
      </c>
      <c r="AS125" s="3">
        <v>0</v>
      </c>
      <c r="AT125" s="3">
        <v>0.6</v>
      </c>
      <c r="AU125" s="3">
        <v>0</v>
      </c>
      <c r="AV125" s="3">
        <v>0.63100000000000001</v>
      </c>
      <c r="AW125" s="3">
        <v>0</v>
      </c>
      <c r="AX125" s="3">
        <v>0.56599999999999995</v>
      </c>
      <c r="AY125" s="3">
        <v>0</v>
      </c>
      <c r="AZ125" s="3">
        <v>0.72299999999999998</v>
      </c>
      <c r="BA125" s="3">
        <v>0</v>
      </c>
      <c r="BB125" s="3">
        <v>0.71599999999999997</v>
      </c>
      <c r="BC125" s="3">
        <v>0.47399999999999998</v>
      </c>
      <c r="BD125" s="3">
        <v>0.1305</v>
      </c>
      <c r="BE125" s="3">
        <v>0.1255</v>
      </c>
      <c r="BF125" s="3">
        <v>0.44400000000000001</v>
      </c>
      <c r="BG125" s="3">
        <v>0.56533333399999997</v>
      </c>
      <c r="BH125" s="3">
        <v>0.57099999999999995</v>
      </c>
      <c r="BI125" s="3">
        <v>0.30199999999999999</v>
      </c>
      <c r="BJ125" s="3">
        <v>0.65666666699999998</v>
      </c>
      <c r="BK125" s="3">
        <v>0.86750000000000005</v>
      </c>
      <c r="BL125" s="3">
        <v>0.93700000000000006</v>
      </c>
      <c r="BM125" s="3">
        <v>0.01</v>
      </c>
      <c r="BN125" s="3">
        <v>0.67533333299999998</v>
      </c>
      <c r="BO125" s="3">
        <v>0.95</v>
      </c>
      <c r="BP125" s="48" t="s">
        <v>314</v>
      </c>
      <c r="BQ125" s="49" t="s">
        <v>326</v>
      </c>
      <c r="BR125" s="3">
        <v>8.8849999999999998</v>
      </c>
      <c r="BS125" s="3">
        <v>9.7059999999999995</v>
      </c>
      <c r="BT125" s="3">
        <v>9.68</v>
      </c>
      <c r="BU125" s="3">
        <v>12.239000000000001</v>
      </c>
      <c r="BV125" s="3">
        <v>8.8689999999999998</v>
      </c>
      <c r="BW125" s="3">
        <v>13.465</v>
      </c>
      <c r="BX125" s="3">
        <v>11.028</v>
      </c>
      <c r="BY125" s="3">
        <v>12.02</v>
      </c>
      <c r="BZ125" s="3">
        <v>11.29</v>
      </c>
      <c r="CA125" s="3">
        <v>11.167</v>
      </c>
      <c r="CB125" s="3">
        <v>10.331</v>
      </c>
      <c r="CC125" s="3">
        <v>13.016</v>
      </c>
      <c r="CD125" s="3">
        <v>12.59</v>
      </c>
    </row>
    <row r="126" spans="1:82" x14ac:dyDescent="0.3">
      <c r="A126" s="48" t="s">
        <v>314</v>
      </c>
      <c r="B126" s="49" t="s">
        <v>327</v>
      </c>
      <c r="C126" s="3">
        <v>30.179812500000001</v>
      </c>
      <c r="D126" s="3">
        <v>34.50782117</v>
      </c>
      <c r="E126" s="3">
        <v>27.541873330000001</v>
      </c>
      <c r="F126" s="3">
        <v>23.428476669999998</v>
      </c>
      <c r="G126" s="3">
        <v>7.9942970000000004</v>
      </c>
      <c r="H126" s="3">
        <v>27.541873330000001</v>
      </c>
      <c r="I126" s="48" t="s">
        <v>314</v>
      </c>
      <c r="J126" s="49" t="s">
        <v>327</v>
      </c>
      <c r="K126" s="3">
        <v>20726</v>
      </c>
      <c r="L126" s="48" t="s">
        <v>314</v>
      </c>
      <c r="M126" s="49" t="s">
        <v>327</v>
      </c>
      <c r="N126" s="3">
        <v>636.44678780000004</v>
      </c>
      <c r="O126" s="3">
        <v>609.46813069999996</v>
      </c>
      <c r="P126" s="3">
        <v>480.48943989999998</v>
      </c>
      <c r="Q126" s="3">
        <v>642.18963870000005</v>
      </c>
      <c r="R126" s="3">
        <v>739.89739599999996</v>
      </c>
      <c r="S126" s="3">
        <v>781.48802260000002</v>
      </c>
      <c r="T126" s="3">
        <v>510.99668380000003</v>
      </c>
      <c r="U126" s="3">
        <v>662.58033939999996</v>
      </c>
      <c r="V126" s="3">
        <v>506.67072999999999</v>
      </c>
      <c r="W126" s="3">
        <v>292.63639189999998</v>
      </c>
      <c r="X126" s="3">
        <v>404.05523269999998</v>
      </c>
      <c r="Y126" s="3">
        <v>62.954811040000003</v>
      </c>
      <c r="Z126" s="3">
        <v>131.5391013</v>
      </c>
      <c r="AA126" s="48" t="s">
        <v>314</v>
      </c>
      <c r="AB126" s="49" t="s">
        <v>327</v>
      </c>
      <c r="AC126" s="3">
        <v>0</v>
      </c>
      <c r="AD126" s="3">
        <v>0.64</v>
      </c>
      <c r="AE126" s="3">
        <v>0</v>
      </c>
      <c r="AF126" s="3">
        <v>0.625</v>
      </c>
      <c r="AG126" s="3">
        <v>0</v>
      </c>
      <c r="AH126" s="3">
        <v>0.71099999999999997</v>
      </c>
      <c r="AI126" s="3">
        <v>0</v>
      </c>
      <c r="AJ126" s="3">
        <v>0.65100000000000002</v>
      </c>
      <c r="AK126" s="3">
        <v>0</v>
      </c>
      <c r="AL126" s="3">
        <v>0.96699999999999997</v>
      </c>
      <c r="AM126" s="3">
        <v>0</v>
      </c>
      <c r="AN126" s="3">
        <v>0.874</v>
      </c>
      <c r="AO126" s="3">
        <v>0</v>
      </c>
      <c r="AP126" s="3">
        <v>0.874</v>
      </c>
      <c r="AQ126" s="3">
        <v>0</v>
      </c>
      <c r="AR126" s="3">
        <v>0.75700000000000001</v>
      </c>
      <c r="AS126" s="3">
        <v>0</v>
      </c>
      <c r="AT126" s="3">
        <v>0.7</v>
      </c>
      <c r="AU126" s="3">
        <v>0</v>
      </c>
      <c r="AV126" s="3">
        <v>0.67700000000000005</v>
      </c>
      <c r="AW126" s="3">
        <v>0</v>
      </c>
      <c r="AX126" s="3">
        <v>0.624</v>
      </c>
      <c r="AY126" s="3">
        <v>0</v>
      </c>
      <c r="AZ126" s="3">
        <v>0.746</v>
      </c>
      <c r="BA126" s="3">
        <v>0</v>
      </c>
      <c r="BB126" s="3">
        <v>0.69599999999999995</v>
      </c>
      <c r="BC126" s="3">
        <v>0.47</v>
      </c>
      <c r="BD126" s="3">
        <v>0.113</v>
      </c>
      <c r="BE126" s="3">
        <v>9.6500000000000002E-2</v>
      </c>
      <c r="BF126" s="3">
        <v>0.49733333299999999</v>
      </c>
      <c r="BG126" s="3">
        <v>0.58083333400000003</v>
      </c>
      <c r="BH126" s="3">
        <v>0.68400000000000005</v>
      </c>
      <c r="BI126" s="3">
        <v>0.38300000000000001</v>
      </c>
      <c r="BJ126" s="3">
        <v>0.69166666700000001</v>
      </c>
      <c r="BK126" s="3">
        <v>0.89649999999999996</v>
      </c>
      <c r="BL126" s="3">
        <v>0.91766666699999999</v>
      </c>
      <c r="BM126" s="3">
        <v>0.01</v>
      </c>
      <c r="BN126" s="3">
        <v>0.65033333299999996</v>
      </c>
      <c r="BO126" s="3">
        <v>0.93700000000000006</v>
      </c>
      <c r="BP126" s="48" t="s">
        <v>314</v>
      </c>
      <c r="BQ126" s="49" t="s">
        <v>327</v>
      </c>
      <c r="BR126" s="3">
        <v>9.0990000000000002</v>
      </c>
      <c r="BS126" s="3">
        <v>10.050000000000001</v>
      </c>
      <c r="BT126" s="3">
        <v>10.554</v>
      </c>
      <c r="BU126" s="3">
        <v>12.364000000000001</v>
      </c>
      <c r="BV126" s="3">
        <v>9.4030000000000005</v>
      </c>
      <c r="BW126" s="3">
        <v>13.026</v>
      </c>
      <c r="BX126" s="3">
        <v>10.762</v>
      </c>
      <c r="BY126" s="3">
        <v>12.214</v>
      </c>
      <c r="BZ126" s="3">
        <v>11.778</v>
      </c>
      <c r="CA126" s="3">
        <v>11.66</v>
      </c>
      <c r="CB126" s="3">
        <v>11</v>
      </c>
      <c r="CC126" s="3">
        <v>13.237</v>
      </c>
      <c r="CD126" s="3">
        <v>12.571999999999999</v>
      </c>
    </row>
    <row r="127" spans="1:82" x14ac:dyDescent="0.3">
      <c r="A127" s="48" t="s">
        <v>314</v>
      </c>
      <c r="B127" s="49" t="s">
        <v>328</v>
      </c>
      <c r="C127" s="3">
        <v>30.000969170000001</v>
      </c>
      <c r="D127" s="3">
        <v>40.364940330000003</v>
      </c>
      <c r="E127" s="3">
        <v>28.275130999999998</v>
      </c>
      <c r="F127" s="3">
        <v>23.938180169999999</v>
      </c>
      <c r="G127" s="3">
        <v>9.7827303329999999</v>
      </c>
      <c r="H127" s="3">
        <v>28.275130999999998</v>
      </c>
      <c r="I127" s="48" t="s">
        <v>314</v>
      </c>
      <c r="J127" s="49" t="s">
        <v>328</v>
      </c>
      <c r="K127" s="3">
        <v>21016.5</v>
      </c>
      <c r="L127" s="48" t="s">
        <v>314</v>
      </c>
      <c r="M127" s="49" t="s">
        <v>328</v>
      </c>
      <c r="N127" s="3">
        <v>526.18329849999998</v>
      </c>
      <c r="O127" s="3">
        <v>535.42815789999997</v>
      </c>
      <c r="P127" s="3">
        <v>436.91795450000001</v>
      </c>
      <c r="Q127" s="3">
        <v>683.19574999999998</v>
      </c>
      <c r="R127" s="3">
        <v>501.9412964</v>
      </c>
      <c r="S127" s="3">
        <v>520.91200389999995</v>
      </c>
      <c r="T127" s="3">
        <v>362.72883230000002</v>
      </c>
      <c r="U127" s="3">
        <v>471.67087620000001</v>
      </c>
      <c r="V127" s="3">
        <v>420.24690090000001</v>
      </c>
      <c r="W127" s="3">
        <v>401.1171501</v>
      </c>
      <c r="X127" s="3">
        <v>137.7831845</v>
      </c>
      <c r="Y127" s="3">
        <v>27.583308970000001</v>
      </c>
      <c r="Z127" s="3">
        <v>193.03710430000001</v>
      </c>
      <c r="AA127" s="48" t="s">
        <v>314</v>
      </c>
      <c r="AB127" s="49" t="s">
        <v>328</v>
      </c>
      <c r="AC127" s="3">
        <v>0</v>
      </c>
      <c r="AD127" s="3">
        <v>0.69199999999999995</v>
      </c>
      <c r="AE127" s="3">
        <v>0</v>
      </c>
      <c r="AF127" s="3">
        <v>0.72899999999999998</v>
      </c>
      <c r="AG127" s="3">
        <v>0</v>
      </c>
      <c r="AH127" s="3">
        <v>0.72099999999999997</v>
      </c>
      <c r="AI127" s="3">
        <v>0</v>
      </c>
      <c r="AJ127" s="3">
        <v>0.70499999999999996</v>
      </c>
      <c r="AK127" s="3">
        <v>0</v>
      </c>
      <c r="AL127" s="3">
        <v>0.96799999999999997</v>
      </c>
      <c r="AM127" s="3">
        <v>0</v>
      </c>
      <c r="AN127" s="3">
        <v>0.86299999999999999</v>
      </c>
      <c r="AO127" s="3">
        <v>0</v>
      </c>
      <c r="AP127" s="3">
        <v>0.86299999999999999</v>
      </c>
      <c r="AQ127" s="3">
        <v>0</v>
      </c>
      <c r="AR127" s="3">
        <v>0.82599999999999996</v>
      </c>
      <c r="AS127" s="3">
        <v>0</v>
      </c>
      <c r="AT127" s="3">
        <v>0.74299999999999999</v>
      </c>
      <c r="AU127" s="3">
        <v>0</v>
      </c>
      <c r="AV127" s="3">
        <v>0.7</v>
      </c>
      <c r="AW127" s="3">
        <v>0</v>
      </c>
      <c r="AX127" s="3">
        <v>0.65500000000000003</v>
      </c>
      <c r="AY127" s="3">
        <v>0</v>
      </c>
      <c r="AZ127" s="3">
        <v>0.73799999999999999</v>
      </c>
      <c r="BA127" s="3">
        <v>0</v>
      </c>
      <c r="BB127" s="3">
        <v>0.64500000000000002</v>
      </c>
      <c r="BC127" s="3">
        <v>0.4955</v>
      </c>
      <c r="BD127" s="3">
        <v>8.2000000000000003E-2</v>
      </c>
      <c r="BE127" s="3">
        <v>6.8500000000000005E-2</v>
      </c>
      <c r="BF127" s="3">
        <v>0.53866666699999999</v>
      </c>
      <c r="BG127" s="3">
        <v>0.61258333399999998</v>
      </c>
      <c r="BH127" s="3">
        <v>0.79300000000000004</v>
      </c>
      <c r="BI127" s="3">
        <v>0.48</v>
      </c>
      <c r="BJ127" s="3">
        <v>0.72966666700000005</v>
      </c>
      <c r="BK127" s="3">
        <v>0.91500000000000004</v>
      </c>
      <c r="BL127" s="3">
        <v>0.90133333299999996</v>
      </c>
      <c r="BM127" s="3">
        <v>0.01</v>
      </c>
      <c r="BN127" s="3">
        <v>0.63700000000000001</v>
      </c>
      <c r="BO127" s="3">
        <v>0.92400000000000004</v>
      </c>
      <c r="BP127" s="48" t="s">
        <v>314</v>
      </c>
      <c r="BQ127" s="49" t="s">
        <v>328</v>
      </c>
      <c r="BR127" s="3">
        <v>9.3469999999999995</v>
      </c>
      <c r="BS127" s="3">
        <v>10.859</v>
      </c>
      <c r="BT127" s="3">
        <v>11.62</v>
      </c>
      <c r="BU127" s="3">
        <v>12.13</v>
      </c>
      <c r="BV127" s="3">
        <v>9.7889999999999997</v>
      </c>
      <c r="BW127" s="3">
        <v>12.848000000000001</v>
      </c>
      <c r="BX127" s="3">
        <v>10.465</v>
      </c>
      <c r="BY127" s="3">
        <v>12.574999999999999</v>
      </c>
      <c r="BZ127" s="3">
        <v>12.167</v>
      </c>
      <c r="CA127" s="3">
        <v>12.002000000000001</v>
      </c>
      <c r="CB127" s="3">
        <v>11.82</v>
      </c>
      <c r="CC127" s="3">
        <v>13.294</v>
      </c>
      <c r="CD127" s="3">
        <v>12.412000000000001</v>
      </c>
    </row>
    <row r="128" spans="1:82" x14ac:dyDescent="0.3">
      <c r="A128" s="48" t="s">
        <v>314</v>
      </c>
      <c r="B128" s="49" t="s">
        <v>329</v>
      </c>
      <c r="C128" s="3">
        <v>30.886243669999999</v>
      </c>
      <c r="D128" s="3">
        <v>44.174303330000001</v>
      </c>
      <c r="E128" s="3">
        <v>30.40336667</v>
      </c>
      <c r="F128" s="3">
        <v>24.117023499999998</v>
      </c>
      <c r="G128" s="3">
        <v>10.918385499999999</v>
      </c>
      <c r="H128" s="3">
        <v>33.577835829999998</v>
      </c>
      <c r="I128" s="48" t="s">
        <v>314</v>
      </c>
      <c r="J128" s="49" t="s">
        <v>329</v>
      </c>
      <c r="K128" s="3">
        <v>22623</v>
      </c>
      <c r="L128" s="48" t="s">
        <v>314</v>
      </c>
      <c r="M128" s="49" t="s">
        <v>329</v>
      </c>
      <c r="N128" s="3">
        <v>620.47069899999997</v>
      </c>
      <c r="O128" s="3">
        <v>638.09943940000005</v>
      </c>
      <c r="P128" s="3">
        <v>799.04528400000004</v>
      </c>
      <c r="Q128" s="3">
        <v>859.99608780000005</v>
      </c>
      <c r="R128" s="3">
        <v>561.30017889999999</v>
      </c>
      <c r="S128" s="3">
        <v>487.79739860000001</v>
      </c>
      <c r="T128" s="3">
        <v>360.86330349999997</v>
      </c>
      <c r="U128" s="3">
        <v>553.93639040000005</v>
      </c>
      <c r="V128" s="3">
        <v>475.07524969999997</v>
      </c>
      <c r="W128" s="3">
        <v>525.22827849999999</v>
      </c>
      <c r="X128" s="3">
        <v>163.29391380000001</v>
      </c>
      <c r="Y128" s="3">
        <v>60.342825249999997</v>
      </c>
      <c r="Z128" s="3">
        <v>69.95573693</v>
      </c>
      <c r="AA128" s="48" t="s">
        <v>314</v>
      </c>
      <c r="AB128" s="49" t="s">
        <v>329</v>
      </c>
      <c r="AC128" s="3">
        <v>0</v>
      </c>
      <c r="AD128" s="3">
        <v>0.67200000000000004</v>
      </c>
      <c r="AE128" s="3">
        <v>0</v>
      </c>
      <c r="AF128" s="3">
        <v>0.71499999999999997</v>
      </c>
      <c r="AG128" s="3">
        <v>0</v>
      </c>
      <c r="AH128" s="3">
        <v>0.754</v>
      </c>
      <c r="AI128" s="3">
        <v>0</v>
      </c>
      <c r="AJ128" s="3">
        <v>0.68600000000000005</v>
      </c>
      <c r="AK128" s="3">
        <v>0</v>
      </c>
      <c r="AL128" s="3">
        <v>0.97199999999999998</v>
      </c>
      <c r="AM128" s="3">
        <v>0</v>
      </c>
      <c r="AN128" s="3">
        <v>0.86</v>
      </c>
      <c r="AO128" s="3">
        <v>0</v>
      </c>
      <c r="AP128" s="3">
        <v>0.86</v>
      </c>
      <c r="AQ128" s="3">
        <v>0</v>
      </c>
      <c r="AR128" s="3">
        <v>0.85699999999999998</v>
      </c>
      <c r="AS128" s="3">
        <v>0</v>
      </c>
      <c r="AT128" s="3">
        <v>0.76600000000000001</v>
      </c>
      <c r="AU128" s="3">
        <v>0</v>
      </c>
      <c r="AV128" s="3">
        <v>0.69599999999999995</v>
      </c>
      <c r="AW128" s="3">
        <v>0</v>
      </c>
      <c r="AX128" s="3">
        <v>0.69199999999999995</v>
      </c>
      <c r="AY128" s="3">
        <v>0</v>
      </c>
      <c r="AZ128" s="3">
        <v>0.74</v>
      </c>
      <c r="BA128" s="3">
        <v>0</v>
      </c>
      <c r="BB128" s="3">
        <v>0.59299999999999997</v>
      </c>
      <c r="BC128" s="3">
        <v>0.504</v>
      </c>
      <c r="BD128" s="3">
        <v>9.9000000000000005E-2</v>
      </c>
      <c r="BE128" s="3">
        <v>4.8500000000000001E-2</v>
      </c>
      <c r="BF128" s="3">
        <v>0.572333333</v>
      </c>
      <c r="BG128" s="3">
        <v>0.624</v>
      </c>
      <c r="BH128" s="3">
        <v>0.85099999999999998</v>
      </c>
      <c r="BI128" s="3">
        <v>0.56950000000000001</v>
      </c>
      <c r="BJ128" s="3">
        <v>0.74399999999999999</v>
      </c>
      <c r="BK128" s="3">
        <v>0.92800000000000005</v>
      </c>
      <c r="BL128" s="3">
        <v>0.88333333300000005</v>
      </c>
      <c r="BM128" s="3">
        <v>0.01</v>
      </c>
      <c r="BN128" s="3">
        <v>0.62833333300000005</v>
      </c>
      <c r="BO128" s="3">
        <v>0.90400000000000003</v>
      </c>
      <c r="BP128" s="48" t="s">
        <v>314</v>
      </c>
      <c r="BQ128" s="49" t="s">
        <v>329</v>
      </c>
      <c r="BR128" s="3">
        <v>9.2319999999999993</v>
      </c>
      <c r="BS128" s="3">
        <v>11.605</v>
      </c>
      <c r="BT128" s="3">
        <v>12.276</v>
      </c>
      <c r="BU128" s="3">
        <v>11.688000000000001</v>
      </c>
      <c r="BV128" s="3">
        <v>9.9649999999999999</v>
      </c>
      <c r="BW128" s="3">
        <v>12.955</v>
      </c>
      <c r="BX128" s="3">
        <v>10.265000000000001</v>
      </c>
      <c r="BY128" s="3">
        <v>12.802</v>
      </c>
      <c r="BZ128" s="3">
        <v>12.414</v>
      </c>
      <c r="CA128" s="3">
        <v>12.316000000000001</v>
      </c>
      <c r="CB128" s="3">
        <v>12.303000000000001</v>
      </c>
      <c r="CC128" s="3">
        <v>13.319000000000001</v>
      </c>
      <c r="CD128" s="3">
        <v>12.291</v>
      </c>
    </row>
    <row r="129" spans="1:82" x14ac:dyDescent="0.3">
      <c r="A129" s="48" t="s">
        <v>314</v>
      </c>
      <c r="B129" s="49" t="s">
        <v>330</v>
      </c>
      <c r="C129" s="3">
        <v>30.886243669999999</v>
      </c>
      <c r="D129" s="3">
        <v>43.610946830000003</v>
      </c>
      <c r="E129" s="3">
        <v>36.57346167</v>
      </c>
      <c r="F129" s="3">
        <v>24.269040329999999</v>
      </c>
      <c r="G129" s="3">
        <v>22.283879330000001</v>
      </c>
      <c r="H129" s="3">
        <v>36.57346167</v>
      </c>
      <c r="I129" s="48" t="s">
        <v>314</v>
      </c>
      <c r="J129" s="49" t="s">
        <v>330</v>
      </c>
      <c r="K129" s="3">
        <v>26150</v>
      </c>
      <c r="L129" s="48" t="s">
        <v>314</v>
      </c>
      <c r="M129" s="49" t="s">
        <v>330</v>
      </c>
      <c r="N129" s="3">
        <v>1101.679609</v>
      </c>
      <c r="O129" s="3">
        <v>1171.67247</v>
      </c>
      <c r="P129" s="3">
        <v>1536.2318929999999</v>
      </c>
      <c r="Q129" s="3">
        <v>1608.857209</v>
      </c>
      <c r="R129" s="3">
        <v>1051.5593879999999</v>
      </c>
      <c r="S129" s="3">
        <v>795.18010379999998</v>
      </c>
      <c r="T129" s="3">
        <v>594.16272419999996</v>
      </c>
      <c r="U129" s="3">
        <v>1191.022727</v>
      </c>
      <c r="V129" s="3">
        <v>992.99014079999995</v>
      </c>
      <c r="W129" s="3">
        <v>1388.520651</v>
      </c>
      <c r="X129" s="3">
        <v>522.10938290000001</v>
      </c>
      <c r="Y129" s="3">
        <v>136.4304296</v>
      </c>
      <c r="Z129" s="3">
        <v>519.06040849999999</v>
      </c>
      <c r="AA129" s="48" t="s">
        <v>314</v>
      </c>
      <c r="AB129" s="49" t="s">
        <v>330</v>
      </c>
      <c r="AC129" s="3">
        <v>2E-3</v>
      </c>
      <c r="AD129" s="3">
        <v>0.78600000000000003</v>
      </c>
      <c r="AE129" s="3">
        <v>0</v>
      </c>
      <c r="AF129" s="3">
        <v>0.71099999999999997</v>
      </c>
      <c r="AG129" s="3">
        <v>0</v>
      </c>
      <c r="AH129" s="3">
        <v>0.73499999999999999</v>
      </c>
      <c r="AI129" s="3">
        <v>0</v>
      </c>
      <c r="AJ129" s="3">
        <v>0.67900000000000005</v>
      </c>
      <c r="AK129" s="3">
        <v>0</v>
      </c>
      <c r="AL129" s="3">
        <v>0.97899999999999998</v>
      </c>
      <c r="AM129" s="3">
        <v>0</v>
      </c>
      <c r="AN129" s="3">
        <v>0.85499999999999998</v>
      </c>
      <c r="AO129" s="3">
        <v>0</v>
      </c>
      <c r="AP129" s="3">
        <v>0.85499999999999998</v>
      </c>
      <c r="AQ129" s="3">
        <v>2E-3</v>
      </c>
      <c r="AR129" s="3">
        <v>0.87</v>
      </c>
      <c r="AS129" s="3">
        <v>0</v>
      </c>
      <c r="AT129" s="3">
        <v>0.79900000000000004</v>
      </c>
      <c r="AU129" s="3">
        <v>0</v>
      </c>
      <c r="AV129" s="3">
        <v>0.71299999999999997</v>
      </c>
      <c r="AW129" s="3">
        <v>0</v>
      </c>
      <c r="AX129" s="3">
        <v>0.66900000000000004</v>
      </c>
      <c r="AY129" s="3">
        <v>0</v>
      </c>
      <c r="AZ129" s="3">
        <v>0.71199999999999997</v>
      </c>
      <c r="BA129" s="3">
        <v>0</v>
      </c>
      <c r="BB129" s="3">
        <v>0.56100000000000005</v>
      </c>
      <c r="BC129" s="3">
        <v>0.52400000000000002</v>
      </c>
      <c r="BD129" s="3">
        <v>0.13350000000000001</v>
      </c>
      <c r="BE129" s="3">
        <v>3.7999999999999999E-2</v>
      </c>
      <c r="BF129" s="3">
        <v>0.60099999999999998</v>
      </c>
      <c r="BG129" s="3">
        <v>0.63566666699999996</v>
      </c>
      <c r="BH129" s="3">
        <v>0.88700000000000001</v>
      </c>
      <c r="BI129" s="3">
        <v>0.61550000000000005</v>
      </c>
      <c r="BJ129" s="3">
        <v>0.74733333300000004</v>
      </c>
      <c r="BK129" s="3">
        <v>0.94350000000000001</v>
      </c>
      <c r="BL129" s="3">
        <v>0.86066666700000005</v>
      </c>
      <c r="BM129" s="3">
        <v>0.01</v>
      </c>
      <c r="BN129" s="3">
        <v>0.62266666699999995</v>
      </c>
      <c r="BO129" s="3">
        <v>0.88900000000000001</v>
      </c>
      <c r="BP129" s="48" t="s">
        <v>314</v>
      </c>
      <c r="BQ129" s="49" t="s">
        <v>330</v>
      </c>
      <c r="BR129" s="3">
        <v>9.94</v>
      </c>
      <c r="BS129" s="3">
        <v>12.273999999999999</v>
      </c>
      <c r="BT129" s="3">
        <v>12.462</v>
      </c>
      <c r="BU129" s="3">
        <v>11.375999999999999</v>
      </c>
      <c r="BV129" s="3">
        <v>10.298999999999999</v>
      </c>
      <c r="BW129" s="3">
        <v>13.236000000000001</v>
      </c>
      <c r="BX129" s="3">
        <v>10.14</v>
      </c>
      <c r="BY129" s="3">
        <v>12.956</v>
      </c>
      <c r="BZ129" s="3">
        <v>12.739000000000001</v>
      </c>
      <c r="CA129" s="3">
        <v>12.670999999999999</v>
      </c>
      <c r="CB129" s="3">
        <v>12.555999999999999</v>
      </c>
      <c r="CC129" s="3">
        <v>13.363</v>
      </c>
      <c r="CD129" s="3">
        <v>12.224</v>
      </c>
    </row>
    <row r="130" spans="1:82" x14ac:dyDescent="0.3">
      <c r="A130" s="48" t="s">
        <v>314</v>
      </c>
      <c r="B130" s="49" t="s">
        <v>331</v>
      </c>
      <c r="C130" s="3">
        <v>38.66592867</v>
      </c>
      <c r="D130" s="3">
        <v>45.15794167</v>
      </c>
      <c r="E130" s="3">
        <v>42.645192829999999</v>
      </c>
      <c r="F130" s="3">
        <v>24.50153667</v>
      </c>
      <c r="G130" s="3">
        <v>15.55042783</v>
      </c>
      <c r="H130" s="3">
        <v>42.645192829999999</v>
      </c>
      <c r="I130" s="48" t="s">
        <v>314</v>
      </c>
      <c r="J130" s="49" t="s">
        <v>331</v>
      </c>
      <c r="K130" s="3">
        <v>28360</v>
      </c>
      <c r="L130" s="48" t="s">
        <v>314</v>
      </c>
      <c r="M130" s="49" t="s">
        <v>331</v>
      </c>
      <c r="N130" s="3">
        <v>2940.5265039999999</v>
      </c>
      <c r="O130" s="3">
        <v>2846.0236089999999</v>
      </c>
      <c r="P130" s="3">
        <v>2301.1036210000002</v>
      </c>
      <c r="Q130" s="3">
        <v>2206.6214100000002</v>
      </c>
      <c r="R130" s="3">
        <v>2793.3809550000001</v>
      </c>
      <c r="S130" s="3">
        <v>2543.192818</v>
      </c>
      <c r="T130" s="3">
        <v>2115.9632099999999</v>
      </c>
      <c r="U130" s="3">
        <v>3479.9161610000001</v>
      </c>
      <c r="V130" s="3">
        <v>2607.123795</v>
      </c>
      <c r="W130" s="3">
        <v>2175.0059419999998</v>
      </c>
      <c r="X130" s="3">
        <v>2037.9218100000001</v>
      </c>
      <c r="Y130" s="3">
        <v>314.16722279999999</v>
      </c>
      <c r="Z130" s="3">
        <v>892.261978</v>
      </c>
      <c r="AA130" s="48" t="s">
        <v>314</v>
      </c>
      <c r="AB130" s="49" t="s">
        <v>331</v>
      </c>
      <c r="AC130" s="3">
        <v>7.1999999999999995E-2</v>
      </c>
      <c r="AD130" s="3">
        <v>0.76800000000000002</v>
      </c>
      <c r="AE130" s="3">
        <v>3.4000000000000002E-2</v>
      </c>
      <c r="AF130" s="3">
        <v>0.68200000000000005</v>
      </c>
      <c r="AG130" s="3">
        <v>3.1E-2</v>
      </c>
      <c r="AH130" s="3">
        <v>0.746</v>
      </c>
      <c r="AI130" s="3">
        <v>4.0000000000000001E-3</v>
      </c>
      <c r="AJ130" s="3">
        <v>0.69199999999999995</v>
      </c>
      <c r="AK130" s="3">
        <v>4.1000000000000002E-2</v>
      </c>
      <c r="AL130" s="3">
        <v>0.98199999999999998</v>
      </c>
      <c r="AM130" s="3">
        <v>7.0000000000000001E-3</v>
      </c>
      <c r="AN130" s="3">
        <v>0.85199999999999998</v>
      </c>
      <c r="AO130" s="3">
        <v>0.01</v>
      </c>
      <c r="AP130" s="3">
        <v>0.85199999999999998</v>
      </c>
      <c r="AQ130" s="3">
        <v>4.9000000000000002E-2</v>
      </c>
      <c r="AR130" s="3">
        <v>0.86399999999999999</v>
      </c>
      <c r="AS130" s="3">
        <v>3.1E-2</v>
      </c>
      <c r="AT130" s="3">
        <v>0.79700000000000004</v>
      </c>
      <c r="AU130" s="3">
        <v>3.1E-2</v>
      </c>
      <c r="AV130" s="3">
        <v>0.70799999999999996</v>
      </c>
      <c r="AW130" s="3">
        <v>9.0999999999999998E-2</v>
      </c>
      <c r="AX130" s="3">
        <v>0.58299999999999996</v>
      </c>
      <c r="AY130" s="3">
        <v>1.4999999999999999E-2</v>
      </c>
      <c r="AZ130" s="3">
        <v>0.67300000000000004</v>
      </c>
      <c r="BA130" s="3">
        <v>5.2999999999999999E-2</v>
      </c>
      <c r="BB130" s="3">
        <v>0.52</v>
      </c>
      <c r="BC130" s="3">
        <v>0.55049999999999999</v>
      </c>
      <c r="BD130" s="3">
        <v>0.17499999999999999</v>
      </c>
      <c r="BE130" s="3">
        <v>4.3499999999999997E-2</v>
      </c>
      <c r="BF130" s="3">
        <v>0.61666666699999995</v>
      </c>
      <c r="BG130" s="3">
        <v>0.637583334</v>
      </c>
      <c r="BH130" s="3">
        <v>0.90200000000000002</v>
      </c>
      <c r="BI130" s="3">
        <v>0.57799999999999996</v>
      </c>
      <c r="BJ130" s="3">
        <v>0.72466666700000004</v>
      </c>
      <c r="BK130" s="3">
        <v>0.9415</v>
      </c>
      <c r="BL130" s="3">
        <v>0.828333333</v>
      </c>
      <c r="BM130" s="3">
        <v>0.01</v>
      </c>
      <c r="BN130" s="3">
        <v>0.61766666699999995</v>
      </c>
      <c r="BO130" s="3">
        <v>0.871</v>
      </c>
      <c r="BP130" s="48" t="s">
        <v>314</v>
      </c>
      <c r="BQ130" s="49" t="s">
        <v>331</v>
      </c>
      <c r="BR130" s="3">
        <v>10.65</v>
      </c>
      <c r="BS130" s="3">
        <v>12.882</v>
      </c>
      <c r="BT130" s="3">
        <v>12.676</v>
      </c>
      <c r="BU130" s="3">
        <v>11.401</v>
      </c>
      <c r="BV130" s="3">
        <v>11.186999999999999</v>
      </c>
      <c r="BW130" s="3">
        <v>13.522</v>
      </c>
      <c r="BX130" s="3">
        <v>10.32</v>
      </c>
      <c r="BY130" s="3">
        <v>13.394</v>
      </c>
      <c r="BZ130" s="3">
        <v>13.285</v>
      </c>
      <c r="CA130" s="3">
        <v>13.282999999999999</v>
      </c>
      <c r="CB130" s="3">
        <v>12.743</v>
      </c>
      <c r="CC130" s="3">
        <v>13.51</v>
      </c>
      <c r="CD130" s="3">
        <v>12.25</v>
      </c>
    </row>
    <row r="131" spans="1:82" x14ac:dyDescent="0.3">
      <c r="A131" s="48" t="s">
        <v>314</v>
      </c>
      <c r="B131" s="49" t="s">
        <v>332</v>
      </c>
      <c r="C131" s="3">
        <v>53.429445829999999</v>
      </c>
      <c r="D131" s="3">
        <v>41.527422000000001</v>
      </c>
      <c r="E131" s="3">
        <v>33.542067170000003</v>
      </c>
      <c r="F131" s="3">
        <v>24.582016169999999</v>
      </c>
      <c r="G131" s="3">
        <v>9.6307135000000006</v>
      </c>
      <c r="H131" s="3">
        <v>33.542067170000003</v>
      </c>
      <c r="I131" s="48" t="s">
        <v>314</v>
      </c>
      <c r="J131" s="49" t="s">
        <v>332</v>
      </c>
      <c r="K131" s="3">
        <v>29926</v>
      </c>
      <c r="L131" s="48" t="s">
        <v>314</v>
      </c>
      <c r="M131" s="49" t="s">
        <v>332</v>
      </c>
      <c r="N131" s="3">
        <v>3848.7627969999999</v>
      </c>
      <c r="O131" s="3">
        <v>4231.6805169999998</v>
      </c>
      <c r="P131" s="3">
        <v>2374.412382</v>
      </c>
      <c r="Q131" s="3">
        <v>2267.241704</v>
      </c>
      <c r="R131" s="3">
        <v>3733.1857220000002</v>
      </c>
      <c r="S131" s="3">
        <v>4001.7901160000001</v>
      </c>
      <c r="T131" s="3">
        <v>3552.4280950000002</v>
      </c>
      <c r="U131" s="3">
        <v>4566.3638490000003</v>
      </c>
      <c r="V131" s="3">
        <v>3586.8626949999998</v>
      </c>
      <c r="W131" s="3">
        <v>2008.3592639999999</v>
      </c>
      <c r="X131" s="3">
        <v>3084.8437530000001</v>
      </c>
      <c r="Y131" s="3">
        <v>346.93830159999999</v>
      </c>
      <c r="Z131" s="3">
        <v>1074.80744</v>
      </c>
      <c r="AA131" s="48" t="s">
        <v>314</v>
      </c>
      <c r="AB131" s="49" t="s">
        <v>332</v>
      </c>
      <c r="AC131" s="3">
        <v>0.16700000000000001</v>
      </c>
      <c r="AD131" s="3">
        <v>0.81200000000000006</v>
      </c>
      <c r="AE131" s="3">
        <v>8.3000000000000004E-2</v>
      </c>
      <c r="AF131" s="3">
        <v>0.63100000000000001</v>
      </c>
      <c r="AG131" s="3">
        <v>5.8000000000000003E-2</v>
      </c>
      <c r="AH131" s="3">
        <v>0.71</v>
      </c>
      <c r="AI131" s="3">
        <v>0.02</v>
      </c>
      <c r="AJ131" s="3">
        <v>0.76500000000000001</v>
      </c>
      <c r="AK131" s="3">
        <v>0.107</v>
      </c>
      <c r="AL131" s="3">
        <v>0.97799999999999998</v>
      </c>
      <c r="AM131" s="3">
        <v>3.1E-2</v>
      </c>
      <c r="AN131" s="3">
        <v>0.84599999999999997</v>
      </c>
      <c r="AO131" s="3">
        <v>4.5999999999999999E-2</v>
      </c>
      <c r="AP131" s="3">
        <v>0.84599999999999997</v>
      </c>
      <c r="AQ131" s="3">
        <v>0.113</v>
      </c>
      <c r="AR131" s="3">
        <v>0.86799999999999999</v>
      </c>
      <c r="AS131" s="3">
        <v>0.114</v>
      </c>
      <c r="AT131" s="3">
        <v>0.82599999999999996</v>
      </c>
      <c r="AU131" s="3">
        <v>0.115</v>
      </c>
      <c r="AV131" s="3">
        <v>0.73899999999999999</v>
      </c>
      <c r="AW131" s="3">
        <v>0.28499999999999998</v>
      </c>
      <c r="AX131" s="3">
        <v>0.48699999999999999</v>
      </c>
      <c r="AY131" s="3">
        <v>6.4000000000000001E-2</v>
      </c>
      <c r="AZ131" s="3">
        <v>0.60899999999999999</v>
      </c>
      <c r="BA131" s="3">
        <v>0.19</v>
      </c>
      <c r="BB131" s="3">
        <v>0.48699999999999999</v>
      </c>
      <c r="BC131" s="3">
        <v>0.57750000000000001</v>
      </c>
      <c r="BD131" s="3">
        <v>0.22700000000000001</v>
      </c>
      <c r="BE131" s="3">
        <v>5.6500000000000002E-2</v>
      </c>
      <c r="BF131" s="3">
        <v>0.62933333300000005</v>
      </c>
      <c r="BG131" s="3">
        <v>0.63991666700000005</v>
      </c>
      <c r="BH131" s="3">
        <v>0.91</v>
      </c>
      <c r="BI131" s="3">
        <v>0.52349999999999997</v>
      </c>
      <c r="BJ131" s="3">
        <v>0.702333333</v>
      </c>
      <c r="BK131" s="3">
        <v>0.9335</v>
      </c>
      <c r="BL131" s="3">
        <v>0.78833333299999997</v>
      </c>
      <c r="BM131" s="3">
        <v>0.01</v>
      </c>
      <c r="BN131" s="3">
        <v>0.61166666700000005</v>
      </c>
      <c r="BO131" s="3">
        <v>0.84699999999999998</v>
      </c>
      <c r="BP131" s="48" t="s">
        <v>314</v>
      </c>
      <c r="BQ131" s="49" t="s">
        <v>332</v>
      </c>
      <c r="BR131" s="3">
        <v>11.885999999999999</v>
      </c>
      <c r="BS131" s="3">
        <v>13.557</v>
      </c>
      <c r="BT131" s="3">
        <v>12.96</v>
      </c>
      <c r="BU131" s="3">
        <v>11.689</v>
      </c>
      <c r="BV131" s="3">
        <v>12.542</v>
      </c>
      <c r="BW131" s="3">
        <v>13.779</v>
      </c>
      <c r="BX131" s="3">
        <v>10.786</v>
      </c>
      <c r="BY131" s="3">
        <v>14.003</v>
      </c>
      <c r="BZ131" s="3">
        <v>14.082000000000001</v>
      </c>
      <c r="CA131" s="3">
        <v>13.891999999999999</v>
      </c>
      <c r="CB131" s="3">
        <v>13.462999999999999</v>
      </c>
      <c r="CC131" s="3">
        <v>13.939</v>
      </c>
      <c r="CD131" s="3">
        <v>12.321999999999999</v>
      </c>
    </row>
    <row r="132" spans="1:82" x14ac:dyDescent="0.3">
      <c r="A132" s="48" t="s">
        <v>314</v>
      </c>
      <c r="B132" s="49" t="s">
        <v>333</v>
      </c>
      <c r="C132" s="3">
        <v>53.053874829999998</v>
      </c>
      <c r="D132" s="3">
        <v>40.025137999999998</v>
      </c>
      <c r="E132" s="3">
        <v>40.561667999999997</v>
      </c>
      <c r="F132" s="3">
        <v>24.537305329999999</v>
      </c>
      <c r="G132" s="3">
        <v>24.161734330000002</v>
      </c>
      <c r="H132" s="3">
        <v>46.821184670000001</v>
      </c>
      <c r="I132" s="48" t="s">
        <v>314</v>
      </c>
      <c r="J132" s="49" t="s">
        <v>333</v>
      </c>
      <c r="K132" s="3">
        <v>30113</v>
      </c>
      <c r="L132" s="48" t="s">
        <v>314</v>
      </c>
      <c r="M132" s="49" t="s">
        <v>333</v>
      </c>
      <c r="N132" s="3">
        <v>3523.1601169999999</v>
      </c>
      <c r="O132" s="3">
        <v>3958.8167010000002</v>
      </c>
      <c r="P132" s="3">
        <v>2050.2757780000002</v>
      </c>
      <c r="Q132" s="3">
        <v>2049.144436</v>
      </c>
      <c r="R132" s="3">
        <v>3824.9756849999999</v>
      </c>
      <c r="S132" s="3">
        <v>4327.8873960000001</v>
      </c>
      <c r="T132" s="3">
        <v>3802.393345</v>
      </c>
      <c r="U132" s="3">
        <v>4208.1144430000004</v>
      </c>
      <c r="V132" s="3">
        <v>3082.9699759999999</v>
      </c>
      <c r="W132" s="3">
        <v>1570.7951399999999</v>
      </c>
      <c r="X132" s="3">
        <v>3127.5864409999999</v>
      </c>
      <c r="Y132" s="3">
        <v>264.97561610000002</v>
      </c>
      <c r="Z132" s="3">
        <v>1157.094216</v>
      </c>
      <c r="AA132" s="48" t="s">
        <v>314</v>
      </c>
      <c r="AB132" s="49" t="s">
        <v>333</v>
      </c>
      <c r="AC132" s="3">
        <v>0.24099999999999999</v>
      </c>
      <c r="AD132" s="3">
        <v>0.73299999999999998</v>
      </c>
      <c r="AE132" s="3">
        <v>0.11799999999999999</v>
      </c>
      <c r="AF132" s="3">
        <v>0.66300000000000003</v>
      </c>
      <c r="AG132" s="3">
        <v>8.8999999999999996E-2</v>
      </c>
      <c r="AH132" s="3">
        <v>0.68500000000000005</v>
      </c>
      <c r="AI132" s="3">
        <v>3.6999999999999998E-2</v>
      </c>
      <c r="AJ132" s="3">
        <v>0.68</v>
      </c>
      <c r="AK132" s="3">
        <v>0.18</v>
      </c>
      <c r="AL132" s="3">
        <v>0.97299999999999998</v>
      </c>
      <c r="AM132" s="3">
        <v>6.4000000000000001E-2</v>
      </c>
      <c r="AN132" s="3">
        <v>0.83699999999999997</v>
      </c>
      <c r="AO132" s="3">
        <v>8.5000000000000006E-2</v>
      </c>
      <c r="AP132" s="3">
        <v>0.83699999999999997</v>
      </c>
      <c r="AQ132" s="3">
        <v>0.191</v>
      </c>
      <c r="AR132" s="3">
        <v>0.90200000000000002</v>
      </c>
      <c r="AS132" s="3">
        <v>0.20699999999999999</v>
      </c>
      <c r="AT132" s="3">
        <v>0.82199999999999995</v>
      </c>
      <c r="AU132" s="3">
        <v>0.20799999999999999</v>
      </c>
      <c r="AV132" s="3">
        <v>0.71399999999999997</v>
      </c>
      <c r="AW132" s="3">
        <v>0.47199999999999998</v>
      </c>
      <c r="AX132" s="3">
        <v>0.58699999999999997</v>
      </c>
      <c r="AY132" s="3">
        <v>0.15</v>
      </c>
      <c r="AZ132" s="3">
        <v>0.63</v>
      </c>
      <c r="BA132" s="3">
        <v>0.36099999999999999</v>
      </c>
      <c r="BB132" s="3">
        <v>0.55100000000000005</v>
      </c>
      <c r="BC132" s="3">
        <v>0.64200000000000002</v>
      </c>
      <c r="BD132" s="3">
        <v>0.35949999999999999</v>
      </c>
      <c r="BE132" s="3">
        <v>7.8E-2</v>
      </c>
      <c r="BF132" s="3">
        <v>0.64100000000000001</v>
      </c>
      <c r="BG132" s="3">
        <v>0.67133333399999995</v>
      </c>
      <c r="BH132" s="3">
        <v>0.90700000000000003</v>
      </c>
      <c r="BI132" s="3">
        <v>0.4945</v>
      </c>
      <c r="BJ132" s="3">
        <v>0.70066666700000002</v>
      </c>
      <c r="BK132" s="3">
        <v>0.92600000000000005</v>
      </c>
      <c r="BL132" s="3">
        <v>0.72533333300000002</v>
      </c>
      <c r="BM132" s="3">
        <v>0.01</v>
      </c>
      <c r="BN132" s="3">
        <v>0.62266666699999995</v>
      </c>
      <c r="BO132" s="3">
        <v>0.81</v>
      </c>
      <c r="BP132" s="48" t="s">
        <v>314</v>
      </c>
      <c r="BQ132" s="49" t="s">
        <v>333</v>
      </c>
      <c r="BR132" s="3">
        <v>13.422000000000001</v>
      </c>
      <c r="BS132" s="3">
        <v>14.26</v>
      </c>
      <c r="BT132" s="3">
        <v>13.242000000000001</v>
      </c>
      <c r="BU132" s="3">
        <v>12.015000000000001</v>
      </c>
      <c r="BV132" s="3">
        <v>13.6</v>
      </c>
      <c r="BW132" s="3">
        <v>14.082000000000001</v>
      </c>
      <c r="BX132" s="3">
        <v>11.398</v>
      </c>
      <c r="BY132" s="3">
        <v>14.705</v>
      </c>
      <c r="BZ132" s="3">
        <v>14.670999999999999</v>
      </c>
      <c r="CA132" s="3">
        <v>14.452999999999999</v>
      </c>
      <c r="CB132" s="3">
        <v>14.45</v>
      </c>
      <c r="CC132" s="3">
        <v>14.513</v>
      </c>
      <c r="CD132" s="3">
        <v>12.234999999999999</v>
      </c>
    </row>
    <row r="133" spans="1:82" x14ac:dyDescent="0.3">
      <c r="A133" s="48" t="s">
        <v>314</v>
      </c>
      <c r="B133" s="49" t="s">
        <v>334</v>
      </c>
      <c r="C133" s="3">
        <v>53.813958999999997</v>
      </c>
      <c r="D133" s="3">
        <v>39.345533330000002</v>
      </c>
      <c r="E133" s="3">
        <v>39.345533330000002</v>
      </c>
      <c r="F133" s="3">
        <v>24.421057170000001</v>
      </c>
      <c r="G133" s="3">
        <v>24.206445169999999</v>
      </c>
      <c r="H133" s="3">
        <v>39.345533330000002</v>
      </c>
      <c r="I133" s="48" t="s">
        <v>314</v>
      </c>
      <c r="J133" s="49" t="s">
        <v>334</v>
      </c>
      <c r="K133" s="3">
        <v>29850</v>
      </c>
      <c r="L133" s="48" t="s">
        <v>314</v>
      </c>
      <c r="M133" s="49" t="s">
        <v>334</v>
      </c>
      <c r="N133" s="3">
        <v>2606.842157</v>
      </c>
      <c r="O133" s="3">
        <v>3147.6638419999999</v>
      </c>
      <c r="P133" s="3">
        <v>1810.0818340000001</v>
      </c>
      <c r="Q133" s="3">
        <v>1997.1206360000001</v>
      </c>
      <c r="R133" s="3">
        <v>3405.7821629999999</v>
      </c>
      <c r="S133" s="3">
        <v>3755.2295479999998</v>
      </c>
      <c r="T133" s="3">
        <v>3185.2040320000001</v>
      </c>
      <c r="U133" s="3">
        <v>3542.2212570000002</v>
      </c>
      <c r="V133" s="3">
        <v>2365.578649</v>
      </c>
      <c r="W133" s="3">
        <v>1223.248497</v>
      </c>
      <c r="X133" s="3">
        <v>2496.5803350000001</v>
      </c>
      <c r="Y133" s="3">
        <v>186.2018917</v>
      </c>
      <c r="Z133" s="3">
        <v>884.68762790000005</v>
      </c>
      <c r="AA133" s="48" t="s">
        <v>314</v>
      </c>
      <c r="AB133" s="49" t="s">
        <v>334</v>
      </c>
      <c r="AC133" s="3">
        <v>0.29699999999999999</v>
      </c>
      <c r="AD133" s="3">
        <v>0.73499999999999999</v>
      </c>
      <c r="AE133" s="3">
        <v>0.14000000000000001</v>
      </c>
      <c r="AF133" s="3">
        <v>0.72599999999999998</v>
      </c>
      <c r="AG133" s="3">
        <v>0.108</v>
      </c>
      <c r="AH133" s="3">
        <v>0.70599999999999996</v>
      </c>
      <c r="AI133" s="3">
        <v>5.1999999999999998E-2</v>
      </c>
      <c r="AJ133" s="3">
        <v>0.76</v>
      </c>
      <c r="AK133" s="3">
        <v>0.23</v>
      </c>
      <c r="AL133" s="3">
        <v>0.97199999999999998</v>
      </c>
      <c r="AM133" s="3">
        <v>0.122</v>
      </c>
      <c r="AN133" s="3">
        <v>0.86299999999999999</v>
      </c>
      <c r="AO133" s="3">
        <v>0.13300000000000001</v>
      </c>
      <c r="AP133" s="3">
        <v>0.86299999999999999</v>
      </c>
      <c r="AQ133" s="3">
        <v>0.254</v>
      </c>
      <c r="AR133" s="3">
        <v>0.91100000000000003</v>
      </c>
      <c r="AS133" s="3">
        <v>0.29299999999999998</v>
      </c>
      <c r="AT133" s="3">
        <v>0.86399999999999999</v>
      </c>
      <c r="AU133" s="3">
        <v>0.29599999999999999</v>
      </c>
      <c r="AV133" s="3">
        <v>0.73499999999999999</v>
      </c>
      <c r="AW133" s="3">
        <v>0.58599999999999997</v>
      </c>
      <c r="AX133" s="3">
        <v>0.65100000000000002</v>
      </c>
      <c r="AY133" s="3">
        <v>0.27300000000000002</v>
      </c>
      <c r="AZ133" s="3">
        <v>0.67600000000000005</v>
      </c>
      <c r="BA133" s="3">
        <v>0.52400000000000002</v>
      </c>
      <c r="BB133" s="3">
        <v>0.59399999999999997</v>
      </c>
      <c r="BC133" s="3">
        <v>0.70899999999999996</v>
      </c>
      <c r="BD133" s="3">
        <v>0.51</v>
      </c>
      <c r="BE133" s="3">
        <v>0.1235</v>
      </c>
      <c r="BF133" s="3">
        <v>0.65400000000000003</v>
      </c>
      <c r="BG133" s="3">
        <v>0.71683333400000004</v>
      </c>
      <c r="BH133" s="3">
        <v>0.89500000000000002</v>
      </c>
      <c r="BI133" s="3">
        <v>0.51049999999999995</v>
      </c>
      <c r="BJ133" s="3">
        <v>0.72466666700000004</v>
      </c>
      <c r="BK133" s="3">
        <v>0.90300000000000002</v>
      </c>
      <c r="BL133" s="3">
        <v>0.63866666699999997</v>
      </c>
      <c r="BM133" s="3">
        <v>0.01</v>
      </c>
      <c r="BN133" s="3">
        <v>0.61533333300000004</v>
      </c>
      <c r="BO133" s="3">
        <v>0.74</v>
      </c>
      <c r="BP133" s="48" t="s">
        <v>314</v>
      </c>
      <c r="BQ133" s="49" t="s">
        <v>334</v>
      </c>
      <c r="BR133" s="3">
        <v>14.974</v>
      </c>
      <c r="BS133" s="3">
        <v>14.675000000000001</v>
      </c>
      <c r="BT133" s="3">
        <v>13.477</v>
      </c>
      <c r="BU133" s="3">
        <v>12.379</v>
      </c>
      <c r="BV133" s="3">
        <v>15.073</v>
      </c>
      <c r="BW133" s="3">
        <v>14.33</v>
      </c>
      <c r="BX133" s="3">
        <v>11.967000000000001</v>
      </c>
      <c r="BY133" s="3">
        <v>15.254</v>
      </c>
      <c r="BZ133" s="3">
        <v>15.278</v>
      </c>
      <c r="CA133" s="3">
        <v>15.138</v>
      </c>
      <c r="CB133" s="3">
        <v>15.096</v>
      </c>
      <c r="CC133" s="3">
        <v>14.831</v>
      </c>
      <c r="CD133" s="3">
        <v>12.34</v>
      </c>
    </row>
    <row r="134" spans="1:82" x14ac:dyDescent="0.3">
      <c r="A134" s="48" t="s">
        <v>314</v>
      </c>
      <c r="B134" s="49" t="s">
        <v>335</v>
      </c>
      <c r="C134" s="3">
        <v>44.478337000000003</v>
      </c>
      <c r="D134" s="3">
        <v>36.850668829999996</v>
      </c>
      <c r="E134" s="3">
        <v>36.591346000000001</v>
      </c>
      <c r="F134" s="3">
        <v>24.340577669999998</v>
      </c>
      <c r="G134" s="3">
        <v>24.340577669999998</v>
      </c>
      <c r="H134" s="3">
        <v>36.591346000000001</v>
      </c>
      <c r="I134" s="48" t="s">
        <v>314</v>
      </c>
      <c r="J134" s="49" t="s">
        <v>335</v>
      </c>
      <c r="K134" s="3">
        <v>29598</v>
      </c>
      <c r="L134" s="48" t="s">
        <v>314</v>
      </c>
      <c r="M134" s="49" t="s">
        <v>335</v>
      </c>
      <c r="N134" s="3">
        <v>2158.0938310000001</v>
      </c>
      <c r="O134" s="3">
        <v>2609.1699090000002</v>
      </c>
      <c r="P134" s="3">
        <v>1724.0983940000001</v>
      </c>
      <c r="Q134" s="3">
        <v>1934.9999929999999</v>
      </c>
      <c r="R134" s="3">
        <v>3044.9896399999998</v>
      </c>
      <c r="S134" s="3">
        <v>3318.9156379999999</v>
      </c>
      <c r="T134" s="3">
        <v>2573.4969209999999</v>
      </c>
      <c r="U134" s="3">
        <v>2851.7800499999998</v>
      </c>
      <c r="V134" s="3">
        <v>1830.7292</v>
      </c>
      <c r="W134" s="3">
        <v>1083.1251549999999</v>
      </c>
      <c r="X134" s="3">
        <v>1802.10358</v>
      </c>
      <c r="Y134" s="3">
        <v>175.692239</v>
      </c>
      <c r="Z134" s="3">
        <v>435.89901650000002</v>
      </c>
      <c r="AA134" s="48" t="s">
        <v>314</v>
      </c>
      <c r="AB134" s="49" t="s">
        <v>335</v>
      </c>
      <c r="AC134" s="3">
        <v>0.36199999999999999</v>
      </c>
      <c r="AD134" s="3">
        <v>0.78</v>
      </c>
      <c r="AE134" s="3">
        <v>0.14499999999999999</v>
      </c>
      <c r="AF134" s="3">
        <v>0.69</v>
      </c>
      <c r="AG134" s="3">
        <v>0.114</v>
      </c>
      <c r="AH134" s="3">
        <v>0.69299999999999995</v>
      </c>
      <c r="AI134" s="3">
        <v>6.8000000000000005E-2</v>
      </c>
      <c r="AJ134" s="3">
        <v>0.80300000000000005</v>
      </c>
      <c r="AK134" s="3">
        <v>0.23899999999999999</v>
      </c>
      <c r="AL134" s="3">
        <v>0.97699999999999998</v>
      </c>
      <c r="AM134" s="3">
        <v>0.19</v>
      </c>
      <c r="AN134" s="3">
        <v>0.86799999999999999</v>
      </c>
      <c r="AO134" s="3">
        <v>0.153</v>
      </c>
      <c r="AP134" s="3">
        <v>0.86799999999999999</v>
      </c>
      <c r="AQ134" s="3">
        <v>0.24199999999999999</v>
      </c>
      <c r="AR134" s="3">
        <v>0.92600000000000005</v>
      </c>
      <c r="AS134" s="3">
        <v>0.35799999999999998</v>
      </c>
      <c r="AT134" s="3">
        <v>0.89200000000000002</v>
      </c>
      <c r="AU134" s="3">
        <v>0.36599999999999999</v>
      </c>
      <c r="AV134" s="3">
        <v>0.76800000000000002</v>
      </c>
      <c r="AW134" s="3">
        <v>0.63700000000000001</v>
      </c>
      <c r="AX134" s="3">
        <v>0.64700000000000002</v>
      </c>
      <c r="AY134" s="3">
        <v>0.40400000000000003</v>
      </c>
      <c r="AZ134" s="3">
        <v>0.67500000000000004</v>
      </c>
      <c r="BA134" s="3">
        <v>0.58099999999999996</v>
      </c>
      <c r="BB134" s="3">
        <v>0.58799999999999997</v>
      </c>
      <c r="BC134" s="3">
        <v>0.747</v>
      </c>
      <c r="BD134" s="3">
        <v>0.63349999999999995</v>
      </c>
      <c r="BE134" s="3">
        <v>0.22800000000000001</v>
      </c>
      <c r="BF134" s="3">
        <v>0.69399999999999995</v>
      </c>
      <c r="BG134" s="3">
        <v>0.75249999999999995</v>
      </c>
      <c r="BH134" s="3">
        <v>0.878</v>
      </c>
      <c r="BI134" s="3">
        <v>0.50149999999999995</v>
      </c>
      <c r="BJ134" s="3">
        <v>0.75800000000000001</v>
      </c>
      <c r="BK134" s="3">
        <v>0.87649999999999995</v>
      </c>
      <c r="BL134" s="3">
        <v>0.55200000000000005</v>
      </c>
      <c r="BM134" s="3">
        <v>0.01</v>
      </c>
      <c r="BN134" s="3">
        <v>0.59099999999999997</v>
      </c>
      <c r="BO134" s="3">
        <v>0.66200000000000003</v>
      </c>
      <c r="BP134" s="48" t="s">
        <v>314</v>
      </c>
      <c r="BQ134" s="49" t="s">
        <v>335</v>
      </c>
      <c r="BR134" s="3">
        <v>16.268999999999998</v>
      </c>
      <c r="BS134" s="3">
        <v>14.493</v>
      </c>
      <c r="BT134" s="3">
        <v>13.539</v>
      </c>
      <c r="BU134" s="3">
        <v>12.821999999999999</v>
      </c>
      <c r="BV134" s="3">
        <v>16.626999999999999</v>
      </c>
      <c r="BW134" s="3">
        <v>14.4</v>
      </c>
      <c r="BX134" s="3">
        <v>12.504</v>
      </c>
      <c r="BY134" s="3">
        <v>15.907</v>
      </c>
      <c r="BZ134" s="3">
        <v>16.021999999999998</v>
      </c>
      <c r="CA134" s="3">
        <v>15.863</v>
      </c>
      <c r="CB134" s="3">
        <v>15.042</v>
      </c>
      <c r="CC134" s="3">
        <v>14.724</v>
      </c>
      <c r="CD134" s="3">
        <v>12.353</v>
      </c>
    </row>
    <row r="135" spans="1:82" x14ac:dyDescent="0.3">
      <c r="A135" s="48" t="s">
        <v>314</v>
      </c>
      <c r="B135" s="49" t="s">
        <v>336</v>
      </c>
      <c r="C135" s="3">
        <v>42.457407330000002</v>
      </c>
      <c r="D135" s="3">
        <v>33.103901</v>
      </c>
      <c r="E135" s="3">
        <v>33.103901</v>
      </c>
      <c r="F135" s="3">
        <v>24.251156000000002</v>
      </c>
      <c r="G135" s="3">
        <v>24.251156000000002</v>
      </c>
      <c r="H135" s="3">
        <v>33.103901</v>
      </c>
      <c r="I135" s="48" t="s">
        <v>314</v>
      </c>
      <c r="J135" s="49" t="s">
        <v>336</v>
      </c>
      <c r="K135" s="3">
        <v>29081.5</v>
      </c>
      <c r="L135" s="48" t="s">
        <v>314</v>
      </c>
      <c r="M135" s="49" t="s">
        <v>336</v>
      </c>
      <c r="N135" s="3">
        <v>1974.768217</v>
      </c>
      <c r="O135" s="3">
        <v>2339.350136</v>
      </c>
      <c r="P135" s="3">
        <v>1778.599152</v>
      </c>
      <c r="Q135" s="3">
        <v>1911.627514</v>
      </c>
      <c r="R135" s="3">
        <v>2940.2136620000001</v>
      </c>
      <c r="S135" s="3">
        <v>3382.4170130000002</v>
      </c>
      <c r="T135" s="3">
        <v>2380.4126590000001</v>
      </c>
      <c r="U135" s="3">
        <v>2693.48711</v>
      </c>
      <c r="V135" s="3">
        <v>1671.3118730000001</v>
      </c>
      <c r="W135" s="3">
        <v>1104.3021220000001</v>
      </c>
      <c r="X135" s="3">
        <v>1632.6340700000001</v>
      </c>
      <c r="Y135" s="3">
        <v>204.88113490000001</v>
      </c>
      <c r="Z135" s="3">
        <v>349.95843769999999</v>
      </c>
      <c r="AA135" s="48" t="s">
        <v>314</v>
      </c>
      <c r="AB135" s="49" t="s">
        <v>336</v>
      </c>
      <c r="AC135" s="3">
        <v>0.318</v>
      </c>
      <c r="AD135" s="3">
        <v>0.73899999999999999</v>
      </c>
      <c r="AE135" s="3">
        <v>0.155</v>
      </c>
      <c r="AF135" s="3">
        <v>0.628</v>
      </c>
      <c r="AG135" s="3">
        <v>0.10199999999999999</v>
      </c>
      <c r="AH135" s="3">
        <v>0.67600000000000005</v>
      </c>
      <c r="AI135" s="3">
        <v>8.1000000000000003E-2</v>
      </c>
      <c r="AJ135" s="3">
        <v>0.76400000000000001</v>
      </c>
      <c r="AK135" s="3">
        <v>0.23</v>
      </c>
      <c r="AL135" s="3">
        <v>0.97599999999999998</v>
      </c>
      <c r="AM135" s="3">
        <v>0.308</v>
      </c>
      <c r="AN135" s="3">
        <v>0.85899999999999999</v>
      </c>
      <c r="AO135" s="3">
        <v>0.14599999999999999</v>
      </c>
      <c r="AP135" s="3">
        <v>0.85899999999999999</v>
      </c>
      <c r="AQ135" s="3">
        <v>0.19900000000000001</v>
      </c>
      <c r="AR135" s="3">
        <v>0.92</v>
      </c>
      <c r="AS135" s="3">
        <v>0.377</v>
      </c>
      <c r="AT135" s="3">
        <v>0.879</v>
      </c>
      <c r="AU135" s="3">
        <v>0.38600000000000001</v>
      </c>
      <c r="AV135" s="3">
        <v>0.77500000000000002</v>
      </c>
      <c r="AW135" s="3">
        <v>0.60199999999999998</v>
      </c>
      <c r="AX135" s="3">
        <v>0.61799999999999999</v>
      </c>
      <c r="AY135" s="3">
        <v>0.38200000000000001</v>
      </c>
      <c r="AZ135" s="3">
        <v>0.66100000000000003</v>
      </c>
      <c r="BA135" s="3">
        <v>0.56799999999999995</v>
      </c>
      <c r="BB135" s="3">
        <v>0.58499999999999996</v>
      </c>
      <c r="BC135" s="3">
        <v>0.77200000000000002</v>
      </c>
      <c r="BD135" s="3">
        <v>0.74150000000000005</v>
      </c>
      <c r="BE135" s="3">
        <v>0.39250000000000002</v>
      </c>
      <c r="BF135" s="3">
        <v>0.73966666700000006</v>
      </c>
      <c r="BG135" s="3">
        <v>0.78166666699999998</v>
      </c>
      <c r="BH135" s="3">
        <v>0.86199999999999999</v>
      </c>
      <c r="BI135" s="3">
        <v>0.50900000000000001</v>
      </c>
      <c r="BJ135" s="3">
        <v>0.79133333299999997</v>
      </c>
      <c r="BK135" s="3">
        <v>0.84699999999999998</v>
      </c>
      <c r="BL135" s="3">
        <v>0.489666667</v>
      </c>
      <c r="BM135" s="3">
        <v>0.01</v>
      </c>
      <c r="BN135" s="3">
        <v>0.56766666700000001</v>
      </c>
      <c r="BO135" s="3">
        <v>0.59899999999999998</v>
      </c>
      <c r="BP135" s="48" t="s">
        <v>314</v>
      </c>
      <c r="BQ135" s="49" t="s">
        <v>336</v>
      </c>
      <c r="BR135" s="3">
        <v>16.465</v>
      </c>
      <c r="BS135" s="3">
        <v>13.988</v>
      </c>
      <c r="BT135" s="3">
        <v>13.361000000000001</v>
      </c>
      <c r="BU135" s="3">
        <v>13.329000000000001</v>
      </c>
      <c r="BV135" s="3">
        <v>17.113</v>
      </c>
      <c r="BW135" s="3">
        <v>14.356999999999999</v>
      </c>
      <c r="BX135" s="3">
        <v>13.071999999999999</v>
      </c>
      <c r="BY135" s="3">
        <v>16.5</v>
      </c>
      <c r="BZ135" s="3">
        <v>16.516999999999999</v>
      </c>
      <c r="CA135" s="3">
        <v>16.436</v>
      </c>
      <c r="CB135" s="3">
        <v>14.539</v>
      </c>
      <c r="CC135" s="3">
        <v>14.45</v>
      </c>
      <c r="CD135" s="3">
        <v>12.422000000000001</v>
      </c>
    </row>
    <row r="136" spans="1:82" x14ac:dyDescent="0.3">
      <c r="A136" s="48" t="s">
        <v>314</v>
      </c>
      <c r="B136" s="49" t="s">
        <v>337</v>
      </c>
      <c r="C136" s="3">
        <v>33.407934670000003</v>
      </c>
      <c r="D136" s="3">
        <v>31.297583329999998</v>
      </c>
      <c r="E136" s="3">
        <v>31.297583329999998</v>
      </c>
      <c r="F136" s="3">
        <v>24.412115</v>
      </c>
      <c r="G136" s="3">
        <v>24.412115</v>
      </c>
      <c r="H136" s="3">
        <v>31.297583329999998</v>
      </c>
      <c r="I136" s="48" t="s">
        <v>314</v>
      </c>
      <c r="J136" s="49" t="s">
        <v>337</v>
      </c>
      <c r="K136" s="3">
        <v>28700</v>
      </c>
      <c r="L136" s="48" t="s">
        <v>314</v>
      </c>
      <c r="M136" s="49" t="s">
        <v>337</v>
      </c>
      <c r="N136" s="3">
        <v>1999.5524350000001</v>
      </c>
      <c r="O136" s="3">
        <v>2505.9350020000002</v>
      </c>
      <c r="P136" s="3">
        <v>1739.7612690000001</v>
      </c>
      <c r="Q136" s="3">
        <v>1735.1306509999999</v>
      </c>
      <c r="R136" s="3">
        <v>3069.1543689999999</v>
      </c>
      <c r="S136" s="3">
        <v>3523.7020889999999</v>
      </c>
      <c r="T136" s="3">
        <v>2293.8561049999998</v>
      </c>
      <c r="U136" s="3">
        <v>2810.250501</v>
      </c>
      <c r="V136" s="3">
        <v>1776.9087999999999</v>
      </c>
      <c r="W136" s="3">
        <v>947.27558290000002</v>
      </c>
      <c r="X136" s="3">
        <v>1653.353938</v>
      </c>
      <c r="Y136" s="3">
        <v>216.81124779999999</v>
      </c>
      <c r="Z136" s="3">
        <v>268.0818658</v>
      </c>
      <c r="AA136" s="48" t="s">
        <v>314</v>
      </c>
      <c r="AB136" s="49" t="s">
        <v>337</v>
      </c>
      <c r="AC136" s="3">
        <v>0.188</v>
      </c>
      <c r="AD136" s="3">
        <v>0.60899999999999999</v>
      </c>
      <c r="AE136" s="3">
        <v>0.159</v>
      </c>
      <c r="AF136" s="3">
        <v>0.62</v>
      </c>
      <c r="AG136" s="3">
        <v>7.6999999999999999E-2</v>
      </c>
      <c r="AH136" s="3">
        <v>0.67600000000000005</v>
      </c>
      <c r="AI136" s="3">
        <v>9.0999999999999998E-2</v>
      </c>
      <c r="AJ136" s="3">
        <v>0.68</v>
      </c>
      <c r="AK136" s="3">
        <v>0.22800000000000001</v>
      </c>
      <c r="AL136" s="3">
        <v>0.97299999999999998</v>
      </c>
      <c r="AM136" s="3">
        <v>0.371</v>
      </c>
      <c r="AN136" s="3">
        <v>0.84199999999999997</v>
      </c>
      <c r="AO136" s="3">
        <v>0.152</v>
      </c>
      <c r="AP136" s="3">
        <v>0.84199999999999997</v>
      </c>
      <c r="AQ136" s="3">
        <v>0.17399999999999999</v>
      </c>
      <c r="AR136" s="3">
        <v>0.88700000000000001</v>
      </c>
      <c r="AS136" s="3">
        <v>0.33700000000000002</v>
      </c>
      <c r="AT136" s="3">
        <v>0.83699999999999997</v>
      </c>
      <c r="AU136" s="3">
        <v>0.34799999999999998</v>
      </c>
      <c r="AV136" s="3">
        <v>0.75900000000000001</v>
      </c>
      <c r="AW136" s="3">
        <v>0.44</v>
      </c>
      <c r="AX136" s="3">
        <v>0.58799999999999997</v>
      </c>
      <c r="AY136" s="3">
        <v>0.33800000000000002</v>
      </c>
      <c r="AZ136" s="3">
        <v>0.63400000000000001</v>
      </c>
      <c r="BA136" s="3">
        <v>0.48699999999999999</v>
      </c>
      <c r="BB136" s="3">
        <v>0.54900000000000004</v>
      </c>
      <c r="BC136" s="3">
        <v>0.79849999999999999</v>
      </c>
      <c r="BD136" s="3">
        <v>0.82150000000000001</v>
      </c>
      <c r="BE136" s="3">
        <v>0.57550000000000001</v>
      </c>
      <c r="BF136" s="3">
        <v>0.79</v>
      </c>
      <c r="BG136" s="3">
        <v>0.80108333399999998</v>
      </c>
      <c r="BH136" s="3">
        <v>0.85299999999999998</v>
      </c>
      <c r="BI136" s="3">
        <v>0.53149999999999997</v>
      </c>
      <c r="BJ136" s="3">
        <v>0.803666667</v>
      </c>
      <c r="BK136" s="3">
        <v>0.81599999999999995</v>
      </c>
      <c r="BL136" s="3">
        <v>0.44500000000000001</v>
      </c>
      <c r="BM136" s="3">
        <v>0.01</v>
      </c>
      <c r="BN136" s="3">
        <v>0.56299999999999994</v>
      </c>
      <c r="BO136" s="3">
        <v>0.55600000000000005</v>
      </c>
      <c r="BP136" s="48" t="s">
        <v>314</v>
      </c>
      <c r="BQ136" s="49" t="s">
        <v>337</v>
      </c>
      <c r="BR136" s="3">
        <v>15.593</v>
      </c>
      <c r="BS136" s="3">
        <v>13.576000000000001</v>
      </c>
      <c r="BT136" s="3">
        <v>13.196999999999999</v>
      </c>
      <c r="BU136" s="3">
        <v>13.83</v>
      </c>
      <c r="BV136" s="3">
        <v>16.904</v>
      </c>
      <c r="BW136" s="3">
        <v>14.234999999999999</v>
      </c>
      <c r="BX136" s="3">
        <v>13.513</v>
      </c>
      <c r="BY136" s="3">
        <v>16.638999999999999</v>
      </c>
      <c r="BZ136" s="3">
        <v>16.547000000000001</v>
      </c>
      <c r="CA136" s="3">
        <v>16.751000000000001</v>
      </c>
      <c r="CB136" s="3">
        <v>14.194000000000001</v>
      </c>
      <c r="CC136" s="3">
        <v>14.186</v>
      </c>
      <c r="CD136" s="3">
        <v>12.303000000000001</v>
      </c>
    </row>
    <row r="137" spans="1:82" x14ac:dyDescent="0.3">
      <c r="A137" s="48" t="s">
        <v>314</v>
      </c>
      <c r="B137" s="49" t="s">
        <v>338</v>
      </c>
      <c r="C137" s="3">
        <v>33.774563499999999</v>
      </c>
      <c r="D137" s="3">
        <v>33.345339500000001</v>
      </c>
      <c r="E137" s="3">
        <v>33.345339500000001</v>
      </c>
      <c r="F137" s="3">
        <v>24.358461999999999</v>
      </c>
      <c r="G137" s="3">
        <v>24.358461999999999</v>
      </c>
      <c r="H137" s="3">
        <v>33.345339500000001</v>
      </c>
      <c r="I137" s="48" t="s">
        <v>314</v>
      </c>
      <c r="J137" s="49" t="s">
        <v>338</v>
      </c>
      <c r="K137" s="3">
        <v>29044</v>
      </c>
      <c r="L137" s="48" t="s">
        <v>314</v>
      </c>
      <c r="M137" s="49" t="s">
        <v>338</v>
      </c>
      <c r="N137" s="3">
        <v>1761.476889</v>
      </c>
      <c r="O137" s="3">
        <v>2564.4096070000001</v>
      </c>
      <c r="P137" s="3">
        <v>1832.413849</v>
      </c>
      <c r="Q137" s="3">
        <v>1649.7114999999999</v>
      </c>
      <c r="R137" s="3">
        <v>2730.4385459999999</v>
      </c>
      <c r="S137" s="3">
        <v>3605.5602600000002</v>
      </c>
      <c r="T137" s="3">
        <v>2017.9000129999999</v>
      </c>
      <c r="U137" s="3">
        <v>2537.5945240000001</v>
      </c>
      <c r="V137" s="3">
        <v>1527.074253</v>
      </c>
      <c r="W137" s="3">
        <v>898.26645489999999</v>
      </c>
      <c r="X137" s="3">
        <v>1709.894632</v>
      </c>
      <c r="Y137" s="3">
        <v>283.18690329999998</v>
      </c>
      <c r="Z137" s="3">
        <v>239.36910979999999</v>
      </c>
      <c r="AA137" s="48" t="s">
        <v>314</v>
      </c>
      <c r="AB137" s="49" t="s">
        <v>338</v>
      </c>
      <c r="AC137" s="3">
        <v>0.13100000000000001</v>
      </c>
      <c r="AD137" s="3">
        <v>0.56000000000000005</v>
      </c>
      <c r="AE137" s="3">
        <v>0.17599999999999999</v>
      </c>
      <c r="AF137" s="3">
        <v>0.61199999999999999</v>
      </c>
      <c r="AG137" s="3">
        <v>5.5E-2</v>
      </c>
      <c r="AH137" s="3">
        <v>0.66500000000000004</v>
      </c>
      <c r="AI137" s="3">
        <v>7.5999999999999998E-2</v>
      </c>
      <c r="AJ137" s="3">
        <v>0.57999999999999996</v>
      </c>
      <c r="AK137" s="3">
        <v>0.188</v>
      </c>
      <c r="AL137" s="3">
        <v>0.97</v>
      </c>
      <c r="AM137" s="3">
        <v>0.32800000000000001</v>
      </c>
      <c r="AN137" s="3">
        <v>0.80600000000000005</v>
      </c>
      <c r="AO137" s="3">
        <v>0.16400000000000001</v>
      </c>
      <c r="AP137" s="3">
        <v>0.80600000000000005</v>
      </c>
      <c r="AQ137" s="3">
        <v>0.13400000000000001</v>
      </c>
      <c r="AR137" s="3">
        <v>0.83799999999999997</v>
      </c>
      <c r="AS137" s="3">
        <v>0.26100000000000001</v>
      </c>
      <c r="AT137" s="3">
        <v>0.77500000000000002</v>
      </c>
      <c r="AU137" s="3">
        <v>0.26800000000000002</v>
      </c>
      <c r="AV137" s="3">
        <v>0.71199999999999997</v>
      </c>
      <c r="AW137" s="3">
        <v>0.22800000000000001</v>
      </c>
      <c r="AX137" s="3">
        <v>0.51</v>
      </c>
      <c r="AY137" s="3">
        <v>0.26900000000000002</v>
      </c>
      <c r="AZ137" s="3">
        <v>0.58899999999999997</v>
      </c>
      <c r="BA137" s="3">
        <v>0.36699999999999999</v>
      </c>
      <c r="BB137" s="3">
        <v>0.47599999999999998</v>
      </c>
      <c r="BC137" s="3">
        <v>0.81850000000000001</v>
      </c>
      <c r="BD137" s="3">
        <v>0.86350000000000005</v>
      </c>
      <c r="BE137" s="3">
        <v>0.70250000000000001</v>
      </c>
      <c r="BF137" s="3">
        <v>0.82199999999999995</v>
      </c>
      <c r="BG137" s="3">
        <v>0.80774999999999997</v>
      </c>
      <c r="BH137" s="3">
        <v>0.85099999999999998</v>
      </c>
      <c r="BI137" s="3">
        <v>0.55149999999999999</v>
      </c>
      <c r="BJ137" s="3">
        <v>0.79700000000000004</v>
      </c>
      <c r="BK137" s="3">
        <v>0.78049999999999997</v>
      </c>
      <c r="BL137" s="3">
        <v>0.39966666699999998</v>
      </c>
      <c r="BM137" s="3">
        <v>0.01</v>
      </c>
      <c r="BN137" s="3">
        <v>0.557666667</v>
      </c>
      <c r="BO137" s="3">
        <v>0.52100000000000002</v>
      </c>
      <c r="BP137" s="48" t="s">
        <v>314</v>
      </c>
      <c r="BQ137" s="49" t="s">
        <v>338</v>
      </c>
      <c r="BR137" s="3">
        <v>14.614000000000001</v>
      </c>
      <c r="BS137" s="3">
        <v>13.28</v>
      </c>
      <c r="BT137" s="3">
        <v>13.395</v>
      </c>
      <c r="BU137" s="3">
        <v>14.143000000000001</v>
      </c>
      <c r="BV137" s="3">
        <v>16.456</v>
      </c>
      <c r="BW137" s="3">
        <v>14.066000000000001</v>
      </c>
      <c r="BX137" s="3">
        <v>13.529</v>
      </c>
      <c r="BY137" s="3">
        <v>16.478999999999999</v>
      </c>
      <c r="BZ137" s="3">
        <v>16.456</v>
      </c>
      <c r="CA137" s="3">
        <v>16.571000000000002</v>
      </c>
      <c r="CB137" s="3">
        <v>13.84</v>
      </c>
      <c r="CC137" s="3">
        <v>13.797000000000001</v>
      </c>
      <c r="CD137" s="3">
        <v>11.994999999999999</v>
      </c>
    </row>
    <row r="138" spans="1:82" x14ac:dyDescent="0.3">
      <c r="A138" s="48" t="s">
        <v>314</v>
      </c>
      <c r="B138" s="49" t="s">
        <v>339</v>
      </c>
      <c r="C138" s="3">
        <v>33.229091330000003</v>
      </c>
      <c r="D138" s="3">
        <v>38.469200999999998</v>
      </c>
      <c r="E138" s="3">
        <v>38.469200999999998</v>
      </c>
      <c r="F138" s="3">
        <v>24.590958329999999</v>
      </c>
      <c r="G138" s="3">
        <v>24.590958329999999</v>
      </c>
      <c r="H138" s="3">
        <v>38.469200999999998</v>
      </c>
      <c r="I138" s="48" t="s">
        <v>314</v>
      </c>
      <c r="J138" s="49" t="s">
        <v>339</v>
      </c>
      <c r="K138" s="3">
        <v>30634</v>
      </c>
      <c r="L138" s="48" t="s">
        <v>314</v>
      </c>
      <c r="M138" s="49" t="s">
        <v>339</v>
      </c>
      <c r="N138" s="3">
        <v>1679.2256130000001</v>
      </c>
      <c r="O138" s="3">
        <v>2636.1468129999998</v>
      </c>
      <c r="P138" s="3">
        <v>2068.0289859999998</v>
      </c>
      <c r="Q138" s="3">
        <v>1600.956983</v>
      </c>
      <c r="R138" s="3">
        <v>2432.5690199999999</v>
      </c>
      <c r="S138" s="3">
        <v>3768.8255450000001</v>
      </c>
      <c r="T138" s="3">
        <v>1665.506834</v>
      </c>
      <c r="U138" s="3">
        <v>2204.0125889999999</v>
      </c>
      <c r="V138" s="3">
        <v>1471.9916000000001</v>
      </c>
      <c r="W138" s="3">
        <v>1027.141529</v>
      </c>
      <c r="X138" s="3">
        <v>1674.697007</v>
      </c>
      <c r="Y138" s="3">
        <v>320.23355129999999</v>
      </c>
      <c r="Z138" s="3">
        <v>399.03868510000001</v>
      </c>
      <c r="AA138" s="48" t="s">
        <v>314</v>
      </c>
      <c r="AB138" s="49" t="s">
        <v>339</v>
      </c>
      <c r="AC138" s="3">
        <v>9.7000000000000003E-2</v>
      </c>
      <c r="AD138" s="3">
        <v>0.56200000000000006</v>
      </c>
      <c r="AE138" s="3">
        <v>0.11700000000000001</v>
      </c>
      <c r="AF138" s="3">
        <v>0.625</v>
      </c>
      <c r="AG138" s="3">
        <v>3.5999999999999997E-2</v>
      </c>
      <c r="AH138" s="3">
        <v>0.63800000000000001</v>
      </c>
      <c r="AI138" s="3">
        <v>5.5E-2</v>
      </c>
      <c r="AJ138" s="3">
        <v>0.53300000000000003</v>
      </c>
      <c r="AK138" s="3">
        <v>0.105</v>
      </c>
      <c r="AL138" s="3">
        <v>0.97</v>
      </c>
      <c r="AM138" s="3">
        <v>0.187</v>
      </c>
      <c r="AN138" s="3">
        <v>0.72599999999999998</v>
      </c>
      <c r="AO138" s="3">
        <v>8.1000000000000003E-2</v>
      </c>
      <c r="AP138" s="3">
        <v>0.72599999999999998</v>
      </c>
      <c r="AQ138" s="3">
        <v>8.6999999999999994E-2</v>
      </c>
      <c r="AR138" s="3">
        <v>0.78200000000000003</v>
      </c>
      <c r="AS138" s="3">
        <v>0.128</v>
      </c>
      <c r="AT138" s="3">
        <v>0.70299999999999996</v>
      </c>
      <c r="AU138" s="3">
        <v>0.128</v>
      </c>
      <c r="AV138" s="3">
        <v>0.63100000000000001</v>
      </c>
      <c r="AW138" s="3">
        <v>0.11600000000000001</v>
      </c>
      <c r="AX138" s="3">
        <v>0.45100000000000001</v>
      </c>
      <c r="AY138" s="3">
        <v>0.16900000000000001</v>
      </c>
      <c r="AZ138" s="3">
        <v>0.49299999999999999</v>
      </c>
      <c r="BA138" s="3">
        <v>0.221</v>
      </c>
      <c r="BB138" s="3">
        <v>0.40600000000000003</v>
      </c>
      <c r="BC138" s="3">
        <v>0.82399999999999995</v>
      </c>
      <c r="BD138" s="3">
        <v>0.87649999999999995</v>
      </c>
      <c r="BE138" s="3">
        <v>0.76800000000000002</v>
      </c>
      <c r="BF138" s="3">
        <v>0.83299999999999996</v>
      </c>
      <c r="BG138" s="3">
        <v>0.79500000000000004</v>
      </c>
      <c r="BH138" s="3">
        <v>0.84299999999999997</v>
      </c>
      <c r="BI138" s="3">
        <v>0.57699999999999996</v>
      </c>
      <c r="BJ138" s="3">
        <v>0.76600000000000001</v>
      </c>
      <c r="BK138" s="3">
        <v>0.75</v>
      </c>
      <c r="BL138" s="3">
        <v>0.36633333299999998</v>
      </c>
      <c r="BM138" s="3">
        <v>0.01</v>
      </c>
      <c r="BN138" s="3">
        <v>0.54833333299999998</v>
      </c>
      <c r="BO138" s="3">
        <v>0.498</v>
      </c>
      <c r="BP138" s="48" t="s">
        <v>314</v>
      </c>
      <c r="BQ138" s="49" t="s">
        <v>339</v>
      </c>
      <c r="BR138" s="3">
        <v>13.888999999999999</v>
      </c>
      <c r="BS138" s="3">
        <v>13.074999999999999</v>
      </c>
      <c r="BT138" s="3">
        <v>13.590999999999999</v>
      </c>
      <c r="BU138" s="3">
        <v>14.013</v>
      </c>
      <c r="BV138" s="3">
        <v>15.879</v>
      </c>
      <c r="BW138" s="3">
        <v>13.885999999999999</v>
      </c>
      <c r="BX138" s="3">
        <v>13.185</v>
      </c>
      <c r="BY138" s="3">
        <v>16.298999999999999</v>
      </c>
      <c r="BZ138" s="3">
        <v>16.349</v>
      </c>
      <c r="CA138" s="3">
        <v>15.891999999999999</v>
      </c>
      <c r="CB138" s="3">
        <v>13.374000000000001</v>
      </c>
      <c r="CC138" s="3">
        <v>13.365</v>
      </c>
      <c r="CD138" s="3">
        <v>11.824999999999999</v>
      </c>
    </row>
    <row r="139" spans="1:82" x14ac:dyDescent="0.3">
      <c r="A139" s="48" t="s">
        <v>314</v>
      </c>
      <c r="B139" s="49" t="s">
        <v>340</v>
      </c>
      <c r="C139" s="3">
        <v>50.585836829999998</v>
      </c>
      <c r="D139" s="3">
        <v>47.375599000000001</v>
      </c>
      <c r="E139" s="3">
        <v>47.04473883</v>
      </c>
      <c r="F139" s="3">
        <v>24.8681655</v>
      </c>
      <c r="G139" s="3">
        <v>24.8681655</v>
      </c>
      <c r="H139" s="3">
        <v>47.04473883</v>
      </c>
      <c r="I139" s="48" t="s">
        <v>314</v>
      </c>
      <c r="J139" s="49" t="s">
        <v>340</v>
      </c>
      <c r="K139" s="3">
        <v>32901</v>
      </c>
      <c r="L139" s="48" t="s">
        <v>314</v>
      </c>
      <c r="M139" s="49" t="s">
        <v>340</v>
      </c>
      <c r="N139" s="3">
        <v>2136.5160470000001</v>
      </c>
      <c r="O139" s="3">
        <v>3409.145481</v>
      </c>
      <c r="P139" s="3">
        <v>2774.086186</v>
      </c>
      <c r="Q139" s="3">
        <v>1936.0477639999999</v>
      </c>
      <c r="R139" s="3">
        <v>2763.6601340000002</v>
      </c>
      <c r="S139" s="3">
        <v>4600.6420049999997</v>
      </c>
      <c r="T139" s="3">
        <v>1916.1435409999999</v>
      </c>
      <c r="U139" s="3">
        <v>2599.8516169999998</v>
      </c>
      <c r="V139" s="3">
        <v>1665.9502210000001</v>
      </c>
      <c r="W139" s="3">
        <v>1986.803782</v>
      </c>
      <c r="X139" s="3">
        <v>2267.9602719999998</v>
      </c>
      <c r="Y139" s="3">
        <v>487.97733310000001</v>
      </c>
      <c r="Z139" s="3">
        <v>1274.9904140000001</v>
      </c>
      <c r="AA139" s="48" t="s">
        <v>314</v>
      </c>
      <c r="AB139" s="49" t="s">
        <v>340</v>
      </c>
      <c r="AC139" s="3">
        <v>4.2000000000000003E-2</v>
      </c>
      <c r="AD139" s="3">
        <v>0.58599999999999997</v>
      </c>
      <c r="AE139" s="3">
        <v>5.8000000000000003E-2</v>
      </c>
      <c r="AF139" s="3">
        <v>0.63300000000000001</v>
      </c>
      <c r="AG139" s="3">
        <v>1.7999999999999999E-2</v>
      </c>
      <c r="AH139" s="3">
        <v>0.60899999999999999</v>
      </c>
      <c r="AI139" s="3">
        <v>2.7E-2</v>
      </c>
      <c r="AJ139" s="3">
        <v>0.54700000000000004</v>
      </c>
      <c r="AK139" s="3">
        <v>3.6999999999999998E-2</v>
      </c>
      <c r="AL139" s="3">
        <v>0.96299999999999997</v>
      </c>
      <c r="AM139" s="3">
        <v>6.5000000000000002E-2</v>
      </c>
      <c r="AN139" s="3">
        <v>0.64300000000000002</v>
      </c>
      <c r="AO139" s="3">
        <v>2.5000000000000001E-2</v>
      </c>
      <c r="AP139" s="3">
        <v>0.64300000000000002</v>
      </c>
      <c r="AQ139" s="3">
        <v>0.03</v>
      </c>
      <c r="AR139" s="3">
        <v>0.72899999999999998</v>
      </c>
      <c r="AS139" s="3">
        <v>3.6999999999999998E-2</v>
      </c>
      <c r="AT139" s="3">
        <v>0.64800000000000002</v>
      </c>
      <c r="AU139" s="3">
        <v>3.6999999999999998E-2</v>
      </c>
      <c r="AV139" s="3">
        <v>0.55600000000000005</v>
      </c>
      <c r="AW139" s="3">
        <v>4.9000000000000002E-2</v>
      </c>
      <c r="AX139" s="3">
        <v>0.42899999999999999</v>
      </c>
      <c r="AY139" s="3">
        <v>6.2E-2</v>
      </c>
      <c r="AZ139" s="3">
        <v>0.41499999999999998</v>
      </c>
      <c r="BA139" s="3">
        <v>9.5000000000000001E-2</v>
      </c>
      <c r="BB139" s="3">
        <v>0.377</v>
      </c>
      <c r="BC139" s="3">
        <v>0.80249999999999999</v>
      </c>
      <c r="BD139" s="3">
        <v>0.87450000000000006</v>
      </c>
      <c r="BE139" s="3">
        <v>0.80649999999999999</v>
      </c>
      <c r="BF139" s="3">
        <v>0.82899999999999996</v>
      </c>
      <c r="BG139" s="3">
        <v>0.76341666699999999</v>
      </c>
      <c r="BH139" s="3">
        <v>0.81499999999999995</v>
      </c>
      <c r="BI139" s="3">
        <v>0.61650000000000005</v>
      </c>
      <c r="BJ139" s="3">
        <v>0.72433333300000002</v>
      </c>
      <c r="BK139" s="3">
        <v>0.73750000000000004</v>
      </c>
      <c r="BL139" s="3">
        <v>0.34100000000000003</v>
      </c>
      <c r="BM139" s="3">
        <v>0.01</v>
      </c>
      <c r="BN139" s="3">
        <v>0.52</v>
      </c>
      <c r="BO139" s="3">
        <v>0.48399999999999999</v>
      </c>
      <c r="BP139" s="48" t="s">
        <v>314</v>
      </c>
      <c r="BQ139" s="49" t="s">
        <v>340</v>
      </c>
      <c r="BR139" s="3">
        <v>13.202999999999999</v>
      </c>
      <c r="BS139" s="3">
        <v>12.835000000000001</v>
      </c>
      <c r="BT139" s="3">
        <v>13.286</v>
      </c>
      <c r="BU139" s="3">
        <v>13.295</v>
      </c>
      <c r="BV139" s="3">
        <v>14.954000000000001</v>
      </c>
      <c r="BW139" s="3">
        <v>13.896000000000001</v>
      </c>
      <c r="BX139" s="3">
        <v>12.412000000000001</v>
      </c>
      <c r="BY139" s="3">
        <v>16.048999999999999</v>
      </c>
      <c r="BZ139" s="3">
        <v>15.997999999999999</v>
      </c>
      <c r="CA139" s="3">
        <v>15.013</v>
      </c>
      <c r="CB139" s="3">
        <v>12.859</v>
      </c>
      <c r="CC139" s="3">
        <v>12.999000000000001</v>
      </c>
      <c r="CD139" s="3">
        <v>11.651</v>
      </c>
    </row>
    <row r="140" spans="1:82" x14ac:dyDescent="0.3">
      <c r="A140" s="48" t="s">
        <v>314</v>
      </c>
      <c r="B140" s="49" t="s">
        <v>341</v>
      </c>
      <c r="C140" s="3">
        <v>67.513358330000003</v>
      </c>
      <c r="D140" s="3">
        <v>55.298358669999999</v>
      </c>
      <c r="E140" s="3">
        <v>55.298358669999999</v>
      </c>
      <c r="F140" s="3">
        <v>24.921818500000001</v>
      </c>
      <c r="G140" s="3">
        <v>24.921818500000001</v>
      </c>
      <c r="H140" s="3">
        <v>55.298358669999999</v>
      </c>
      <c r="I140" s="48" t="s">
        <v>314</v>
      </c>
      <c r="J140" s="49" t="s">
        <v>341</v>
      </c>
      <c r="K140" s="3">
        <v>34564.5</v>
      </c>
      <c r="L140" s="48" t="s">
        <v>314</v>
      </c>
      <c r="M140" s="49" t="s">
        <v>341</v>
      </c>
      <c r="N140" s="3">
        <v>3326.0563109999998</v>
      </c>
      <c r="O140" s="3">
        <v>4758.4823349999997</v>
      </c>
      <c r="P140" s="3">
        <v>2989.7140129999998</v>
      </c>
      <c r="Q140" s="3">
        <v>2255.753674</v>
      </c>
      <c r="R140" s="3">
        <v>3468.0147969999998</v>
      </c>
      <c r="S140" s="3">
        <v>5719.4586749999999</v>
      </c>
      <c r="T140" s="3">
        <v>2804.626475</v>
      </c>
      <c r="U140" s="3">
        <v>3900.7826340000001</v>
      </c>
      <c r="V140" s="3">
        <v>2836.9570749999998</v>
      </c>
      <c r="W140" s="3">
        <v>2511.4785750000001</v>
      </c>
      <c r="X140" s="3">
        <v>3440.6387110000001</v>
      </c>
      <c r="Y140" s="3">
        <v>570.16329810000002</v>
      </c>
      <c r="Z140" s="3">
        <v>1836.7523100000001</v>
      </c>
      <c r="AA140" s="48" t="s">
        <v>314</v>
      </c>
      <c r="AB140" s="49" t="s">
        <v>341</v>
      </c>
      <c r="AC140" s="3">
        <v>0</v>
      </c>
      <c r="AD140" s="3">
        <v>0.61599999999999999</v>
      </c>
      <c r="AE140" s="3">
        <v>2E-3</v>
      </c>
      <c r="AF140" s="3">
        <v>0.64300000000000002</v>
      </c>
      <c r="AG140" s="3">
        <v>0</v>
      </c>
      <c r="AH140" s="3">
        <v>0.58699999999999997</v>
      </c>
      <c r="AI140" s="3">
        <v>1E-3</v>
      </c>
      <c r="AJ140" s="3">
        <v>0.54300000000000004</v>
      </c>
      <c r="AK140" s="3">
        <v>0</v>
      </c>
      <c r="AL140" s="3">
        <v>0.96</v>
      </c>
      <c r="AM140" s="3">
        <v>4.0000000000000001E-3</v>
      </c>
      <c r="AN140" s="3">
        <v>0.64</v>
      </c>
      <c r="AO140" s="3">
        <v>1E-3</v>
      </c>
      <c r="AP140" s="3">
        <v>0.64</v>
      </c>
      <c r="AQ140" s="3">
        <v>0</v>
      </c>
      <c r="AR140" s="3">
        <v>0.67</v>
      </c>
      <c r="AS140" s="3">
        <v>1E-3</v>
      </c>
      <c r="AT140" s="3">
        <v>0.625</v>
      </c>
      <c r="AU140" s="3">
        <v>1E-3</v>
      </c>
      <c r="AV140" s="3">
        <v>0.47899999999999998</v>
      </c>
      <c r="AW140" s="3">
        <v>4.0000000000000001E-3</v>
      </c>
      <c r="AX140" s="3">
        <v>0.439</v>
      </c>
      <c r="AY140" s="3">
        <v>4.0000000000000001E-3</v>
      </c>
      <c r="AZ140" s="3">
        <v>0.377</v>
      </c>
      <c r="BA140" s="3">
        <v>1.0999999999999999E-2</v>
      </c>
      <c r="BB140" s="3">
        <v>0.37</v>
      </c>
      <c r="BC140" s="3">
        <v>0.77800000000000002</v>
      </c>
      <c r="BD140" s="3">
        <v>0.875</v>
      </c>
      <c r="BE140" s="3">
        <v>0.82299999999999995</v>
      </c>
      <c r="BF140" s="3">
        <v>0.81233333299999999</v>
      </c>
      <c r="BG140" s="3">
        <v>0.73566666700000005</v>
      </c>
      <c r="BH140" s="3">
        <v>0.77600000000000002</v>
      </c>
      <c r="BI140" s="3">
        <v>0.66500000000000004</v>
      </c>
      <c r="BJ140" s="3">
        <v>0.693333333</v>
      </c>
      <c r="BK140" s="3">
        <v>0.747</v>
      </c>
      <c r="BL140" s="3">
        <v>0.327333333</v>
      </c>
      <c r="BM140" s="3">
        <v>0.01</v>
      </c>
      <c r="BN140" s="3">
        <v>0.50433333300000005</v>
      </c>
      <c r="BO140" s="3">
        <v>0.48399999999999999</v>
      </c>
      <c r="BP140" s="48" t="s">
        <v>314</v>
      </c>
      <c r="BQ140" s="49" t="s">
        <v>341</v>
      </c>
      <c r="BR140" s="3">
        <v>12.558999999999999</v>
      </c>
      <c r="BS140" s="3">
        <v>12.21</v>
      </c>
      <c r="BT140" s="3">
        <v>12.173999999999999</v>
      </c>
      <c r="BU140" s="3">
        <v>11.996</v>
      </c>
      <c r="BV140" s="3">
        <v>13.8</v>
      </c>
      <c r="BW140" s="3">
        <v>14.018000000000001</v>
      </c>
      <c r="BX140" s="3">
        <v>11.247999999999999</v>
      </c>
      <c r="BY140" s="3">
        <v>15.55</v>
      </c>
      <c r="BZ140" s="3">
        <v>15.337999999999999</v>
      </c>
      <c r="CA140" s="3">
        <v>13.885999999999999</v>
      </c>
      <c r="CB140" s="3">
        <v>11.928000000000001</v>
      </c>
      <c r="CC140" s="3">
        <v>12.62</v>
      </c>
      <c r="CD140" s="3">
        <v>11.289</v>
      </c>
    </row>
    <row r="141" spans="1:82" x14ac:dyDescent="0.3">
      <c r="A141" s="48" t="s">
        <v>314</v>
      </c>
      <c r="B141" s="49" t="s">
        <v>342</v>
      </c>
      <c r="C141" s="3">
        <v>71.483680329999999</v>
      </c>
      <c r="D141" s="3">
        <v>51.024003</v>
      </c>
      <c r="E141" s="3">
        <v>51.024003</v>
      </c>
      <c r="F141" s="3">
        <v>24.590958329999999</v>
      </c>
      <c r="G141" s="3">
        <v>24.590958329999999</v>
      </c>
      <c r="H141" s="3">
        <v>51.024003</v>
      </c>
      <c r="I141" s="48" t="s">
        <v>314</v>
      </c>
      <c r="J141" s="49" t="s">
        <v>342</v>
      </c>
      <c r="K141" s="3">
        <v>34614.5</v>
      </c>
      <c r="L141" s="48" t="s">
        <v>314</v>
      </c>
      <c r="M141" s="49" t="s">
        <v>342</v>
      </c>
      <c r="N141" s="3">
        <v>4175.7995110000002</v>
      </c>
      <c r="O141" s="3">
        <v>5334.1569600000003</v>
      </c>
      <c r="P141" s="3">
        <v>3091.0833889999999</v>
      </c>
      <c r="Q141" s="3">
        <v>2708.4133630000001</v>
      </c>
      <c r="R141" s="3">
        <v>4049.87257</v>
      </c>
      <c r="S141" s="3">
        <v>6364.3938520000002</v>
      </c>
      <c r="T141" s="3">
        <v>3528.892879</v>
      </c>
      <c r="U141" s="3">
        <v>4525.6608159999996</v>
      </c>
      <c r="V141" s="3">
        <v>3402.1976960000002</v>
      </c>
      <c r="W141" s="3">
        <v>2676.8431230000001</v>
      </c>
      <c r="X141" s="3">
        <v>4144.4643669999996</v>
      </c>
      <c r="Y141" s="3">
        <v>605.28866440000002</v>
      </c>
      <c r="Z141" s="3">
        <v>1896.712399</v>
      </c>
      <c r="AA141" s="48" t="s">
        <v>314</v>
      </c>
      <c r="AB141" s="49" t="s">
        <v>342</v>
      </c>
      <c r="AC141" s="3">
        <v>0</v>
      </c>
      <c r="AD141" s="3">
        <v>0.621</v>
      </c>
      <c r="AE141" s="3">
        <v>0</v>
      </c>
      <c r="AF141" s="3">
        <v>0.61199999999999999</v>
      </c>
      <c r="AG141" s="3">
        <v>0</v>
      </c>
      <c r="AH141" s="3">
        <v>0.54600000000000004</v>
      </c>
      <c r="AI141" s="3">
        <v>0</v>
      </c>
      <c r="AJ141" s="3">
        <v>0.48299999999999998</v>
      </c>
      <c r="AK141" s="3">
        <v>0</v>
      </c>
      <c r="AL141" s="3">
        <v>0.95</v>
      </c>
      <c r="AM141" s="3">
        <v>0</v>
      </c>
      <c r="AN141" s="3">
        <v>0.63</v>
      </c>
      <c r="AO141" s="3">
        <v>0</v>
      </c>
      <c r="AP141" s="3">
        <v>0.63</v>
      </c>
      <c r="AQ141" s="3">
        <v>0</v>
      </c>
      <c r="AR141" s="3">
        <v>0.626</v>
      </c>
      <c r="AS141" s="3">
        <v>0</v>
      </c>
      <c r="AT141" s="3">
        <v>0.60399999999999998</v>
      </c>
      <c r="AU141" s="3">
        <v>0</v>
      </c>
      <c r="AV141" s="3">
        <v>0.41099999999999998</v>
      </c>
      <c r="AW141" s="3">
        <v>0</v>
      </c>
      <c r="AX141" s="3">
        <v>0.45400000000000001</v>
      </c>
      <c r="AY141" s="3">
        <v>0</v>
      </c>
      <c r="AZ141" s="3">
        <v>0.35199999999999998</v>
      </c>
      <c r="BA141" s="3">
        <v>0</v>
      </c>
      <c r="BB141" s="3">
        <v>0.32300000000000001</v>
      </c>
      <c r="BC141" s="3">
        <v>0.75600000000000001</v>
      </c>
      <c r="BD141" s="3">
        <v>0.86150000000000004</v>
      </c>
      <c r="BE141" s="3">
        <v>0.81599999999999995</v>
      </c>
      <c r="BF141" s="3">
        <v>0.77800000000000002</v>
      </c>
      <c r="BG141" s="3">
        <v>0.71183333400000004</v>
      </c>
      <c r="BH141" s="3">
        <v>0.73699999999999999</v>
      </c>
      <c r="BI141" s="3">
        <v>0.68799999999999994</v>
      </c>
      <c r="BJ141" s="3">
        <v>0.66766666699999999</v>
      </c>
      <c r="BK141" s="3">
        <v>0.73399999999999999</v>
      </c>
      <c r="BL141" s="3">
        <v>0.30533333299999998</v>
      </c>
      <c r="BM141" s="3">
        <v>0.01</v>
      </c>
      <c r="BN141" s="3">
        <v>0.49566666700000001</v>
      </c>
      <c r="BO141" s="3">
        <v>0.47299999999999998</v>
      </c>
      <c r="BP141" s="48" t="s">
        <v>314</v>
      </c>
      <c r="BQ141" s="49" t="s">
        <v>342</v>
      </c>
      <c r="BR141" s="3">
        <v>12.066000000000001</v>
      </c>
      <c r="BS141" s="3">
        <v>11.548999999999999</v>
      </c>
      <c r="BT141" s="3">
        <v>11.329000000000001</v>
      </c>
      <c r="BU141" s="3">
        <v>11.004</v>
      </c>
      <c r="BV141" s="3">
        <v>12.557</v>
      </c>
      <c r="BW141" s="3">
        <v>14.147</v>
      </c>
      <c r="BX141" s="3">
        <v>10.513999999999999</v>
      </c>
      <c r="BY141" s="3">
        <v>14.959</v>
      </c>
      <c r="BZ141" s="3">
        <v>14.721</v>
      </c>
      <c r="CA141" s="3">
        <v>13.052</v>
      </c>
      <c r="CB141" s="3">
        <v>11.238</v>
      </c>
      <c r="CC141" s="3">
        <v>12.256</v>
      </c>
      <c r="CD141" s="3">
        <v>11.010999999999999</v>
      </c>
    </row>
    <row r="142" spans="1:82" x14ac:dyDescent="0.3">
      <c r="A142" s="48" t="s">
        <v>314</v>
      </c>
      <c r="B142" s="49" t="s">
        <v>343</v>
      </c>
      <c r="C142" s="3">
        <v>62.863431669999997</v>
      </c>
      <c r="D142" s="3">
        <v>47.205697829999998</v>
      </c>
      <c r="E142" s="3">
        <v>37.914786669999998</v>
      </c>
      <c r="F142" s="3">
        <v>24.331635500000001</v>
      </c>
      <c r="G142" s="3">
        <v>24.331635500000001</v>
      </c>
      <c r="H142" s="3">
        <v>37.914786669999998</v>
      </c>
      <c r="I142" s="48" t="s">
        <v>314</v>
      </c>
      <c r="J142" s="49" t="s">
        <v>343</v>
      </c>
      <c r="K142" s="3">
        <v>32535</v>
      </c>
      <c r="L142" s="48" t="s">
        <v>314</v>
      </c>
      <c r="M142" s="49" t="s">
        <v>343</v>
      </c>
      <c r="N142" s="3">
        <v>4401.4590289999996</v>
      </c>
      <c r="O142" s="3">
        <v>5403.6174899999996</v>
      </c>
      <c r="P142" s="3">
        <v>3018.1110570000001</v>
      </c>
      <c r="Q142" s="3">
        <v>2567.7745070000001</v>
      </c>
      <c r="R142" s="3">
        <v>4585.9256340000002</v>
      </c>
      <c r="S142" s="3">
        <v>6470.1335879999997</v>
      </c>
      <c r="T142" s="3">
        <v>4003.5698379999999</v>
      </c>
      <c r="U142" s="3">
        <v>4886.067059</v>
      </c>
      <c r="V142" s="3">
        <v>3543.4170439999998</v>
      </c>
      <c r="W142" s="3">
        <v>2452.1164349999999</v>
      </c>
      <c r="X142" s="3">
        <v>4282.0485200000003</v>
      </c>
      <c r="Y142" s="3">
        <v>554.17891610000004</v>
      </c>
      <c r="Z142" s="3">
        <v>1997.2756879999999</v>
      </c>
      <c r="AA142" s="48" t="s">
        <v>314</v>
      </c>
      <c r="AB142" s="49" t="s">
        <v>343</v>
      </c>
      <c r="AC142" s="3">
        <v>0</v>
      </c>
      <c r="AD142" s="3">
        <v>0.65800000000000003</v>
      </c>
      <c r="AE142" s="3">
        <v>0</v>
      </c>
      <c r="AF142" s="3">
        <v>0.54100000000000004</v>
      </c>
      <c r="AG142" s="3">
        <v>0</v>
      </c>
      <c r="AH142" s="3">
        <v>0.54300000000000004</v>
      </c>
      <c r="AI142" s="3">
        <v>0</v>
      </c>
      <c r="AJ142" s="3">
        <v>0.46899999999999997</v>
      </c>
      <c r="AK142" s="3">
        <v>0</v>
      </c>
      <c r="AL142" s="3">
        <v>0.93600000000000005</v>
      </c>
      <c r="AM142" s="3">
        <v>0</v>
      </c>
      <c r="AN142" s="3">
        <v>0.60599999999999998</v>
      </c>
      <c r="AO142" s="3">
        <v>0</v>
      </c>
      <c r="AP142" s="3">
        <v>0.60599999999999998</v>
      </c>
      <c r="AQ142" s="3">
        <v>0</v>
      </c>
      <c r="AR142" s="3">
        <v>0.59699999999999998</v>
      </c>
      <c r="AS142" s="3">
        <v>0</v>
      </c>
      <c r="AT142" s="3">
        <v>0.52600000000000002</v>
      </c>
      <c r="AU142" s="3">
        <v>0</v>
      </c>
      <c r="AV142" s="3">
        <v>0.38500000000000001</v>
      </c>
      <c r="AW142" s="3">
        <v>0</v>
      </c>
      <c r="AX142" s="3">
        <v>0.42299999999999999</v>
      </c>
      <c r="AY142" s="3">
        <v>0</v>
      </c>
      <c r="AZ142" s="3">
        <v>0.34</v>
      </c>
      <c r="BA142" s="3">
        <v>0</v>
      </c>
      <c r="BB142" s="3">
        <v>0.26900000000000002</v>
      </c>
      <c r="BC142" s="3">
        <v>0.71250000000000002</v>
      </c>
      <c r="BD142" s="3">
        <v>0.84250000000000003</v>
      </c>
      <c r="BE142" s="3">
        <v>0.80500000000000005</v>
      </c>
      <c r="BF142" s="3">
        <v>0.71799999999999997</v>
      </c>
      <c r="BG142" s="3">
        <v>0.67474999999999996</v>
      </c>
      <c r="BH142" s="3">
        <v>0.67700000000000005</v>
      </c>
      <c r="BI142" s="3">
        <v>0.68100000000000005</v>
      </c>
      <c r="BJ142" s="3">
        <v>0.63700000000000001</v>
      </c>
      <c r="BK142" s="3">
        <v>0.71499999999999997</v>
      </c>
      <c r="BL142" s="3">
        <v>0.28999999999999998</v>
      </c>
      <c r="BM142" s="3">
        <v>0.01</v>
      </c>
      <c r="BN142" s="3">
        <v>0.48633333299999998</v>
      </c>
      <c r="BO142" s="3">
        <v>0.45300000000000001</v>
      </c>
      <c r="BP142" s="48" t="s">
        <v>314</v>
      </c>
      <c r="BQ142" s="49" t="s">
        <v>343</v>
      </c>
      <c r="BR142" s="3">
        <v>11.698</v>
      </c>
      <c r="BS142" s="3">
        <v>10.898999999999999</v>
      </c>
      <c r="BT142" s="3">
        <v>10.824</v>
      </c>
      <c r="BU142" s="3">
        <v>10.487</v>
      </c>
      <c r="BV142" s="3">
        <v>11.57</v>
      </c>
      <c r="BW142" s="3">
        <v>14.250999999999999</v>
      </c>
      <c r="BX142" s="3">
        <v>10.045999999999999</v>
      </c>
      <c r="BY142" s="3">
        <v>14.23</v>
      </c>
      <c r="BZ142" s="3">
        <v>13.805</v>
      </c>
      <c r="CA142" s="3">
        <v>12.528</v>
      </c>
      <c r="CB142" s="3">
        <v>10.976000000000001</v>
      </c>
      <c r="CC142" s="3">
        <v>11.656000000000001</v>
      </c>
      <c r="CD142" s="3">
        <v>10.875999999999999</v>
      </c>
    </row>
    <row r="143" spans="1:82" x14ac:dyDescent="0.3">
      <c r="A143" s="48" t="s">
        <v>314</v>
      </c>
      <c r="B143" s="49" t="s">
        <v>344</v>
      </c>
      <c r="C143" s="3">
        <v>36.072700330000004</v>
      </c>
      <c r="D143" s="3">
        <v>47.715401329999999</v>
      </c>
      <c r="E143" s="3">
        <v>41.13396667</v>
      </c>
      <c r="F143" s="3">
        <v>24.117023499999998</v>
      </c>
      <c r="G143" s="3">
        <v>24.117023499999998</v>
      </c>
      <c r="H143" s="3">
        <v>47.715401329999999</v>
      </c>
      <c r="I143" s="48" t="s">
        <v>314</v>
      </c>
      <c r="J143" s="49" t="s">
        <v>344</v>
      </c>
      <c r="K143" s="3">
        <v>30177.5</v>
      </c>
      <c r="L143" s="48" t="s">
        <v>314</v>
      </c>
      <c r="M143" s="49" t="s">
        <v>344</v>
      </c>
      <c r="N143" s="3">
        <v>3724.9503629999999</v>
      </c>
      <c r="O143" s="3">
        <v>4710.7508909999997</v>
      </c>
      <c r="P143" s="3">
        <v>2547.939034</v>
      </c>
      <c r="Q143" s="3">
        <v>2158.8515040000002</v>
      </c>
      <c r="R143" s="3">
        <v>4298.6148400000002</v>
      </c>
      <c r="S143" s="3">
        <v>5818.2809509999997</v>
      </c>
      <c r="T143" s="3">
        <v>4003.0787789999999</v>
      </c>
      <c r="U143" s="3">
        <v>4242.7020990000001</v>
      </c>
      <c r="V143" s="3">
        <v>3050.837352</v>
      </c>
      <c r="W143" s="3">
        <v>1945.5211589999999</v>
      </c>
      <c r="X143" s="3">
        <v>3782.4563560000001</v>
      </c>
      <c r="Y143" s="3">
        <v>459.89047620000002</v>
      </c>
      <c r="Z143" s="3">
        <v>1656.258677</v>
      </c>
      <c r="AA143" s="48" t="s">
        <v>314</v>
      </c>
      <c r="AB143" s="49" t="s">
        <v>344</v>
      </c>
      <c r="AC143" s="3">
        <v>0</v>
      </c>
      <c r="AD143" s="3">
        <v>0.55900000000000005</v>
      </c>
      <c r="AE143" s="3">
        <v>0</v>
      </c>
      <c r="AF143" s="3">
        <v>0.52</v>
      </c>
      <c r="AG143" s="3">
        <v>0</v>
      </c>
      <c r="AH143" s="3">
        <v>0.55100000000000005</v>
      </c>
      <c r="AI143" s="3">
        <v>0</v>
      </c>
      <c r="AJ143" s="3">
        <v>0.46700000000000003</v>
      </c>
      <c r="AK143" s="3">
        <v>0</v>
      </c>
      <c r="AL143" s="3">
        <v>0.91500000000000004</v>
      </c>
      <c r="AM143" s="3">
        <v>0</v>
      </c>
      <c r="AN143" s="3">
        <v>0.57999999999999996</v>
      </c>
      <c r="AO143" s="3">
        <v>0</v>
      </c>
      <c r="AP143" s="3">
        <v>0.57999999999999996</v>
      </c>
      <c r="AQ143" s="3">
        <v>0</v>
      </c>
      <c r="AR143" s="3">
        <v>0.54200000000000004</v>
      </c>
      <c r="AS143" s="3">
        <v>0</v>
      </c>
      <c r="AT143" s="3">
        <v>0.45</v>
      </c>
      <c r="AU143" s="3">
        <v>0</v>
      </c>
      <c r="AV143" s="3">
        <v>0.40300000000000002</v>
      </c>
      <c r="AW143" s="3">
        <v>0</v>
      </c>
      <c r="AX143" s="3">
        <v>0.40300000000000002</v>
      </c>
      <c r="AY143" s="3">
        <v>0</v>
      </c>
      <c r="AZ143" s="3">
        <v>0.32400000000000001</v>
      </c>
      <c r="BA143" s="3">
        <v>0</v>
      </c>
      <c r="BB143" s="3">
        <v>0.26100000000000001</v>
      </c>
      <c r="BC143" s="3">
        <v>0.66549999999999998</v>
      </c>
      <c r="BD143" s="3">
        <v>0.80400000000000005</v>
      </c>
      <c r="BE143" s="3">
        <v>0.755</v>
      </c>
      <c r="BF143" s="3">
        <v>0.64166666699999997</v>
      </c>
      <c r="BG143" s="3">
        <v>0.62975000000000003</v>
      </c>
      <c r="BH143" s="3">
        <v>0.61199999999999999</v>
      </c>
      <c r="BI143" s="3">
        <v>0.65849999999999997</v>
      </c>
      <c r="BJ143" s="3">
        <v>0.59399999999999997</v>
      </c>
      <c r="BK143" s="3">
        <v>0.69350000000000001</v>
      </c>
      <c r="BL143" s="3">
        <v>0.27900000000000003</v>
      </c>
      <c r="BM143" s="3">
        <v>0.01</v>
      </c>
      <c r="BN143" s="3">
        <v>0.47599999999999998</v>
      </c>
      <c r="BO143" s="3">
        <v>0.43</v>
      </c>
      <c r="BP143" s="48" t="s">
        <v>314</v>
      </c>
      <c r="BQ143" s="49" t="s">
        <v>344</v>
      </c>
      <c r="BR143" s="3">
        <v>10.933</v>
      </c>
      <c r="BS143" s="3">
        <v>10.458</v>
      </c>
      <c r="BT143" s="3">
        <v>10.523999999999999</v>
      </c>
      <c r="BU143" s="3">
        <v>10.132999999999999</v>
      </c>
      <c r="BV143" s="3">
        <v>11.090999999999999</v>
      </c>
      <c r="BW143" s="3">
        <v>14.364000000000001</v>
      </c>
      <c r="BX143" s="3">
        <v>9.4659999999999993</v>
      </c>
      <c r="BY143" s="3">
        <v>13.627000000000001</v>
      </c>
      <c r="BZ143" s="3">
        <v>12.488</v>
      </c>
      <c r="CA143" s="3">
        <v>11</v>
      </c>
      <c r="CB143" s="3">
        <v>10.554</v>
      </c>
      <c r="CC143" s="3">
        <v>11.358000000000001</v>
      </c>
      <c r="CD143" s="3">
        <v>10.859</v>
      </c>
    </row>
    <row r="144" spans="1:82" x14ac:dyDescent="0.3">
      <c r="A144" s="48" t="s">
        <v>314</v>
      </c>
      <c r="B144" s="49" t="s">
        <v>345</v>
      </c>
      <c r="C144" s="3">
        <v>36.734420669999999</v>
      </c>
      <c r="D144" s="3">
        <v>42.761440999999998</v>
      </c>
      <c r="E144" s="3">
        <v>42.4663495</v>
      </c>
      <c r="F144" s="3">
        <v>23.830874170000001</v>
      </c>
      <c r="G144" s="3">
        <v>2.6021705000000002</v>
      </c>
      <c r="H144" s="3">
        <v>42.761440999999998</v>
      </c>
      <c r="I144" s="48" t="s">
        <v>314</v>
      </c>
      <c r="J144" s="49" t="s">
        <v>345</v>
      </c>
      <c r="K144" s="3">
        <v>27511</v>
      </c>
      <c r="L144" s="48" t="s">
        <v>314</v>
      </c>
      <c r="M144" s="49" t="s">
        <v>345</v>
      </c>
      <c r="N144" s="3">
        <v>3106.1413889999999</v>
      </c>
      <c r="O144" s="3">
        <v>3969.9560339999998</v>
      </c>
      <c r="P144" s="3">
        <v>1976.073752</v>
      </c>
      <c r="Q144" s="3">
        <v>1728.8947479999999</v>
      </c>
      <c r="R144" s="3">
        <v>3809.5631680000001</v>
      </c>
      <c r="S144" s="3">
        <v>4896.7055410000003</v>
      </c>
      <c r="T144" s="3">
        <v>3386.6890720000001</v>
      </c>
      <c r="U144" s="3">
        <v>3531.6449729999999</v>
      </c>
      <c r="V144" s="3">
        <v>2480.756085</v>
      </c>
      <c r="W144" s="3">
        <v>1514.3517609999999</v>
      </c>
      <c r="X144" s="3">
        <v>3194.3398999999999</v>
      </c>
      <c r="Y144" s="3">
        <v>357.10004099999998</v>
      </c>
      <c r="Z144" s="3">
        <v>1416.3321539999999</v>
      </c>
      <c r="AA144" s="48" t="s">
        <v>314</v>
      </c>
      <c r="AB144" s="49" t="s">
        <v>345</v>
      </c>
      <c r="AC144" s="3">
        <v>0</v>
      </c>
      <c r="AD144" s="3">
        <v>0.53300000000000003</v>
      </c>
      <c r="AE144" s="3">
        <v>0</v>
      </c>
      <c r="AF144" s="3">
        <v>0.51300000000000001</v>
      </c>
      <c r="AG144" s="3">
        <v>0</v>
      </c>
      <c r="AH144" s="3">
        <v>0.54600000000000004</v>
      </c>
      <c r="AI144" s="3">
        <v>0</v>
      </c>
      <c r="AJ144" s="3">
        <v>0.44800000000000001</v>
      </c>
      <c r="AK144" s="3">
        <v>0</v>
      </c>
      <c r="AL144" s="3">
        <v>0.89700000000000002</v>
      </c>
      <c r="AM144" s="3">
        <v>0</v>
      </c>
      <c r="AN144" s="3">
        <v>0.53300000000000003</v>
      </c>
      <c r="AO144" s="3">
        <v>0</v>
      </c>
      <c r="AP144" s="3">
        <v>0.53300000000000003</v>
      </c>
      <c r="AQ144" s="3">
        <v>0</v>
      </c>
      <c r="AR144" s="3">
        <v>0.52300000000000002</v>
      </c>
      <c r="AS144" s="3">
        <v>0</v>
      </c>
      <c r="AT144" s="3">
        <v>0.44700000000000001</v>
      </c>
      <c r="AU144" s="3">
        <v>0</v>
      </c>
      <c r="AV144" s="3">
        <v>0.433</v>
      </c>
      <c r="AW144" s="3">
        <v>0</v>
      </c>
      <c r="AX144" s="3">
        <v>0.41599999999999998</v>
      </c>
      <c r="AY144" s="3">
        <v>0</v>
      </c>
      <c r="AZ144" s="3">
        <v>0.311</v>
      </c>
      <c r="BA144" s="3">
        <v>0</v>
      </c>
      <c r="BB144" s="3">
        <v>0.254</v>
      </c>
      <c r="BC144" s="3">
        <v>0.62350000000000005</v>
      </c>
      <c r="BD144" s="3">
        <v>0.76249999999999996</v>
      </c>
      <c r="BE144" s="3">
        <v>0.69399999999999995</v>
      </c>
      <c r="BF144" s="3">
        <v>0.55533333299999998</v>
      </c>
      <c r="BG144" s="3">
        <v>0.58408333400000001</v>
      </c>
      <c r="BH144" s="3">
        <v>0.52100000000000002</v>
      </c>
      <c r="BI144" s="3">
        <v>0.65400000000000003</v>
      </c>
      <c r="BJ144" s="3">
        <v>0.54466666699999999</v>
      </c>
      <c r="BK144" s="3">
        <v>0.66600000000000004</v>
      </c>
      <c r="BL144" s="3">
        <v>0.24766666700000001</v>
      </c>
      <c r="BM144" s="3">
        <v>0.01</v>
      </c>
      <c r="BN144" s="3">
        <v>0.45600000000000002</v>
      </c>
      <c r="BO144" s="3">
        <v>0.39200000000000002</v>
      </c>
      <c r="BP144" s="48" t="s">
        <v>314</v>
      </c>
      <c r="BQ144" s="49" t="s">
        <v>345</v>
      </c>
      <c r="BR144" s="3">
        <v>10.315</v>
      </c>
      <c r="BS144" s="3">
        <v>10.199</v>
      </c>
      <c r="BT144" s="3">
        <v>10.257999999999999</v>
      </c>
      <c r="BU144" s="3">
        <v>9.7710000000000008</v>
      </c>
      <c r="BV144" s="3">
        <v>10.638</v>
      </c>
      <c r="BW144" s="3">
        <v>14.37</v>
      </c>
      <c r="BX144" s="3">
        <v>8.891</v>
      </c>
      <c r="BY144" s="3">
        <v>13.113</v>
      </c>
      <c r="BZ144" s="3">
        <v>11.776</v>
      </c>
      <c r="CA144" s="3">
        <v>10.403</v>
      </c>
      <c r="CB144" s="3">
        <v>10.260999999999999</v>
      </c>
      <c r="CC144" s="3">
        <v>11.228</v>
      </c>
      <c r="CD144" s="3">
        <v>10.818</v>
      </c>
    </row>
    <row r="145" spans="1:82" x14ac:dyDescent="0.3">
      <c r="A145" s="48" t="s">
        <v>314</v>
      </c>
      <c r="B145" s="49" t="s">
        <v>346</v>
      </c>
      <c r="C145" s="3">
        <v>53.196949500000002</v>
      </c>
      <c r="D145" s="3">
        <v>40.59743667</v>
      </c>
      <c r="E145" s="3">
        <v>35.679245000000002</v>
      </c>
      <c r="F145" s="3">
        <v>24.474710170000002</v>
      </c>
      <c r="G145" s="3">
        <v>24.474710170000002</v>
      </c>
      <c r="H145" s="3">
        <v>35.983278669999997</v>
      </c>
      <c r="I145" s="48" t="s">
        <v>314</v>
      </c>
      <c r="J145" s="49" t="s">
        <v>346</v>
      </c>
      <c r="K145" s="3">
        <v>24849.5</v>
      </c>
      <c r="L145" s="48" t="s">
        <v>314</v>
      </c>
      <c r="M145" s="49" t="s">
        <v>346</v>
      </c>
      <c r="N145" s="3">
        <v>2493.094165</v>
      </c>
      <c r="O145" s="3">
        <v>3138.0127029999999</v>
      </c>
      <c r="P145" s="3">
        <v>1421.89031</v>
      </c>
      <c r="Q145" s="3">
        <v>1246.9051549999999</v>
      </c>
      <c r="R145" s="3">
        <v>3256.0620429999999</v>
      </c>
      <c r="S145" s="3">
        <v>3968.8553099999999</v>
      </c>
      <c r="T145" s="3">
        <v>2803.284255</v>
      </c>
      <c r="U145" s="3">
        <v>2875.533148</v>
      </c>
      <c r="V145" s="3">
        <v>1971.9387320000001</v>
      </c>
      <c r="W145" s="3">
        <v>1022.428031</v>
      </c>
      <c r="X145" s="3">
        <v>2591.0545689999999</v>
      </c>
      <c r="Y145" s="3">
        <v>234.20947340000001</v>
      </c>
      <c r="Z145" s="3">
        <v>966.00609489999999</v>
      </c>
      <c r="AA145" s="48" t="s">
        <v>314</v>
      </c>
      <c r="AB145" s="49" t="s">
        <v>346</v>
      </c>
      <c r="AC145" s="3">
        <v>0</v>
      </c>
      <c r="AD145" s="3">
        <v>0.53</v>
      </c>
      <c r="AE145" s="3">
        <v>0</v>
      </c>
      <c r="AF145" s="3">
        <v>0.5</v>
      </c>
      <c r="AG145" s="3">
        <v>0</v>
      </c>
      <c r="AH145" s="3">
        <v>0.52</v>
      </c>
      <c r="AI145" s="3">
        <v>0</v>
      </c>
      <c r="AJ145" s="3">
        <v>0.41299999999999998</v>
      </c>
      <c r="AK145" s="3">
        <v>0</v>
      </c>
      <c r="AL145" s="3">
        <v>0.88</v>
      </c>
      <c r="AM145" s="3">
        <v>0</v>
      </c>
      <c r="AN145" s="3">
        <v>0.502</v>
      </c>
      <c r="AO145" s="3">
        <v>0</v>
      </c>
      <c r="AP145" s="3">
        <v>0.502</v>
      </c>
      <c r="AQ145" s="3">
        <v>0</v>
      </c>
      <c r="AR145" s="3">
        <v>0.51900000000000002</v>
      </c>
      <c r="AS145" s="3">
        <v>0</v>
      </c>
      <c r="AT145" s="3">
        <v>0.439</v>
      </c>
      <c r="AU145" s="3">
        <v>0</v>
      </c>
      <c r="AV145" s="3">
        <v>0.42699999999999999</v>
      </c>
      <c r="AW145" s="3">
        <v>0</v>
      </c>
      <c r="AX145" s="3">
        <v>0.39200000000000002</v>
      </c>
      <c r="AY145" s="3">
        <v>0</v>
      </c>
      <c r="AZ145" s="3">
        <v>0.29299999999999998</v>
      </c>
      <c r="BA145" s="3">
        <v>0</v>
      </c>
      <c r="BB145" s="3">
        <v>0.24199999999999999</v>
      </c>
      <c r="BC145" s="3">
        <v>0.58150000000000002</v>
      </c>
      <c r="BD145" s="3">
        <v>0.73199999999999998</v>
      </c>
      <c r="BE145" s="3">
        <v>0.65500000000000003</v>
      </c>
      <c r="BF145" s="3">
        <v>0.47333333300000002</v>
      </c>
      <c r="BG145" s="3">
        <v>0.54341666700000002</v>
      </c>
      <c r="BH145" s="3">
        <v>0.41799999999999998</v>
      </c>
      <c r="BI145" s="3">
        <v>0.65300000000000002</v>
      </c>
      <c r="BJ145" s="3">
        <v>0.50533333300000005</v>
      </c>
      <c r="BK145" s="3">
        <v>0.60550000000000004</v>
      </c>
      <c r="BL145" s="3">
        <v>0.20699999999999999</v>
      </c>
      <c r="BM145" s="3">
        <v>0.01</v>
      </c>
      <c r="BN145" s="3">
        <v>0.43966666700000001</v>
      </c>
      <c r="BO145" s="3">
        <v>0.34499999999999997</v>
      </c>
      <c r="BP145" s="48" t="s">
        <v>314</v>
      </c>
      <c r="BQ145" s="49" t="s">
        <v>346</v>
      </c>
      <c r="BR145" s="3">
        <v>9.9870000000000001</v>
      </c>
      <c r="BS145" s="3">
        <v>9.9749999999999996</v>
      </c>
      <c r="BT145" s="3">
        <v>9.9649999999999999</v>
      </c>
      <c r="BU145" s="3">
        <v>9.4280000000000008</v>
      </c>
      <c r="BV145" s="3">
        <v>9.9410000000000007</v>
      </c>
      <c r="BW145" s="3">
        <v>14.292999999999999</v>
      </c>
      <c r="BX145" s="3">
        <v>8.5180000000000007</v>
      </c>
      <c r="BY145" s="3">
        <v>12.702</v>
      </c>
      <c r="BZ145" s="3">
        <v>11.397</v>
      </c>
      <c r="CA145" s="3">
        <v>10.137</v>
      </c>
      <c r="CB145" s="3">
        <v>9.9480000000000004</v>
      </c>
      <c r="CC145" s="3">
        <v>11.144</v>
      </c>
      <c r="CD145" s="3">
        <v>10.696</v>
      </c>
    </row>
    <row r="146" spans="1:82" x14ac:dyDescent="0.3">
      <c r="A146" s="48" t="s">
        <v>314</v>
      </c>
      <c r="B146" s="49" t="s">
        <v>347</v>
      </c>
      <c r="C146" s="3">
        <v>46.552919670000001</v>
      </c>
      <c r="D146" s="3">
        <v>36.457213500000002</v>
      </c>
      <c r="E146" s="3">
        <v>36.19789067</v>
      </c>
      <c r="F146" s="3">
        <v>24.099139170000001</v>
      </c>
      <c r="G146" s="3">
        <v>24.099139170000001</v>
      </c>
      <c r="H146" s="3">
        <v>36.457213500000002</v>
      </c>
      <c r="I146" s="48" t="s">
        <v>314</v>
      </c>
      <c r="J146" s="49" t="s">
        <v>347</v>
      </c>
      <c r="K146" s="3">
        <v>23118.5</v>
      </c>
      <c r="L146" s="48" t="s">
        <v>314</v>
      </c>
      <c r="M146" s="49" t="s">
        <v>347</v>
      </c>
      <c r="N146" s="3">
        <v>1724.54537</v>
      </c>
      <c r="O146" s="3">
        <v>2146.9789879999998</v>
      </c>
      <c r="P146" s="3">
        <v>956.93423640000003</v>
      </c>
      <c r="Q146" s="3">
        <v>881.03194389999999</v>
      </c>
      <c r="R146" s="3">
        <v>2554.1652279999998</v>
      </c>
      <c r="S146" s="3">
        <v>2845.9222500000001</v>
      </c>
      <c r="T146" s="3">
        <v>1913.3685599999999</v>
      </c>
      <c r="U146" s="3">
        <v>1960.053214</v>
      </c>
      <c r="V146" s="3">
        <v>1361.6012410000001</v>
      </c>
      <c r="W146" s="3">
        <v>623.25239799999997</v>
      </c>
      <c r="X146" s="3">
        <v>1845.9773909999999</v>
      </c>
      <c r="Y146" s="3">
        <v>155.24418879999999</v>
      </c>
      <c r="Z146" s="3">
        <v>469.48442890000001</v>
      </c>
      <c r="AA146" s="48" t="s">
        <v>314</v>
      </c>
      <c r="AB146" s="49" t="s">
        <v>347</v>
      </c>
      <c r="AC146" s="3">
        <v>0</v>
      </c>
      <c r="AD146" s="3">
        <v>0.51</v>
      </c>
      <c r="AE146" s="3">
        <v>0</v>
      </c>
      <c r="AF146" s="3">
        <v>0.47299999999999998</v>
      </c>
      <c r="AG146" s="3">
        <v>0</v>
      </c>
      <c r="AH146" s="3">
        <v>0.48699999999999999</v>
      </c>
      <c r="AI146" s="3">
        <v>0</v>
      </c>
      <c r="AJ146" s="3">
        <v>0.42</v>
      </c>
      <c r="AK146" s="3">
        <v>0</v>
      </c>
      <c r="AL146" s="3">
        <v>0.86399999999999999</v>
      </c>
      <c r="AM146" s="3">
        <v>0</v>
      </c>
      <c r="AN146" s="3">
        <v>0.47699999999999998</v>
      </c>
      <c r="AO146" s="3">
        <v>0</v>
      </c>
      <c r="AP146" s="3">
        <v>0.47699999999999998</v>
      </c>
      <c r="AQ146" s="3">
        <v>0</v>
      </c>
      <c r="AR146" s="3">
        <v>0.51</v>
      </c>
      <c r="AS146" s="3">
        <v>0</v>
      </c>
      <c r="AT146" s="3">
        <v>0.42299999999999999</v>
      </c>
      <c r="AU146" s="3">
        <v>0</v>
      </c>
      <c r="AV146" s="3">
        <v>0.41299999999999998</v>
      </c>
      <c r="AW146" s="3">
        <v>0</v>
      </c>
      <c r="AX146" s="3">
        <v>0.36699999999999999</v>
      </c>
      <c r="AY146" s="3">
        <v>0</v>
      </c>
      <c r="AZ146" s="3">
        <v>0.28499999999999998</v>
      </c>
      <c r="BA146" s="3">
        <v>0</v>
      </c>
      <c r="BB146" s="3">
        <v>0.245</v>
      </c>
      <c r="BC146" s="3">
        <v>0.54449999999999998</v>
      </c>
      <c r="BD146" s="3">
        <v>0.69699999999999995</v>
      </c>
      <c r="BE146" s="3">
        <v>0.624</v>
      </c>
      <c r="BF146" s="3">
        <v>0.40933333300000002</v>
      </c>
      <c r="BG146" s="3">
        <v>0.50708333400000005</v>
      </c>
      <c r="BH146" s="3">
        <v>0.33600000000000002</v>
      </c>
      <c r="BI146" s="3">
        <v>0.65500000000000003</v>
      </c>
      <c r="BJ146" s="3">
        <v>0.46966666699999998</v>
      </c>
      <c r="BK146" s="3">
        <v>0.53849999999999998</v>
      </c>
      <c r="BL146" s="3">
        <v>0.17899999999999999</v>
      </c>
      <c r="BM146" s="3">
        <v>0.01</v>
      </c>
      <c r="BN146" s="3">
        <v>0.41433333300000003</v>
      </c>
      <c r="BO146" s="3">
        <v>0.29599999999999999</v>
      </c>
      <c r="BP146" s="48" t="s">
        <v>314</v>
      </c>
      <c r="BQ146" s="49" t="s">
        <v>347</v>
      </c>
      <c r="BR146" s="3">
        <v>9.7029999999999994</v>
      </c>
      <c r="BS146" s="3">
        <v>9.7029999999999994</v>
      </c>
      <c r="BT146" s="3">
        <v>9.6150000000000002</v>
      </c>
      <c r="BU146" s="3">
        <v>9.0640000000000001</v>
      </c>
      <c r="BV146" s="3">
        <v>9.5470000000000006</v>
      </c>
      <c r="BW146" s="3">
        <v>14.196999999999999</v>
      </c>
      <c r="BX146" s="3">
        <v>8.2739999999999991</v>
      </c>
      <c r="BY146" s="3">
        <v>12.38</v>
      </c>
      <c r="BZ146" s="3">
        <v>11.079000000000001</v>
      </c>
      <c r="CA146" s="3">
        <v>9.8650000000000002</v>
      </c>
      <c r="CB146" s="3">
        <v>9.7140000000000004</v>
      </c>
      <c r="CC146" s="3">
        <v>11.048</v>
      </c>
      <c r="CD146" s="3">
        <v>10.500999999999999</v>
      </c>
    </row>
  </sheetData>
  <phoneticPr fontId="5" type="noConversion"/>
  <hyperlinks>
    <hyperlink ref="O1" location="References!B2" display="Ref" xr:uid="{5D5CECFA-C401-4895-9DA4-298BB362BD27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C46A-93CC-41EE-BD47-C2DEF58D9415}">
  <dimension ref="A1:T17"/>
  <sheetViews>
    <sheetView workbookViewId="0">
      <selection activeCell="H3" sqref="H3"/>
    </sheetView>
  </sheetViews>
  <sheetFormatPr defaultRowHeight="14.4" x14ac:dyDescent="0.3"/>
  <cols>
    <col min="13" max="13" width="10.6640625" bestFit="1" customWidth="1"/>
  </cols>
  <sheetData>
    <row r="1" spans="1:20" x14ac:dyDescent="0.3">
      <c r="A1" s="1" t="s">
        <v>789</v>
      </c>
    </row>
    <row r="2" spans="1:20" x14ac:dyDescent="0.3">
      <c r="A2" s="1" t="s">
        <v>35</v>
      </c>
    </row>
    <row r="3" spans="1:20" x14ac:dyDescent="0.3">
      <c r="A3" s="12"/>
      <c r="B3" s="28">
        <v>1</v>
      </c>
      <c r="C3" s="28">
        <v>2</v>
      </c>
      <c r="D3" s="28">
        <v>3</v>
      </c>
      <c r="E3" s="28">
        <v>4</v>
      </c>
      <c r="F3" s="28">
        <v>5</v>
      </c>
      <c r="G3" s="28">
        <v>6</v>
      </c>
      <c r="H3" s="143" t="s">
        <v>826</v>
      </c>
      <c r="N3" t="s">
        <v>427</v>
      </c>
    </row>
    <row r="4" spans="1:20" x14ac:dyDescent="0.3">
      <c r="A4" s="10" t="s">
        <v>186</v>
      </c>
      <c r="B4" s="99">
        <v>39</v>
      </c>
      <c r="C4" s="76">
        <v>46</v>
      </c>
      <c r="D4" s="99">
        <v>46</v>
      </c>
      <c r="E4" s="76">
        <v>46</v>
      </c>
      <c r="F4" s="99">
        <v>51</v>
      </c>
      <c r="G4" s="76">
        <v>56</v>
      </c>
      <c r="H4" s="135" t="s">
        <v>801</v>
      </c>
      <c r="N4" s="37">
        <v>2025</v>
      </c>
      <c r="O4" s="37">
        <v>2030</v>
      </c>
      <c r="P4" s="37">
        <v>2035</v>
      </c>
      <c r="Q4" s="37">
        <v>2040</v>
      </c>
      <c r="R4" s="37">
        <v>2045</v>
      </c>
      <c r="S4" s="37">
        <v>2050</v>
      </c>
    </row>
    <row r="5" spans="1:20" x14ac:dyDescent="0.3">
      <c r="A5" t="s">
        <v>451</v>
      </c>
      <c r="B5">
        <v>127</v>
      </c>
      <c r="C5">
        <v>127</v>
      </c>
      <c r="D5">
        <v>120</v>
      </c>
      <c r="E5">
        <v>120</v>
      </c>
      <c r="F5">
        <v>100</v>
      </c>
      <c r="G5">
        <v>100</v>
      </c>
      <c r="H5" s="135" t="s">
        <v>875</v>
      </c>
      <c r="M5" t="s">
        <v>426</v>
      </c>
      <c r="N5" s="103">
        <v>58.269100000000002</v>
      </c>
      <c r="O5" s="103">
        <v>40.297330000000002</v>
      </c>
      <c r="P5" s="103">
        <v>41.890140000000002</v>
      </c>
      <c r="Q5" s="103">
        <v>43.362920000000003</v>
      </c>
      <c r="R5" s="103">
        <v>45.076169999999998</v>
      </c>
      <c r="S5" s="103">
        <v>47.355179999999997</v>
      </c>
      <c r="T5" t="s">
        <v>681</v>
      </c>
    </row>
    <row r="6" spans="1:20" x14ac:dyDescent="0.3">
      <c r="A6" s="10" t="s">
        <v>188</v>
      </c>
      <c r="B6" s="100">
        <v>21.96</v>
      </c>
      <c r="C6" s="100">
        <v>23.04</v>
      </c>
      <c r="D6" s="100">
        <v>24.12</v>
      </c>
      <c r="E6" s="100">
        <v>24.84</v>
      </c>
      <c r="F6" s="100">
        <v>25.56</v>
      </c>
      <c r="G6" s="100">
        <v>26.64</v>
      </c>
      <c r="H6" s="135" t="s">
        <v>874</v>
      </c>
      <c r="N6" s="103">
        <v>33.589559999999999</v>
      </c>
      <c r="O6" s="103">
        <v>19.305430000000001</v>
      </c>
      <c r="P6" s="103">
        <v>17.48319</v>
      </c>
      <c r="Q6" s="103">
        <v>16.10436</v>
      </c>
      <c r="R6" s="103">
        <v>15.33182</v>
      </c>
      <c r="S6" s="103">
        <v>14.83798</v>
      </c>
      <c r="T6" t="s">
        <v>682</v>
      </c>
    </row>
    <row r="7" spans="1:20" x14ac:dyDescent="0.3">
      <c r="A7" s="10" t="s">
        <v>190</v>
      </c>
      <c r="B7" s="101">
        <v>28.86080758821489</v>
      </c>
      <c r="C7" s="102">
        <v>17.232572455216349</v>
      </c>
      <c r="D7" s="102">
        <v>15.609997622052573</v>
      </c>
      <c r="E7" s="102">
        <v>14.378920331151347</v>
      </c>
      <c r="F7" s="102">
        <v>13.689170100926493</v>
      </c>
      <c r="G7" s="102">
        <v>13.248299339468085</v>
      </c>
      <c r="H7" s="135" t="s">
        <v>800</v>
      </c>
      <c r="M7" t="s">
        <v>429</v>
      </c>
      <c r="N7" s="104">
        <v>1.1638468500000001</v>
      </c>
      <c r="O7" s="104">
        <v>1.12028718</v>
      </c>
      <c r="P7" s="104">
        <v>1.1199995300000001</v>
      </c>
      <c r="Q7" s="104">
        <v>1.11999786</v>
      </c>
      <c r="R7" s="104">
        <v>1.1199963100000001</v>
      </c>
      <c r="S7" s="104">
        <v>1.1199912999999999</v>
      </c>
    </row>
    <row r="8" spans="1:20" x14ac:dyDescent="0.3">
      <c r="A8" s="10" t="s">
        <v>423</v>
      </c>
      <c r="B8" s="76">
        <v>5</v>
      </c>
      <c r="C8" s="76">
        <v>5</v>
      </c>
      <c r="D8" s="76">
        <v>5</v>
      </c>
      <c r="E8" s="76">
        <v>5</v>
      </c>
      <c r="F8" s="76">
        <v>5</v>
      </c>
      <c r="G8" s="76">
        <v>5</v>
      </c>
      <c r="H8" s="135" t="s">
        <v>847</v>
      </c>
      <c r="M8" t="s">
        <v>430</v>
      </c>
      <c r="N8" s="40">
        <f t="shared" ref="N8:S8" si="0">N5/N7</f>
        <v>50.065951546803596</v>
      </c>
      <c r="O8" s="40">
        <f t="shared" si="0"/>
        <v>35.970535697819912</v>
      </c>
      <c r="P8" s="40">
        <f t="shared" si="0"/>
        <v>37.401926409736973</v>
      </c>
      <c r="Q8" s="40">
        <f t="shared" si="0"/>
        <v>38.716966834204491</v>
      </c>
      <c r="R8" s="40">
        <f t="shared" si="0"/>
        <v>40.246712955688217</v>
      </c>
      <c r="S8" s="40">
        <f t="shared" si="0"/>
        <v>42.281739152795204</v>
      </c>
    </row>
    <row r="9" spans="1:20" x14ac:dyDescent="0.3">
      <c r="N9" s="40">
        <f t="shared" ref="N9:R9" si="1">N6/N7</f>
        <v>28.86080758821489</v>
      </c>
      <c r="O9" s="40">
        <f t="shared" si="1"/>
        <v>17.232572455216349</v>
      </c>
      <c r="P9" s="40">
        <f t="shared" si="1"/>
        <v>15.609997622052573</v>
      </c>
      <c r="Q9" s="40">
        <f t="shared" si="1"/>
        <v>14.378920331151347</v>
      </c>
      <c r="R9" s="40">
        <f t="shared" si="1"/>
        <v>13.689170100926493</v>
      </c>
      <c r="S9" s="40">
        <f>S6/S7</f>
        <v>13.248299339468085</v>
      </c>
    </row>
    <row r="11" spans="1:20" x14ac:dyDescent="0.3">
      <c r="N11" t="s">
        <v>428</v>
      </c>
    </row>
    <row r="12" spans="1:20" x14ac:dyDescent="0.3">
      <c r="N12" s="38">
        <v>2025</v>
      </c>
      <c r="O12" s="38">
        <v>2030</v>
      </c>
      <c r="P12" s="38">
        <v>2035</v>
      </c>
      <c r="Q12" s="38">
        <v>2040</v>
      </c>
      <c r="R12" s="38">
        <v>2045</v>
      </c>
      <c r="S12" s="38">
        <v>2050</v>
      </c>
    </row>
    <row r="13" spans="1:20" x14ac:dyDescent="0.3">
      <c r="M13" t="s">
        <v>426</v>
      </c>
      <c r="N13" s="105">
        <v>10.38</v>
      </c>
      <c r="O13" s="105">
        <v>8.93</v>
      </c>
      <c r="P13" s="105">
        <v>7.57</v>
      </c>
      <c r="Q13" s="105">
        <v>6.89</v>
      </c>
      <c r="R13" s="105">
        <v>6.36</v>
      </c>
      <c r="S13" s="105">
        <v>5.96</v>
      </c>
    </row>
    <row r="14" spans="1:20" x14ac:dyDescent="0.3">
      <c r="M14" t="s">
        <v>429</v>
      </c>
      <c r="N14" s="104">
        <v>1.1638468500000001</v>
      </c>
      <c r="O14" s="104">
        <v>1.12028718</v>
      </c>
      <c r="P14" s="104">
        <v>1.1199995300000001</v>
      </c>
      <c r="Q14" s="104">
        <v>1.11999786</v>
      </c>
      <c r="R14" s="104">
        <v>1.1199963100000001</v>
      </c>
      <c r="S14" s="104">
        <v>1.1199912999999999</v>
      </c>
    </row>
    <row r="15" spans="1:20" x14ac:dyDescent="0.3">
      <c r="M15" t="s">
        <v>430</v>
      </c>
      <c r="N15" s="39">
        <f>N13/N14</f>
        <v>8.9186992257615341</v>
      </c>
      <c r="O15" s="39">
        <f t="shared" ref="O15:S15" si="2">O13/O14</f>
        <v>7.9711703922203228</v>
      </c>
      <c r="P15" s="39">
        <f t="shared" si="2"/>
        <v>6.758931407765858</v>
      </c>
      <c r="Q15" s="39">
        <f t="shared" si="2"/>
        <v>6.1517974686130197</v>
      </c>
      <c r="R15" s="39">
        <f t="shared" si="2"/>
        <v>5.6785901374978636</v>
      </c>
      <c r="S15" s="39">
        <f t="shared" si="2"/>
        <v>5.3214699078466063</v>
      </c>
    </row>
    <row r="17" spans="2:2" x14ac:dyDescent="0.3">
      <c r="B17" s="4"/>
    </row>
  </sheetData>
  <phoneticPr fontId="5" type="noConversion"/>
  <hyperlinks>
    <hyperlink ref="H3" location="References!B2" display="Ref" xr:uid="{62DCFF3A-5806-4C28-AA92-6A23E8F61697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F71C-2CCF-4409-AA12-ED8E4700687F}">
  <sheetPr>
    <tabColor theme="9" tint="-0.499984740745262"/>
  </sheetPr>
  <dimension ref="B2:H29"/>
  <sheetViews>
    <sheetView workbookViewId="0">
      <selection activeCell="F4" sqref="F4"/>
    </sheetView>
  </sheetViews>
  <sheetFormatPr defaultRowHeight="14.4" x14ac:dyDescent="0.3"/>
  <sheetData>
    <row r="2" spans="2:6" x14ac:dyDescent="0.3">
      <c r="B2" s="1" t="s">
        <v>640</v>
      </c>
      <c r="C2" s="1" t="s">
        <v>633</v>
      </c>
      <c r="F2" s="4"/>
    </row>
    <row r="4" spans="2:6" x14ac:dyDescent="0.3">
      <c r="B4" s="96" t="s">
        <v>90</v>
      </c>
      <c r="C4" s="3">
        <v>0.122</v>
      </c>
      <c r="F4" s="143" t="s">
        <v>826</v>
      </c>
    </row>
    <row r="5" spans="2:6" x14ac:dyDescent="0.3">
      <c r="B5" s="96" t="s">
        <v>87</v>
      </c>
      <c r="C5" s="3">
        <v>5.8000000000000003E-2</v>
      </c>
      <c r="F5" s="134" t="s">
        <v>795</v>
      </c>
    </row>
    <row r="6" spans="2:6" x14ac:dyDescent="0.3">
      <c r="B6" s="96" t="s">
        <v>86</v>
      </c>
      <c r="C6" s="3">
        <v>8.3000000000000004E-2</v>
      </c>
      <c r="F6" s="134" t="s">
        <v>795</v>
      </c>
    </row>
    <row r="7" spans="2:6" x14ac:dyDescent="0.3">
      <c r="B7" s="96" t="s">
        <v>89</v>
      </c>
      <c r="C7" s="3">
        <v>3.7999999999999999E-2</v>
      </c>
      <c r="F7" s="134" t="s">
        <v>795</v>
      </c>
    </row>
    <row r="8" spans="2:6" x14ac:dyDescent="0.3">
      <c r="B8" s="96" t="s">
        <v>94</v>
      </c>
      <c r="C8" s="3">
        <v>8.5999999999999993E-2</v>
      </c>
      <c r="F8" s="134" t="s">
        <v>795</v>
      </c>
    </row>
    <row r="9" spans="2:6" x14ac:dyDescent="0.3">
      <c r="B9" s="96" t="s">
        <v>85</v>
      </c>
      <c r="C9" s="3">
        <v>0.12</v>
      </c>
      <c r="F9" s="134" t="s">
        <v>795</v>
      </c>
    </row>
    <row r="10" spans="2:6" x14ac:dyDescent="0.3">
      <c r="B10" s="96" t="s">
        <v>84</v>
      </c>
      <c r="C10" s="3">
        <v>0.13</v>
      </c>
      <c r="F10" s="134" t="s">
        <v>795</v>
      </c>
    </row>
    <row r="11" spans="2:6" x14ac:dyDescent="0.3">
      <c r="B11" s="96" t="s">
        <v>88</v>
      </c>
      <c r="C11" s="3">
        <v>4.0000000000000001E-3</v>
      </c>
      <c r="F11" s="134" t="s">
        <v>795</v>
      </c>
    </row>
    <row r="12" spans="2:6" x14ac:dyDescent="0.3">
      <c r="B12" s="96" t="s">
        <v>95</v>
      </c>
      <c r="C12" s="3">
        <v>2.7E-2</v>
      </c>
      <c r="F12" s="134" t="s">
        <v>795</v>
      </c>
    </row>
    <row r="13" spans="2:6" x14ac:dyDescent="0.3">
      <c r="B13" s="96" t="s">
        <v>96</v>
      </c>
      <c r="C13" s="3">
        <v>4.8000000000000001E-2</v>
      </c>
      <c r="F13" s="134" t="s">
        <v>795</v>
      </c>
    </row>
    <row r="14" spans="2:6" x14ac:dyDescent="0.3">
      <c r="B14" s="96" t="s">
        <v>93</v>
      </c>
      <c r="C14" s="3">
        <v>0.16600000000000001</v>
      </c>
      <c r="F14" s="134" t="s">
        <v>795</v>
      </c>
    </row>
    <row r="15" spans="2:6" x14ac:dyDescent="0.3">
      <c r="B15" s="96" t="s">
        <v>92</v>
      </c>
      <c r="C15" s="3">
        <v>7.0000000000000007E-2</v>
      </c>
      <c r="F15" s="134" t="s">
        <v>795</v>
      </c>
    </row>
    <row r="16" spans="2:6" x14ac:dyDescent="0.3">
      <c r="B16" s="96" t="s">
        <v>91</v>
      </c>
      <c r="C16" s="3">
        <v>4.9000000000000002E-2</v>
      </c>
      <c r="F16" s="134" t="s">
        <v>795</v>
      </c>
    </row>
    <row r="19" spans="2:8" x14ac:dyDescent="0.3">
      <c r="B19" s="1" t="s">
        <v>634</v>
      </c>
      <c r="D19" s="1" t="s">
        <v>635</v>
      </c>
    </row>
    <row r="20" spans="2:8" x14ac:dyDescent="0.3">
      <c r="B20" t="s">
        <v>540</v>
      </c>
    </row>
    <row r="21" spans="2:8" x14ac:dyDescent="0.3">
      <c r="B21" s="28">
        <v>1</v>
      </c>
      <c r="C21" s="28">
        <v>2</v>
      </c>
      <c r="D21" s="28">
        <v>3</v>
      </c>
      <c r="E21" s="28">
        <v>4</v>
      </c>
      <c r="F21" s="28">
        <v>5</v>
      </c>
      <c r="G21" s="28">
        <v>6</v>
      </c>
      <c r="H21" s="143" t="s">
        <v>826</v>
      </c>
    </row>
    <row r="22" spans="2:8" x14ac:dyDescent="0.3">
      <c r="B22" s="3">
        <v>70.709999999999994</v>
      </c>
      <c r="C22" s="3">
        <v>84.57</v>
      </c>
      <c r="D22" s="3">
        <v>98.43</v>
      </c>
      <c r="E22" s="3">
        <v>112.29</v>
      </c>
      <c r="F22" s="3">
        <v>126.14</v>
      </c>
      <c r="G22" s="3">
        <v>140</v>
      </c>
      <c r="H22" s="134" t="s">
        <v>796</v>
      </c>
    </row>
    <row r="24" spans="2:8" x14ac:dyDescent="0.3">
      <c r="B24">
        <v>1</v>
      </c>
      <c r="C24">
        <v>70.709999999999994</v>
      </c>
    </row>
    <row r="25" spans="2:8" x14ac:dyDescent="0.3">
      <c r="B25">
        <v>2</v>
      </c>
      <c r="C25">
        <v>84.57</v>
      </c>
    </row>
    <row r="26" spans="2:8" x14ac:dyDescent="0.3">
      <c r="B26">
        <v>3</v>
      </c>
      <c r="C26">
        <v>98.43</v>
      </c>
    </row>
    <row r="27" spans="2:8" x14ac:dyDescent="0.3">
      <c r="B27">
        <v>4</v>
      </c>
      <c r="C27">
        <v>112.29</v>
      </c>
    </row>
    <row r="28" spans="2:8" x14ac:dyDescent="0.3">
      <c r="B28">
        <v>5</v>
      </c>
      <c r="C28">
        <v>126.14</v>
      </c>
    </row>
    <row r="29" spans="2:8" x14ac:dyDescent="0.3">
      <c r="B29">
        <v>6</v>
      </c>
      <c r="C29">
        <v>140</v>
      </c>
    </row>
  </sheetData>
  <hyperlinks>
    <hyperlink ref="H21" location="References!B2" display="Ref" xr:uid="{683504D2-DE0A-4700-A11C-526AC6D707A3}"/>
    <hyperlink ref="F4" location="References!B2" display="Ref" xr:uid="{BF42AE4E-9FD9-4213-9093-C90A1B915AAB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0898-51AE-4D79-8D35-39287593A7E2}">
  <sheetPr>
    <tabColor theme="4" tint="0.79998168889431442"/>
  </sheetPr>
  <dimension ref="A1:K64"/>
  <sheetViews>
    <sheetView topLeftCell="A37" workbookViewId="0">
      <selection activeCell="B58" sqref="B58"/>
    </sheetView>
  </sheetViews>
  <sheetFormatPr defaultRowHeight="14.4" x14ac:dyDescent="0.3"/>
  <sheetData>
    <row r="1" spans="1:9" x14ac:dyDescent="0.3">
      <c r="A1" s="1" t="s">
        <v>382</v>
      </c>
      <c r="I1" s="4" t="s">
        <v>300</v>
      </c>
    </row>
    <row r="3" spans="1:9" x14ac:dyDescent="0.3">
      <c r="A3" s="32" t="s">
        <v>394</v>
      </c>
      <c r="B3" s="33"/>
    </row>
    <row r="4" spans="1:9" x14ac:dyDescent="0.3">
      <c r="A4" s="33" t="s">
        <v>383</v>
      </c>
      <c r="B4" s="34">
        <v>16.62</v>
      </c>
    </row>
    <row r="7" spans="1:9" x14ac:dyDescent="0.3">
      <c r="A7" s="1" t="s">
        <v>384</v>
      </c>
      <c r="H7" s="4" t="s">
        <v>300</v>
      </c>
    </row>
    <row r="9" spans="1:9" x14ac:dyDescent="0.3">
      <c r="A9" s="32" t="s">
        <v>395</v>
      </c>
      <c r="B9" s="33"/>
    </row>
    <row r="10" spans="1:9" x14ac:dyDescent="0.3">
      <c r="A10" s="33" t="s">
        <v>383</v>
      </c>
      <c r="B10" s="34">
        <v>1.63</v>
      </c>
    </row>
    <row r="13" spans="1:9" x14ac:dyDescent="0.3">
      <c r="A13" s="1" t="s">
        <v>385</v>
      </c>
      <c r="I13" s="4" t="s">
        <v>300</v>
      </c>
    </row>
    <row r="15" spans="1:9" x14ac:dyDescent="0.3">
      <c r="A15" s="32" t="s">
        <v>396</v>
      </c>
      <c r="B15" s="33"/>
    </row>
    <row r="16" spans="1:9" x14ac:dyDescent="0.3">
      <c r="A16" s="33" t="s">
        <v>383</v>
      </c>
      <c r="B16" s="34">
        <v>0.25</v>
      </c>
    </row>
    <row r="17" spans="1:10" x14ac:dyDescent="0.3">
      <c r="B17" s="27"/>
    </row>
    <row r="19" spans="1:10" x14ac:dyDescent="0.3">
      <c r="A19" s="1" t="s">
        <v>386</v>
      </c>
    </row>
    <row r="21" spans="1:10" x14ac:dyDescent="0.3">
      <c r="A21" s="32" t="s">
        <v>397</v>
      </c>
      <c r="B21" s="33"/>
    </row>
    <row r="22" spans="1:10" x14ac:dyDescent="0.3">
      <c r="A22" s="33" t="s">
        <v>383</v>
      </c>
      <c r="B22" s="34">
        <v>2.2999999999999998</v>
      </c>
    </row>
    <row r="25" spans="1:10" x14ac:dyDescent="0.3">
      <c r="A25" s="1" t="s">
        <v>387</v>
      </c>
      <c r="I25" s="4" t="s">
        <v>300</v>
      </c>
    </row>
    <row r="27" spans="1:10" x14ac:dyDescent="0.3">
      <c r="A27" s="32" t="s">
        <v>398</v>
      </c>
      <c r="B27" s="33"/>
    </row>
    <row r="28" spans="1:10" x14ac:dyDescent="0.3">
      <c r="A28" s="33" t="s">
        <v>383</v>
      </c>
      <c r="B28" s="34">
        <v>2</v>
      </c>
    </row>
    <row r="31" spans="1:10" x14ac:dyDescent="0.3">
      <c r="A31" s="1" t="s">
        <v>388</v>
      </c>
      <c r="J31" s="4" t="s">
        <v>300</v>
      </c>
    </row>
    <row r="33" spans="1:9" x14ac:dyDescent="0.3">
      <c r="A33" s="32" t="s">
        <v>399</v>
      </c>
      <c r="B33" s="33"/>
    </row>
    <row r="34" spans="1:9" x14ac:dyDescent="0.3">
      <c r="A34" s="33" t="s">
        <v>383</v>
      </c>
      <c r="B34" s="3">
        <v>7.0000000000000007E-2</v>
      </c>
    </row>
    <row r="37" spans="1:9" x14ac:dyDescent="0.3">
      <c r="A37" s="1" t="s">
        <v>389</v>
      </c>
    </row>
    <row r="39" spans="1:9" x14ac:dyDescent="0.3">
      <c r="A39" s="32" t="s">
        <v>400</v>
      </c>
      <c r="B39" s="33"/>
    </row>
    <row r="40" spans="1:9" x14ac:dyDescent="0.3">
      <c r="A40" s="33" t="s">
        <v>383</v>
      </c>
      <c r="B40" s="35">
        <v>55</v>
      </c>
    </row>
    <row r="43" spans="1:9" x14ac:dyDescent="0.3">
      <c r="A43" s="1" t="s">
        <v>390</v>
      </c>
      <c r="I43" s="4" t="s">
        <v>300</v>
      </c>
    </row>
    <row r="45" spans="1:9" x14ac:dyDescent="0.3">
      <c r="A45" s="32" t="s">
        <v>401</v>
      </c>
      <c r="B45" s="33"/>
    </row>
    <row r="46" spans="1:9" x14ac:dyDescent="0.3">
      <c r="A46" s="33" t="s">
        <v>383</v>
      </c>
      <c r="B46" s="35">
        <v>21.66</v>
      </c>
    </row>
    <row r="49" spans="1:11" x14ac:dyDescent="0.3">
      <c r="A49" s="1" t="s">
        <v>391</v>
      </c>
      <c r="K49" s="4" t="s">
        <v>300</v>
      </c>
    </row>
    <row r="51" spans="1:11" x14ac:dyDescent="0.3">
      <c r="A51" s="32" t="s">
        <v>402</v>
      </c>
      <c r="B51" s="33"/>
    </row>
    <row r="52" spans="1:11" x14ac:dyDescent="0.3">
      <c r="A52" s="33" t="s">
        <v>383</v>
      </c>
      <c r="B52" s="35">
        <v>18</v>
      </c>
    </row>
    <row r="55" spans="1:11" x14ac:dyDescent="0.3">
      <c r="A55" s="1" t="s">
        <v>392</v>
      </c>
      <c r="J55" s="4" t="s">
        <v>300</v>
      </c>
    </row>
    <row r="57" spans="1:11" x14ac:dyDescent="0.3">
      <c r="A57" s="32" t="s">
        <v>403</v>
      </c>
      <c r="B57" s="33"/>
    </row>
    <row r="58" spans="1:11" x14ac:dyDescent="0.3">
      <c r="A58" s="33" t="s">
        <v>383</v>
      </c>
      <c r="B58" s="35">
        <v>253000</v>
      </c>
    </row>
    <row r="61" spans="1:11" x14ac:dyDescent="0.3">
      <c r="A61" s="1" t="s">
        <v>393</v>
      </c>
      <c r="E61" s="4" t="s">
        <v>300</v>
      </c>
    </row>
    <row r="63" spans="1:11" x14ac:dyDescent="0.3">
      <c r="A63" s="32" t="s">
        <v>414</v>
      </c>
      <c r="B63" s="33"/>
    </row>
    <row r="64" spans="1:11" x14ac:dyDescent="0.3">
      <c r="A64" s="33" t="s">
        <v>383</v>
      </c>
      <c r="B64" s="35">
        <v>15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E249-9E13-4129-B872-8B7E27AD9709}">
  <sheetPr>
    <tabColor rgb="FFA18C77"/>
  </sheetPr>
  <dimension ref="A1:D14"/>
  <sheetViews>
    <sheetView workbookViewId="0">
      <selection activeCell="D10" sqref="D10"/>
    </sheetView>
  </sheetViews>
  <sheetFormatPr defaultRowHeight="14.4" x14ac:dyDescent="0.3"/>
  <cols>
    <col min="2" max="2" width="12" bestFit="1" customWidth="1"/>
  </cols>
  <sheetData>
    <row r="1" spans="1:4" x14ac:dyDescent="0.3">
      <c r="A1" s="1" t="s">
        <v>629</v>
      </c>
    </row>
    <row r="2" spans="1:4" x14ac:dyDescent="0.3">
      <c r="A2" s="42" t="s">
        <v>463</v>
      </c>
      <c r="B2" s="43"/>
      <c r="D2" s="143" t="s">
        <v>826</v>
      </c>
    </row>
    <row r="3" spans="1:4" x14ac:dyDescent="0.3">
      <c r="A3" s="42" t="s">
        <v>137</v>
      </c>
      <c r="B3" s="95">
        <f>11*(10^(12))/1000</f>
        <v>11000000000</v>
      </c>
      <c r="D3" s="134" t="s">
        <v>863</v>
      </c>
    </row>
    <row r="4" spans="1:4" x14ac:dyDescent="0.3">
      <c r="A4" s="42" t="s">
        <v>138</v>
      </c>
      <c r="B4" s="95">
        <f>1*(10^(12))/1000</f>
        <v>1000000000</v>
      </c>
      <c r="D4" s="134" t="s">
        <v>863</v>
      </c>
    </row>
    <row r="5" spans="1:4" x14ac:dyDescent="0.3">
      <c r="A5" s="42" t="s">
        <v>136</v>
      </c>
      <c r="B5" s="95">
        <v>0</v>
      </c>
      <c r="D5" s="134" t="s">
        <v>863</v>
      </c>
    </row>
    <row r="6" spans="1:4" x14ac:dyDescent="0.3">
      <c r="A6" s="42" t="s">
        <v>135</v>
      </c>
      <c r="B6" s="95">
        <f>7.1*(10^(12))/1000</f>
        <v>7100000000</v>
      </c>
      <c r="D6" s="134" t="s">
        <v>863</v>
      </c>
    </row>
    <row r="9" spans="1:4" x14ac:dyDescent="0.3">
      <c r="A9" s="1" t="s">
        <v>630</v>
      </c>
    </row>
    <row r="10" spans="1:4" x14ac:dyDescent="0.3">
      <c r="A10" s="42" t="s">
        <v>464</v>
      </c>
      <c r="B10" s="43"/>
      <c r="D10" s="143" t="s">
        <v>826</v>
      </c>
    </row>
    <row r="11" spans="1:4" x14ac:dyDescent="0.3">
      <c r="A11" s="42" t="s">
        <v>137</v>
      </c>
      <c r="B11" s="3">
        <v>0</v>
      </c>
      <c r="D11" s="134" t="s">
        <v>863</v>
      </c>
    </row>
    <row r="12" spans="1:4" x14ac:dyDescent="0.3">
      <c r="A12" s="42" t="s">
        <v>138</v>
      </c>
      <c r="B12" s="3">
        <v>0</v>
      </c>
      <c r="D12" s="134" t="s">
        <v>863</v>
      </c>
    </row>
    <row r="13" spans="1:4" x14ac:dyDescent="0.3">
      <c r="A13" s="42" t="s">
        <v>136</v>
      </c>
      <c r="B13" s="3">
        <v>0</v>
      </c>
      <c r="D13" s="134" t="s">
        <v>863</v>
      </c>
    </row>
    <row r="14" spans="1:4" x14ac:dyDescent="0.3">
      <c r="A14" s="42" t="s">
        <v>135</v>
      </c>
      <c r="B14" s="3">
        <v>0</v>
      </c>
      <c r="D14" s="134" t="s">
        <v>863</v>
      </c>
    </row>
  </sheetData>
  <hyperlinks>
    <hyperlink ref="D2" location="References!B2" display="Ref" xr:uid="{0E1E6140-A2FD-4236-A3A2-D1AF886DDABD}"/>
    <hyperlink ref="D10" location="References!B2" display="Ref" xr:uid="{A00B8285-51B4-4FAE-8FCB-DD6361E654A9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52BC-10F5-4E95-9A02-18584C2D6111}">
  <sheetPr>
    <tabColor theme="9" tint="0.79998168889431442"/>
  </sheetPr>
  <dimension ref="A1:AS44"/>
  <sheetViews>
    <sheetView zoomScale="91" zoomScaleNormal="91" workbookViewId="0">
      <selection activeCell="Q9" sqref="Q9"/>
    </sheetView>
  </sheetViews>
  <sheetFormatPr defaultRowHeight="14.4" x14ac:dyDescent="0.3"/>
  <cols>
    <col min="2" max="2" width="12" bestFit="1" customWidth="1"/>
    <col min="5" max="5" width="10.109375" customWidth="1"/>
    <col min="6" max="6" width="9.5546875" customWidth="1"/>
    <col min="10" max="10" width="12" bestFit="1" customWidth="1"/>
    <col min="16" max="17" width="9.5546875" bestFit="1" customWidth="1"/>
    <col min="18" max="18" width="11.33203125" customWidth="1"/>
  </cols>
  <sheetData>
    <row r="1" spans="1:21" x14ac:dyDescent="0.3">
      <c r="A1" s="47" t="s">
        <v>622</v>
      </c>
      <c r="B1" s="75"/>
      <c r="C1" s="75"/>
      <c r="D1" s="4"/>
    </row>
    <row r="2" spans="1:21" x14ac:dyDescent="0.3">
      <c r="A2" s="47" t="s">
        <v>290</v>
      </c>
    </row>
    <row r="3" spans="1:21" x14ac:dyDescent="0.3">
      <c r="A3" s="28">
        <v>1</v>
      </c>
      <c r="B3" s="28">
        <v>2</v>
      </c>
      <c r="C3" s="28">
        <v>3</v>
      </c>
      <c r="D3" s="28">
        <v>4</v>
      </c>
      <c r="E3" s="28">
        <v>5</v>
      </c>
      <c r="F3" s="28">
        <v>6</v>
      </c>
      <c r="G3" s="143" t="s">
        <v>826</v>
      </c>
      <c r="I3" s="28">
        <v>1</v>
      </c>
      <c r="J3">
        <v>98</v>
      </c>
    </row>
    <row r="4" spans="1:21" x14ac:dyDescent="0.3">
      <c r="A4" s="89">
        <v>98.335618642607471</v>
      </c>
      <c r="B4" s="89">
        <v>99.414330529070227</v>
      </c>
      <c r="C4" s="89">
        <v>108.0980810768733</v>
      </c>
      <c r="D4" s="89">
        <v>115.31897034160406</v>
      </c>
      <c r="E4" s="89">
        <v>121.90459806068468</v>
      </c>
      <c r="F4" s="89">
        <v>127.39634673947913</v>
      </c>
      <c r="G4" s="134" t="s">
        <v>877</v>
      </c>
      <c r="I4" s="28">
        <v>2</v>
      </c>
      <c r="J4">
        <v>99</v>
      </c>
    </row>
    <row r="5" spans="1:21" x14ac:dyDescent="0.3">
      <c r="A5" s="3"/>
      <c r="B5" s="3"/>
      <c r="C5" s="3"/>
      <c r="D5" s="3"/>
      <c r="E5" s="3"/>
      <c r="F5" s="3"/>
      <c r="I5" s="28">
        <v>3</v>
      </c>
      <c r="J5">
        <v>108</v>
      </c>
    </row>
    <row r="6" spans="1:21" x14ac:dyDescent="0.3">
      <c r="I6" s="28">
        <v>4</v>
      </c>
      <c r="J6">
        <v>115</v>
      </c>
      <c r="M6" t="s">
        <v>557</v>
      </c>
    </row>
    <row r="7" spans="1:21" x14ac:dyDescent="0.3">
      <c r="A7" s="47" t="s">
        <v>619</v>
      </c>
      <c r="B7" s="75"/>
      <c r="C7" s="75"/>
      <c r="D7" s="75"/>
      <c r="E7" s="75"/>
      <c r="F7" s="75"/>
      <c r="G7" s="75"/>
      <c r="H7" s="75"/>
      <c r="I7" s="28">
        <v>5</v>
      </c>
      <c r="J7">
        <v>122</v>
      </c>
    </row>
    <row r="8" spans="1:21" x14ac:dyDescent="0.3">
      <c r="A8" s="46" t="s">
        <v>556</v>
      </c>
      <c r="B8" s="47"/>
      <c r="I8" s="28">
        <v>6</v>
      </c>
      <c r="J8">
        <v>127</v>
      </c>
    </row>
    <row r="9" spans="1:21" x14ac:dyDescent="0.3">
      <c r="A9" s="85" t="s">
        <v>130</v>
      </c>
      <c r="B9" s="88">
        <f>S12*1000/O10*P10/1000</f>
        <v>0.25588235294117645</v>
      </c>
      <c r="H9" s="134" t="s">
        <v>850</v>
      </c>
      <c r="O9" s="75" t="s">
        <v>470</v>
      </c>
      <c r="P9" s="75" t="s">
        <v>471</v>
      </c>
      <c r="Q9" s="143" t="s">
        <v>826</v>
      </c>
      <c r="R9" s="75" t="s">
        <v>573</v>
      </c>
      <c r="S9" s="75" t="s">
        <v>484</v>
      </c>
      <c r="T9" s="75"/>
      <c r="U9" s="4" t="s">
        <v>575</v>
      </c>
    </row>
    <row r="10" spans="1:21" x14ac:dyDescent="0.3">
      <c r="A10" s="85" t="s">
        <v>131</v>
      </c>
      <c r="B10" s="88">
        <f>S12*1000/O11*P11/1000</f>
        <v>0.23234939759036144</v>
      </c>
      <c r="H10" s="134" t="s">
        <v>850</v>
      </c>
      <c r="N10" s="85" t="s">
        <v>130</v>
      </c>
      <c r="O10" s="3">
        <v>0.71399999999999997</v>
      </c>
      <c r="P10" s="3">
        <v>0.9</v>
      </c>
      <c r="Q10" s="134" t="s">
        <v>824</v>
      </c>
      <c r="R10" s="29" t="s">
        <v>485</v>
      </c>
      <c r="S10" s="3">
        <v>0.28000000000000003</v>
      </c>
    </row>
    <row r="11" spans="1:21" x14ac:dyDescent="0.3">
      <c r="A11" s="85" t="s">
        <v>213</v>
      </c>
      <c r="B11" s="88">
        <f>S14*1000/O12*P12/1000</f>
        <v>0.45257142857142862</v>
      </c>
      <c r="H11" s="134" t="s">
        <v>850</v>
      </c>
      <c r="N11" s="85" t="s">
        <v>131</v>
      </c>
      <c r="O11" s="3">
        <v>0.83</v>
      </c>
      <c r="P11" s="3">
        <v>0.95</v>
      </c>
      <c r="Q11" s="134" t="s">
        <v>824</v>
      </c>
      <c r="R11" s="29" t="s">
        <v>486</v>
      </c>
      <c r="S11" s="3">
        <v>0.32100000000000001</v>
      </c>
    </row>
    <row r="12" spans="1:21" x14ac:dyDescent="0.3">
      <c r="A12" s="85" t="s">
        <v>133</v>
      </c>
      <c r="B12" s="88">
        <f>0</f>
        <v>0</v>
      </c>
      <c r="H12" s="134" t="s">
        <v>850</v>
      </c>
      <c r="N12" s="85" t="s">
        <v>213</v>
      </c>
      <c r="O12" s="3">
        <v>0.7</v>
      </c>
      <c r="P12" s="3">
        <v>0.9</v>
      </c>
      <c r="Q12" s="134" t="s">
        <v>824</v>
      </c>
      <c r="R12" s="29" t="s">
        <v>190</v>
      </c>
      <c r="S12" s="3">
        <v>0.20300000000000001</v>
      </c>
    </row>
    <row r="13" spans="1:21" x14ac:dyDescent="0.3">
      <c r="A13" s="85" t="s">
        <v>214</v>
      </c>
      <c r="B13" s="88">
        <f>0</f>
        <v>0</v>
      </c>
      <c r="H13" s="134" t="s">
        <v>850</v>
      </c>
      <c r="N13" s="85" t="s">
        <v>133</v>
      </c>
      <c r="O13" s="3">
        <v>0.8</v>
      </c>
      <c r="P13" s="3">
        <v>0</v>
      </c>
      <c r="Q13" s="134" t="s">
        <v>878</v>
      </c>
      <c r="R13" s="29" t="s">
        <v>423</v>
      </c>
      <c r="S13" s="3">
        <v>0</v>
      </c>
    </row>
    <row r="14" spans="1:21" x14ac:dyDescent="0.3">
      <c r="A14" s="85" t="s">
        <v>207</v>
      </c>
      <c r="B14" s="88">
        <f>0</f>
        <v>0</v>
      </c>
      <c r="H14" s="134" t="s">
        <v>850</v>
      </c>
      <c r="N14" s="85" t="s">
        <v>214</v>
      </c>
      <c r="O14" s="3">
        <v>0.6</v>
      </c>
      <c r="P14" s="3">
        <v>0</v>
      </c>
      <c r="Q14" s="134" t="s">
        <v>878</v>
      </c>
      <c r="R14" s="29" t="s">
        <v>579</v>
      </c>
      <c r="S14" s="3">
        <v>0.35199999999999998</v>
      </c>
    </row>
    <row r="15" spans="1:21" x14ac:dyDescent="0.3">
      <c r="A15" s="85" t="s">
        <v>208</v>
      </c>
      <c r="B15" s="88">
        <v>0</v>
      </c>
      <c r="H15" s="134" t="s">
        <v>850</v>
      </c>
      <c r="N15" s="85" t="s">
        <v>207</v>
      </c>
      <c r="O15" s="3">
        <v>0.39100000000000001</v>
      </c>
      <c r="P15" s="3">
        <v>0</v>
      </c>
      <c r="Q15" s="134" t="s">
        <v>878</v>
      </c>
      <c r="R15" s="29" t="s">
        <v>578</v>
      </c>
      <c r="S15" s="3">
        <v>0.01</v>
      </c>
    </row>
    <row r="16" spans="1:21" x14ac:dyDescent="0.3">
      <c r="A16" s="85" t="s">
        <v>210</v>
      </c>
      <c r="B16" s="88">
        <f>S12*1000/O17*P17/1000</f>
        <v>0.37361963190184055</v>
      </c>
      <c r="H16" s="134" t="s">
        <v>850</v>
      </c>
      <c r="N16" s="85" t="s">
        <v>208</v>
      </c>
      <c r="O16" s="3">
        <v>0.39</v>
      </c>
      <c r="P16" s="3">
        <v>0.9</v>
      </c>
      <c r="Q16" s="134" t="s">
        <v>878</v>
      </c>
      <c r="R16" s="121" t="s">
        <v>577</v>
      </c>
      <c r="S16" s="120">
        <v>0.34200000000000003</v>
      </c>
    </row>
    <row r="17" spans="1:17" x14ac:dyDescent="0.3">
      <c r="A17" s="85" t="s">
        <v>132</v>
      </c>
      <c r="B17" s="88">
        <f>S14*1000/O18*P18/1000</f>
        <v>1.1314285714285712</v>
      </c>
      <c r="H17" s="134" t="s">
        <v>839</v>
      </c>
      <c r="N17" s="85" t="s">
        <v>210</v>
      </c>
      <c r="O17" s="3">
        <v>0.48899999999999999</v>
      </c>
      <c r="P17" s="3">
        <v>0.9</v>
      </c>
      <c r="Q17" s="134" t="s">
        <v>878</v>
      </c>
    </row>
    <row r="18" spans="1:17" x14ac:dyDescent="0.3">
      <c r="A18" s="29" t="s">
        <v>288</v>
      </c>
      <c r="B18" s="88">
        <f>S14*1000/O19*P19</f>
        <v>0</v>
      </c>
      <c r="H18" s="134" t="s">
        <v>850</v>
      </c>
      <c r="N18" s="85" t="s">
        <v>132</v>
      </c>
      <c r="O18" s="3">
        <v>0.28000000000000003</v>
      </c>
      <c r="P18" s="3">
        <v>0.9</v>
      </c>
      <c r="Q18" s="134" t="s">
        <v>878</v>
      </c>
    </row>
    <row r="19" spans="1:17" x14ac:dyDescent="0.3">
      <c r="A19" s="29" t="s">
        <v>581</v>
      </c>
      <c r="B19" s="88">
        <v>0</v>
      </c>
      <c r="H19" s="134" t="s">
        <v>850</v>
      </c>
      <c r="N19" s="29" t="s">
        <v>288</v>
      </c>
      <c r="O19" s="3">
        <v>0.35</v>
      </c>
      <c r="P19" s="3">
        <v>0</v>
      </c>
      <c r="Q19" s="134" t="s">
        <v>878</v>
      </c>
    </row>
    <row r="20" spans="1:17" x14ac:dyDescent="0.3">
      <c r="N20" s="29" t="s">
        <v>210</v>
      </c>
      <c r="O20" s="3">
        <v>0.51</v>
      </c>
      <c r="P20" s="3">
        <v>0</v>
      </c>
      <c r="Q20" s="134" t="s">
        <v>878</v>
      </c>
    </row>
    <row r="22" spans="1:17" x14ac:dyDescent="0.3">
      <c r="A22" s="47" t="s">
        <v>620</v>
      </c>
      <c r="B22" s="75"/>
      <c r="C22" s="75"/>
      <c r="D22" s="75"/>
      <c r="E22" s="75"/>
      <c r="F22" s="75"/>
      <c r="G22" s="75"/>
      <c r="H22" s="75"/>
    </row>
    <row r="23" spans="1:17" x14ac:dyDescent="0.3">
      <c r="A23" s="46" t="s">
        <v>558</v>
      </c>
      <c r="B23" s="47"/>
    </row>
    <row r="24" spans="1:17" x14ac:dyDescent="0.3">
      <c r="A24" s="85" t="s">
        <v>130</v>
      </c>
      <c r="B24" s="88">
        <f>S12*1000/O10*(1-P10)/1000</f>
        <v>2.8431372549019604E-2</v>
      </c>
    </row>
    <row r="25" spans="1:17" x14ac:dyDescent="0.3">
      <c r="A25" s="85" t="s">
        <v>131</v>
      </c>
      <c r="B25" s="88">
        <f>S12*1000/O11*(1-P11)/1000</f>
        <v>1.2228915662650615E-2</v>
      </c>
    </row>
    <row r="26" spans="1:17" x14ac:dyDescent="0.3">
      <c r="A26" s="85" t="s">
        <v>213</v>
      </c>
      <c r="B26" s="88">
        <f>-S14*1000/O12*(P12)/1000</f>
        <v>-0.45257142857142862</v>
      </c>
    </row>
    <row r="27" spans="1:17" x14ac:dyDescent="0.3">
      <c r="A27" s="85" t="s">
        <v>133</v>
      </c>
      <c r="B27" s="88">
        <v>0</v>
      </c>
    </row>
    <row r="28" spans="1:17" x14ac:dyDescent="0.3">
      <c r="A28" s="85" t="s">
        <v>214</v>
      </c>
      <c r="B28" s="88">
        <v>0</v>
      </c>
    </row>
    <row r="29" spans="1:17" x14ac:dyDescent="0.3">
      <c r="A29" s="85" t="s">
        <v>207</v>
      </c>
      <c r="B29" s="88">
        <f>S13*1000/O15*(1-P15)</f>
        <v>0</v>
      </c>
    </row>
    <row r="30" spans="1:17" x14ac:dyDescent="0.3">
      <c r="A30" s="85" t="s">
        <v>208</v>
      </c>
      <c r="B30" s="88">
        <v>0.52100000000000002</v>
      </c>
    </row>
    <row r="31" spans="1:17" x14ac:dyDescent="0.3">
      <c r="A31" s="85" t="s">
        <v>210</v>
      </c>
      <c r="B31" s="88">
        <v>0.1</v>
      </c>
    </row>
    <row r="32" spans="1:17" x14ac:dyDescent="0.3">
      <c r="A32" s="85" t="s">
        <v>132</v>
      </c>
      <c r="B32" s="88">
        <f>-S14*1000/O18*(P18)/1000</f>
        <v>-1.1314285714285712</v>
      </c>
    </row>
    <row r="33" spans="1:45" x14ac:dyDescent="0.3">
      <c r="A33" s="29" t="s">
        <v>288</v>
      </c>
      <c r="B33" s="88">
        <f>S14*1000/O19*(1-P19)/1000</f>
        <v>1.0057142857142858</v>
      </c>
    </row>
    <row r="34" spans="1:45" x14ac:dyDescent="0.3">
      <c r="A34" s="29" t="s">
        <v>581</v>
      </c>
      <c r="B34" s="88">
        <v>0.39800000000000002</v>
      </c>
    </row>
    <row r="35" spans="1:45" x14ac:dyDescent="0.3">
      <c r="A35" s="29"/>
      <c r="B35" s="88"/>
    </row>
    <row r="36" spans="1:45" x14ac:dyDescent="0.3">
      <c r="A36" s="1"/>
    </row>
    <row r="38" spans="1:45" x14ac:dyDescent="0.3">
      <c r="A38" s="86" t="s">
        <v>621</v>
      </c>
      <c r="B38" s="75"/>
      <c r="C38" s="75"/>
      <c r="D38" s="75"/>
      <c r="E38" s="47" t="s">
        <v>576</v>
      </c>
      <c r="L38" s="4" t="s">
        <v>506</v>
      </c>
      <c r="T38" s="4" t="s">
        <v>631</v>
      </c>
    </row>
    <row r="39" spans="1:45" x14ac:dyDescent="0.3">
      <c r="A39" s="28">
        <v>1</v>
      </c>
      <c r="B39" s="28">
        <v>2</v>
      </c>
      <c r="C39" s="28">
        <v>3</v>
      </c>
      <c r="D39" s="28">
        <v>4</v>
      </c>
      <c r="E39" s="28">
        <v>5</v>
      </c>
      <c r="F39" s="28">
        <v>6</v>
      </c>
      <c r="G39" s="4" t="s">
        <v>631</v>
      </c>
      <c r="I39" s="28">
        <v>1</v>
      </c>
      <c r="J39" s="106">
        <f>A40</f>
        <v>126070524.19932</v>
      </c>
      <c r="L39" s="28">
        <v>1</v>
      </c>
      <c r="M39" s="28">
        <v>2</v>
      </c>
      <c r="N39" s="28">
        <v>3</v>
      </c>
      <c r="O39" s="28">
        <v>4</v>
      </c>
      <c r="P39" s="28">
        <v>5</v>
      </c>
      <c r="Q39" s="28">
        <v>6</v>
      </c>
      <c r="R39" s="61"/>
      <c r="S39" s="61"/>
      <c r="T39" s="28">
        <v>1</v>
      </c>
      <c r="U39" s="28">
        <v>2</v>
      </c>
      <c r="V39" s="28">
        <v>3</v>
      </c>
      <c r="W39" s="28">
        <v>4</v>
      </c>
      <c r="X39" s="28">
        <v>5</v>
      </c>
      <c r="Y39" s="28">
        <v>6</v>
      </c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</row>
    <row r="40" spans="1:45" x14ac:dyDescent="0.3">
      <c r="A40" s="95">
        <f>126070524199.32/1000</f>
        <v>126070524.19932</v>
      </c>
      <c r="B40" s="95">
        <f>81034614456.2449/1000</f>
        <v>81034614.456244901</v>
      </c>
      <c r="C40" s="95">
        <f>35791671538.6416/1000</f>
        <v>35791671.538641602</v>
      </c>
      <c r="D40" s="95">
        <f>6879358880.09462/1000</f>
        <v>6879358.8800946195</v>
      </c>
      <c r="E40" s="106">
        <f>(D40+F40)/2</f>
        <v>3439679.4400473097</v>
      </c>
      <c r="F40">
        <v>0</v>
      </c>
      <c r="I40" s="28">
        <v>2</v>
      </c>
      <c r="J40" s="106">
        <f>B40</f>
        <v>81034614.456244901</v>
      </c>
      <c r="L40" s="95">
        <f>126070524199.32/1000</f>
        <v>126070524.19932</v>
      </c>
      <c r="M40" s="95">
        <f>81034614456.2449/1000</f>
        <v>81034614.456244901</v>
      </c>
      <c r="N40" s="95">
        <f>35791671538.6416/1000</f>
        <v>35791671.538641602</v>
      </c>
      <c r="O40" s="95">
        <f>6879358880.09462/1000</f>
        <v>6879358.8800946195</v>
      </c>
      <c r="P40" s="95">
        <f>-18012989269.6526/1000</f>
        <v>-18012989.269652598</v>
      </c>
      <c r="Q40" s="95">
        <f>-31078581062.2781/1000</f>
        <v>-31078581.062278099</v>
      </c>
      <c r="R40" s="61"/>
      <c r="S40" s="61"/>
      <c r="T40" s="95">
        <v>62552915.862988248</v>
      </c>
      <c r="U40" s="95">
        <v>45181177.220461167</v>
      </c>
      <c r="V40" s="95">
        <v>29132740.869945705</v>
      </c>
      <c r="W40" s="95">
        <v>18800100.149759393</v>
      </c>
      <c r="X40" s="95">
        <v>7524286.5804977603</v>
      </c>
      <c r="Y40" s="95">
        <v>0</v>
      </c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</row>
    <row r="41" spans="1:45" x14ac:dyDescent="0.3">
      <c r="I41" s="28">
        <v>3</v>
      </c>
      <c r="J41" s="106">
        <f>C40</f>
        <v>35791671.538641602</v>
      </c>
      <c r="L41" s="95">
        <f>126070524199.32/1000</f>
        <v>126070524.19932</v>
      </c>
      <c r="M41" s="95">
        <f>81034614456.2449/1000</f>
        <v>81034614.456244901</v>
      </c>
      <c r="N41" s="95">
        <f>35791671538.6416/1000</f>
        <v>35791671.538641602</v>
      </c>
      <c r="O41" s="95">
        <f>6879358880.09462/1000</f>
        <v>6879358.8800946195</v>
      </c>
      <c r="P41" s="106">
        <f>(O41+Q41)/2</f>
        <v>3439679.4400473097</v>
      </c>
      <c r="Q41">
        <v>0</v>
      </c>
    </row>
    <row r="42" spans="1:45" x14ac:dyDescent="0.3">
      <c r="I42" s="28">
        <v>4</v>
      </c>
      <c r="J42" s="106">
        <f>D40</f>
        <v>6879358.8800946195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 x14ac:dyDescent="0.3">
      <c r="I43" s="28">
        <v>5</v>
      </c>
      <c r="J43" s="106">
        <f>E40</f>
        <v>3439679.4400473097</v>
      </c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</row>
    <row r="44" spans="1:45" x14ac:dyDescent="0.3">
      <c r="I44" s="28">
        <v>6</v>
      </c>
      <c r="J44">
        <f>F40</f>
        <v>0</v>
      </c>
    </row>
  </sheetData>
  <hyperlinks>
    <hyperlink ref="G3" location="References!B2" display="Ref" xr:uid="{24BC23E1-6CA7-4795-9C45-ED6DE57171BA}"/>
    <hyperlink ref="Q9" location="References!B2" display="Ref" xr:uid="{E58DEF2C-FE61-45E1-B77C-83DCF4E6460F}"/>
  </hyperlink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F556-548C-449F-A031-079AAC8BC2DA}">
  <sheetPr>
    <tabColor theme="5" tint="0.79998168889431442"/>
  </sheetPr>
  <dimension ref="A2:H50"/>
  <sheetViews>
    <sheetView topLeftCell="A25" workbookViewId="0">
      <selection activeCell="B43" sqref="B43"/>
    </sheetView>
  </sheetViews>
  <sheetFormatPr defaultRowHeight="14.4" x14ac:dyDescent="0.3"/>
  <sheetData>
    <row r="2" spans="1:7" x14ac:dyDescent="0.3">
      <c r="A2" s="1" t="s">
        <v>298</v>
      </c>
      <c r="G2" s="4"/>
    </row>
    <row r="4" spans="1:7" x14ac:dyDescent="0.3">
      <c r="A4" s="20" t="s">
        <v>363</v>
      </c>
      <c r="B4" s="143" t="s">
        <v>826</v>
      </c>
    </row>
    <row r="5" spans="1:7" x14ac:dyDescent="0.3">
      <c r="A5" s="3">
        <v>0.05</v>
      </c>
      <c r="B5" s="134" t="s">
        <v>803</v>
      </c>
    </row>
    <row r="8" spans="1:7" x14ac:dyDescent="0.3">
      <c r="A8" s="1" t="s">
        <v>299</v>
      </c>
      <c r="G8" s="4"/>
    </row>
    <row r="10" spans="1:7" x14ac:dyDescent="0.3">
      <c r="A10" s="19" t="s">
        <v>146</v>
      </c>
      <c r="B10" s="19" t="s">
        <v>301</v>
      </c>
      <c r="C10" s="19" t="s">
        <v>361</v>
      </c>
      <c r="D10" s="19" t="s">
        <v>362</v>
      </c>
      <c r="F10" s="143" t="s">
        <v>826</v>
      </c>
    </row>
    <row r="11" spans="1:7" x14ac:dyDescent="0.3">
      <c r="A11" s="21" t="s">
        <v>321</v>
      </c>
      <c r="B11" s="3">
        <v>0.5</v>
      </c>
      <c r="C11" s="3">
        <v>0.6</v>
      </c>
      <c r="D11" s="3">
        <v>0.6</v>
      </c>
      <c r="F11" s="134" t="s">
        <v>803</v>
      </c>
    </row>
    <row r="12" spans="1:7" x14ac:dyDescent="0.3">
      <c r="A12" s="21" t="s">
        <v>322</v>
      </c>
      <c r="B12" s="3">
        <v>0.8</v>
      </c>
      <c r="C12" s="3">
        <v>1.2</v>
      </c>
      <c r="D12" s="3">
        <v>1.2</v>
      </c>
      <c r="F12" s="134" t="s">
        <v>803</v>
      </c>
    </row>
    <row r="13" spans="1:7" x14ac:dyDescent="0.3">
      <c r="A13" s="21" t="s">
        <v>323</v>
      </c>
      <c r="B13" s="3">
        <v>1</v>
      </c>
      <c r="C13" s="3"/>
      <c r="D13" s="3"/>
    </row>
    <row r="14" spans="1:7" x14ac:dyDescent="0.3">
      <c r="A14" s="21" t="s">
        <v>354</v>
      </c>
      <c r="B14" s="3"/>
      <c r="C14" s="3"/>
      <c r="D14" s="3"/>
    </row>
    <row r="15" spans="1:7" x14ac:dyDescent="0.3">
      <c r="A15" s="21" t="s">
        <v>355</v>
      </c>
      <c r="B15" s="3"/>
      <c r="C15" s="3"/>
      <c r="D15" s="3"/>
    </row>
    <row r="16" spans="1:7" x14ac:dyDescent="0.3">
      <c r="A16" s="21" t="s">
        <v>356</v>
      </c>
      <c r="B16" s="3"/>
      <c r="C16" s="3"/>
      <c r="D16" s="3"/>
    </row>
    <row r="19" spans="1:8" x14ac:dyDescent="0.3">
      <c r="A19" s="1" t="s">
        <v>308</v>
      </c>
      <c r="G19" s="4"/>
    </row>
    <row r="20" spans="1:8" x14ac:dyDescent="0.3">
      <c r="A20" s="23" t="s">
        <v>306</v>
      </c>
      <c r="B20" s="24" t="s">
        <v>307</v>
      </c>
      <c r="C20" s="25" t="s">
        <v>617</v>
      </c>
    </row>
    <row r="21" spans="1:8" x14ac:dyDescent="0.3">
      <c r="A21" s="19" t="s">
        <v>146</v>
      </c>
      <c r="B21" s="22" t="s">
        <v>451</v>
      </c>
      <c r="C21" s="22" t="s">
        <v>187</v>
      </c>
      <c r="D21" s="143" t="s">
        <v>826</v>
      </c>
    </row>
    <row r="22" spans="1:8" x14ac:dyDescent="0.3">
      <c r="A22" s="21" t="s">
        <v>321</v>
      </c>
      <c r="B22" s="3">
        <v>2117</v>
      </c>
      <c r="C22" s="3">
        <v>1666.67</v>
      </c>
      <c r="D22" s="134" t="s">
        <v>803</v>
      </c>
    </row>
    <row r="23" spans="1:8" x14ac:dyDescent="0.3">
      <c r="A23" s="21" t="s">
        <v>322</v>
      </c>
      <c r="B23" s="3">
        <v>10052</v>
      </c>
      <c r="C23" s="3">
        <v>11666.67</v>
      </c>
      <c r="D23" s="134" t="s">
        <v>803</v>
      </c>
    </row>
    <row r="24" spans="1:8" x14ac:dyDescent="0.3">
      <c r="A24" s="21" t="s">
        <v>323</v>
      </c>
      <c r="B24" s="3">
        <v>15343</v>
      </c>
      <c r="C24" s="3"/>
    </row>
    <row r="25" spans="1:8" x14ac:dyDescent="0.3">
      <c r="A25" s="21" t="s">
        <v>354</v>
      </c>
      <c r="B25" s="3"/>
      <c r="C25" s="3"/>
    </row>
    <row r="26" spans="1:8" x14ac:dyDescent="0.3">
      <c r="A26" s="21" t="s">
        <v>355</v>
      </c>
      <c r="B26" s="3"/>
      <c r="C26" s="3"/>
    </row>
    <row r="27" spans="1:8" x14ac:dyDescent="0.3">
      <c r="A27" s="21" t="s">
        <v>356</v>
      </c>
      <c r="B27" s="3"/>
      <c r="C27" s="3"/>
    </row>
    <row r="30" spans="1:8" x14ac:dyDescent="0.3">
      <c r="A30" s="1" t="s">
        <v>618</v>
      </c>
    </row>
    <row r="31" spans="1:8" x14ac:dyDescent="0.3">
      <c r="A31" s="1" t="s">
        <v>59</v>
      </c>
      <c r="C31" s="4"/>
      <c r="F31" s="1" t="s">
        <v>61</v>
      </c>
      <c r="H31" s="4"/>
    </row>
    <row r="32" spans="1:8" x14ac:dyDescent="0.3">
      <c r="A32" s="19" t="s">
        <v>146</v>
      </c>
      <c r="B32" s="19" t="s">
        <v>451</v>
      </c>
      <c r="C32" s="19" t="s">
        <v>187</v>
      </c>
      <c r="D32" s="143" t="s">
        <v>826</v>
      </c>
      <c r="F32" s="19" t="s">
        <v>146</v>
      </c>
      <c r="H32" s="143" t="s">
        <v>826</v>
      </c>
    </row>
    <row r="33" spans="1:8" x14ac:dyDescent="0.3">
      <c r="A33" s="21" t="s">
        <v>321</v>
      </c>
      <c r="B33" s="3">
        <v>979943</v>
      </c>
      <c r="C33" s="3">
        <v>585000</v>
      </c>
      <c r="D33" s="134" t="s">
        <v>803</v>
      </c>
      <c r="F33" s="21" t="s">
        <v>321</v>
      </c>
      <c r="G33" s="3">
        <v>797000</v>
      </c>
      <c r="H33" s="134" t="s">
        <v>803</v>
      </c>
    </row>
    <row r="34" spans="1:8" x14ac:dyDescent="0.3">
      <c r="A34" s="21" t="s">
        <v>322</v>
      </c>
      <c r="B34" s="3">
        <v>1735848</v>
      </c>
      <c r="C34" s="3">
        <v>1149000</v>
      </c>
      <c r="D34" s="134" t="s">
        <v>803</v>
      </c>
      <c r="F34" s="21" t="s">
        <v>322</v>
      </c>
      <c r="G34" s="3">
        <v>1485000</v>
      </c>
      <c r="H34" s="134" t="s">
        <v>803</v>
      </c>
    </row>
    <row r="35" spans="1:8" x14ac:dyDescent="0.3">
      <c r="A35" s="21" t="s">
        <v>323</v>
      </c>
      <c r="B35" s="3">
        <v>2239785.03937008</v>
      </c>
      <c r="C35" s="3"/>
      <c r="F35" s="21" t="s">
        <v>323</v>
      </c>
      <c r="G35" s="3"/>
    </row>
    <row r="36" spans="1:8" x14ac:dyDescent="0.3">
      <c r="A36" s="21" t="s">
        <v>354</v>
      </c>
      <c r="B36" s="3"/>
      <c r="C36" s="3"/>
      <c r="F36" s="21" t="s">
        <v>354</v>
      </c>
      <c r="G36" s="3"/>
    </row>
    <row r="37" spans="1:8" x14ac:dyDescent="0.3">
      <c r="A37" s="21" t="s">
        <v>355</v>
      </c>
      <c r="B37" s="3"/>
      <c r="C37" s="3"/>
      <c r="F37" s="21" t="s">
        <v>355</v>
      </c>
      <c r="G37" s="3"/>
    </row>
    <row r="38" spans="1:8" x14ac:dyDescent="0.3">
      <c r="A38" s="21" t="s">
        <v>356</v>
      </c>
      <c r="B38" s="3"/>
      <c r="C38" s="3"/>
      <c r="F38" s="21" t="s">
        <v>356</v>
      </c>
      <c r="G38" s="3"/>
    </row>
    <row r="41" spans="1:8" x14ac:dyDescent="0.3">
      <c r="A41" s="1" t="s">
        <v>302</v>
      </c>
      <c r="E41" s="4"/>
    </row>
    <row r="43" spans="1:8" x14ac:dyDescent="0.3">
      <c r="A43" s="19" t="s">
        <v>303</v>
      </c>
      <c r="B43" s="143" t="s">
        <v>826</v>
      </c>
    </row>
    <row r="44" spans="1:8" x14ac:dyDescent="0.3">
      <c r="A44" s="3">
        <v>50</v>
      </c>
      <c r="B44" s="134" t="s">
        <v>796</v>
      </c>
    </row>
    <row r="47" spans="1:8" x14ac:dyDescent="0.3">
      <c r="A47" s="1" t="s">
        <v>304</v>
      </c>
    </row>
    <row r="49" spans="1:4" x14ac:dyDescent="0.3">
      <c r="A49" s="19" t="s">
        <v>305</v>
      </c>
      <c r="B49" s="20"/>
      <c r="C49" s="20"/>
      <c r="D49" s="20" t="s">
        <v>230</v>
      </c>
    </row>
    <row r="50" spans="1:4" x14ac:dyDescent="0.3">
      <c r="A50" s="20"/>
      <c r="B50" s="20" t="s">
        <v>146</v>
      </c>
      <c r="C50" s="20" t="s">
        <v>129</v>
      </c>
      <c r="D50" s="3">
        <v>0</v>
      </c>
    </row>
  </sheetData>
  <phoneticPr fontId="5" type="noConversion"/>
  <hyperlinks>
    <hyperlink ref="B4" location="References!B2" display="Ref" xr:uid="{F25A6A4C-053A-458D-A20C-D1B90DECB0AA}"/>
    <hyperlink ref="F10" location="References!B2" display="Ref" xr:uid="{2CD32559-9CCE-494F-84B3-30B06C219169}"/>
    <hyperlink ref="D21" location="References!B2" display="Ref" xr:uid="{F7A01F6F-E0FC-47CF-8F0C-49AE9B51ACC8}"/>
    <hyperlink ref="D32" location="References!B2" display="Ref" xr:uid="{B42CC124-B696-4502-93E4-75784ED828A1}"/>
    <hyperlink ref="H32" location="References!B2" display="Ref" xr:uid="{025B3999-0654-4B14-89E4-74526F1CF9F5}"/>
    <hyperlink ref="B43" location="References!B2" display="Ref" xr:uid="{B2B6E8A4-7031-4CAD-9FEE-81EF634D2D84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7AF-D048-4B1C-9BD6-42F354DE61E8}">
  <sheetPr>
    <tabColor theme="8"/>
  </sheetPr>
  <dimension ref="A1:AO148"/>
  <sheetViews>
    <sheetView workbookViewId="0">
      <selection activeCell="F1" sqref="F1"/>
    </sheetView>
  </sheetViews>
  <sheetFormatPr defaultRowHeight="14.4" x14ac:dyDescent="0.3"/>
  <sheetData>
    <row r="1" spans="1:41" x14ac:dyDescent="0.3">
      <c r="A1" s="1" t="s">
        <v>101</v>
      </c>
      <c r="F1" s="4"/>
    </row>
    <row r="3" spans="1:41" s="1" customFormat="1" x14ac:dyDescent="0.3">
      <c r="A3" s="5" t="s">
        <v>102</v>
      </c>
      <c r="B3" s="5"/>
      <c r="C3" s="5" t="s">
        <v>84</v>
      </c>
      <c r="D3" s="5" t="s">
        <v>84</v>
      </c>
      <c r="E3" s="5" t="s">
        <v>591</v>
      </c>
      <c r="F3" s="5" t="s">
        <v>85</v>
      </c>
      <c r="G3" s="5" t="s">
        <v>86</v>
      </c>
      <c r="H3" s="5" t="s">
        <v>86</v>
      </c>
      <c r="I3" s="5" t="s">
        <v>87</v>
      </c>
      <c r="J3" s="5" t="s">
        <v>87</v>
      </c>
      <c r="K3" s="5" t="s">
        <v>88</v>
      </c>
      <c r="L3" s="5" t="s">
        <v>88</v>
      </c>
      <c r="M3" s="5" t="s">
        <v>89</v>
      </c>
      <c r="N3" s="5" t="s">
        <v>89</v>
      </c>
      <c r="O3" s="5" t="s">
        <v>90</v>
      </c>
      <c r="P3" s="5" t="s">
        <v>90</v>
      </c>
      <c r="Q3" s="5" t="s">
        <v>91</v>
      </c>
      <c r="R3" s="5" t="s">
        <v>91</v>
      </c>
      <c r="S3" s="5" t="s">
        <v>92</v>
      </c>
      <c r="T3" s="5" t="s">
        <v>92</v>
      </c>
      <c r="U3" s="5" t="s">
        <v>93</v>
      </c>
      <c r="V3" s="5" t="s">
        <v>93</v>
      </c>
      <c r="W3" s="5" t="s">
        <v>94</v>
      </c>
      <c r="X3" s="5" t="s">
        <v>94</v>
      </c>
      <c r="Y3" s="5" t="s">
        <v>95</v>
      </c>
      <c r="Z3" s="5" t="s">
        <v>95</v>
      </c>
      <c r="AA3" s="5" t="s">
        <v>96</v>
      </c>
      <c r="AB3" s="5" t="s">
        <v>96</v>
      </c>
      <c r="AC3" s="5" t="s">
        <v>84</v>
      </c>
      <c r="AD3" s="5" t="s">
        <v>85</v>
      </c>
      <c r="AE3" s="5" t="s">
        <v>86</v>
      </c>
      <c r="AF3" s="5" t="s">
        <v>87</v>
      </c>
      <c r="AG3" s="5" t="s">
        <v>88</v>
      </c>
      <c r="AH3" s="5" t="s">
        <v>89</v>
      </c>
      <c r="AI3" s="5" t="s">
        <v>90</v>
      </c>
      <c r="AJ3" s="5" t="s">
        <v>91</v>
      </c>
      <c r="AK3" s="5" t="s">
        <v>92</v>
      </c>
      <c r="AL3" s="5" t="s">
        <v>93</v>
      </c>
      <c r="AM3" s="5" t="s">
        <v>94</v>
      </c>
      <c r="AN3" s="5" t="s">
        <v>95</v>
      </c>
      <c r="AO3" s="5" t="s">
        <v>96</v>
      </c>
    </row>
    <row r="4" spans="1:41" s="1" customFormat="1" x14ac:dyDescent="0.3">
      <c r="A4" s="5"/>
      <c r="B4" s="5"/>
      <c r="C4" s="5" t="s">
        <v>97</v>
      </c>
      <c r="D4" s="5" t="s">
        <v>98</v>
      </c>
      <c r="E4" s="5" t="s">
        <v>97</v>
      </c>
      <c r="F4" s="5" t="s">
        <v>98</v>
      </c>
      <c r="G4" s="5" t="s">
        <v>97</v>
      </c>
      <c r="H4" s="5" t="s">
        <v>98</v>
      </c>
      <c r="I4" s="5" t="s">
        <v>97</v>
      </c>
      <c r="J4" s="5" t="s">
        <v>98</v>
      </c>
      <c r="K4" s="5" t="s">
        <v>97</v>
      </c>
      <c r="L4" s="5" t="s">
        <v>98</v>
      </c>
      <c r="M4" s="5" t="s">
        <v>97</v>
      </c>
      <c r="N4" s="5" t="s">
        <v>98</v>
      </c>
      <c r="O4" s="5" t="s">
        <v>97</v>
      </c>
      <c r="P4" s="5" t="s">
        <v>98</v>
      </c>
      <c r="Q4" s="5" t="s">
        <v>97</v>
      </c>
      <c r="R4" s="5" t="s">
        <v>98</v>
      </c>
      <c r="S4" s="5" t="s">
        <v>97</v>
      </c>
      <c r="T4" s="5" t="s">
        <v>98</v>
      </c>
      <c r="U4" s="5" t="s">
        <v>97</v>
      </c>
      <c r="V4" s="5" t="s">
        <v>98</v>
      </c>
      <c r="W4" s="5" t="s">
        <v>97</v>
      </c>
      <c r="X4" s="5" t="s">
        <v>98</v>
      </c>
      <c r="Y4" s="5" t="s">
        <v>97</v>
      </c>
      <c r="Z4" s="5" t="s">
        <v>98</v>
      </c>
      <c r="AA4" s="5" t="s">
        <v>97</v>
      </c>
      <c r="AB4" s="5" t="s">
        <v>98</v>
      </c>
      <c r="AC4" s="5" t="s">
        <v>99</v>
      </c>
      <c r="AD4" s="5" t="s">
        <v>99</v>
      </c>
      <c r="AE4" s="5" t="s">
        <v>99</v>
      </c>
      <c r="AF4" s="5" t="s">
        <v>99</v>
      </c>
      <c r="AG4" s="5" t="s">
        <v>99</v>
      </c>
      <c r="AH4" s="5" t="s">
        <v>99</v>
      </c>
      <c r="AI4" s="5" t="s">
        <v>99</v>
      </c>
      <c r="AJ4" s="5" t="s">
        <v>99</v>
      </c>
      <c r="AK4" s="5" t="s">
        <v>99</v>
      </c>
      <c r="AL4" s="5" t="s">
        <v>99</v>
      </c>
      <c r="AM4" s="5" t="s">
        <v>99</v>
      </c>
      <c r="AN4" s="5" t="s">
        <v>99</v>
      </c>
      <c r="AO4" s="5" t="s">
        <v>99</v>
      </c>
    </row>
    <row r="5" spans="1:41" x14ac:dyDescent="0.3">
      <c r="A5" s="2" t="s">
        <v>309</v>
      </c>
      <c r="B5" s="2" t="s">
        <v>324</v>
      </c>
      <c r="C5" s="3">
        <v>0</v>
      </c>
      <c r="D5" s="3">
        <v>0.318</v>
      </c>
      <c r="E5" s="3">
        <v>0</v>
      </c>
      <c r="F5" s="3">
        <v>0.33</v>
      </c>
      <c r="G5" s="3">
        <v>0</v>
      </c>
      <c r="H5" s="3">
        <v>0.45700000000000002</v>
      </c>
      <c r="I5" s="3">
        <v>0</v>
      </c>
      <c r="J5" s="3">
        <v>0.25900000000000001</v>
      </c>
      <c r="K5" s="3">
        <v>0</v>
      </c>
      <c r="L5" s="3">
        <v>0.70599999999999996</v>
      </c>
      <c r="M5" s="3">
        <v>0</v>
      </c>
      <c r="N5" s="3">
        <v>0.80300000000000005</v>
      </c>
      <c r="O5" s="3">
        <v>0</v>
      </c>
      <c r="P5" s="3">
        <v>0.80300000000000005</v>
      </c>
      <c r="Q5" s="3">
        <v>0</v>
      </c>
      <c r="R5" s="3">
        <v>0.34300000000000003</v>
      </c>
      <c r="S5" s="3">
        <v>0</v>
      </c>
      <c r="T5" s="3">
        <v>0.34300000000000003</v>
      </c>
      <c r="U5" s="3">
        <v>0</v>
      </c>
      <c r="V5" s="3">
        <v>0.56599999999999995</v>
      </c>
      <c r="W5" s="3">
        <v>0</v>
      </c>
      <c r="X5" s="3">
        <v>0.39300000000000002</v>
      </c>
      <c r="Y5" s="3">
        <v>0</v>
      </c>
      <c r="Z5" s="3">
        <v>0.66400000000000003</v>
      </c>
      <c r="AA5" s="3">
        <v>0</v>
      </c>
      <c r="AB5" s="3">
        <v>0.64300000000000002</v>
      </c>
      <c r="AC5" s="3">
        <v>0.87050000000000005</v>
      </c>
      <c r="AD5" s="3">
        <v>0.79</v>
      </c>
      <c r="AE5" s="3">
        <v>0.77800000000000002</v>
      </c>
      <c r="AF5" s="3">
        <v>0.84366666700000004</v>
      </c>
      <c r="AG5" s="3">
        <v>0.79925000000000002</v>
      </c>
      <c r="AH5" s="3">
        <v>0.86799999999999999</v>
      </c>
      <c r="AI5" s="3">
        <v>0.76749999999999996</v>
      </c>
      <c r="AJ5" s="3">
        <v>0.72799999999999998</v>
      </c>
      <c r="AK5" s="3">
        <v>0.80549999999999999</v>
      </c>
      <c r="AL5" s="3">
        <v>0.81599999999999995</v>
      </c>
      <c r="AM5" s="3">
        <v>0.01</v>
      </c>
      <c r="AN5" s="3">
        <v>0.81066666700000001</v>
      </c>
      <c r="AO5" s="3">
        <v>0.89</v>
      </c>
    </row>
    <row r="6" spans="1:41" x14ac:dyDescent="0.3">
      <c r="A6" s="2" t="s">
        <v>309</v>
      </c>
      <c r="B6" s="2" t="s">
        <v>325</v>
      </c>
      <c r="C6" s="3">
        <v>0</v>
      </c>
      <c r="D6" s="3">
        <v>0.314</v>
      </c>
      <c r="E6" s="3">
        <v>0</v>
      </c>
      <c r="F6" s="3">
        <v>0.34200000000000003</v>
      </c>
      <c r="G6" s="3">
        <v>0</v>
      </c>
      <c r="H6" s="3">
        <v>0.46300000000000002</v>
      </c>
      <c r="I6" s="3">
        <v>0</v>
      </c>
      <c r="J6" s="3">
        <v>0.27</v>
      </c>
      <c r="K6" s="3">
        <v>0</v>
      </c>
      <c r="L6" s="3">
        <v>0.70199999999999996</v>
      </c>
      <c r="M6" s="3">
        <v>0</v>
      </c>
      <c r="N6" s="3">
        <v>0.79600000000000004</v>
      </c>
      <c r="O6" s="3">
        <v>0</v>
      </c>
      <c r="P6" s="3">
        <v>0.79600000000000004</v>
      </c>
      <c r="Q6" s="3">
        <v>0</v>
      </c>
      <c r="R6" s="3">
        <v>0.36699999999999999</v>
      </c>
      <c r="S6" s="3">
        <v>0</v>
      </c>
      <c r="T6" s="3">
        <v>0.371</v>
      </c>
      <c r="U6" s="3">
        <v>0</v>
      </c>
      <c r="V6" s="3">
        <v>0.58799999999999997</v>
      </c>
      <c r="W6" s="3">
        <v>0</v>
      </c>
      <c r="X6" s="3">
        <v>0.40500000000000003</v>
      </c>
      <c r="Y6" s="3">
        <v>0</v>
      </c>
      <c r="Z6" s="3">
        <v>0.67900000000000005</v>
      </c>
      <c r="AA6" s="3">
        <v>0</v>
      </c>
      <c r="AB6" s="3">
        <v>0.65100000000000002</v>
      </c>
      <c r="AC6" s="3">
        <v>0.85750000000000004</v>
      </c>
      <c r="AD6" s="3">
        <v>0.80449999999999999</v>
      </c>
      <c r="AE6" s="3">
        <v>0.78500000000000003</v>
      </c>
      <c r="AF6" s="3">
        <v>0.81499999999999995</v>
      </c>
      <c r="AG6" s="3">
        <v>0.79691666699999997</v>
      </c>
      <c r="AH6" s="3">
        <v>0.86</v>
      </c>
      <c r="AI6" s="3">
        <v>0.78149999999999997</v>
      </c>
      <c r="AJ6" s="3">
        <v>0.73633333300000003</v>
      </c>
      <c r="AK6" s="3">
        <v>0.81299999999999994</v>
      </c>
      <c r="AL6" s="3">
        <v>0.84833333300000002</v>
      </c>
      <c r="AM6" s="3">
        <v>0.01</v>
      </c>
      <c r="AN6" s="3">
        <v>0.81</v>
      </c>
      <c r="AO6" s="3">
        <v>0.89300000000000002</v>
      </c>
    </row>
    <row r="7" spans="1:41" x14ac:dyDescent="0.3">
      <c r="A7" s="2" t="s">
        <v>309</v>
      </c>
      <c r="B7" s="2" t="s">
        <v>326</v>
      </c>
      <c r="C7" s="3">
        <v>0</v>
      </c>
      <c r="D7" s="3">
        <v>0.33300000000000002</v>
      </c>
      <c r="E7" s="3">
        <v>0</v>
      </c>
      <c r="F7" s="3">
        <v>0.34899999999999998</v>
      </c>
      <c r="G7" s="3">
        <v>0</v>
      </c>
      <c r="H7" s="3">
        <v>0.45800000000000002</v>
      </c>
      <c r="I7" s="3">
        <v>0</v>
      </c>
      <c r="J7" s="3">
        <v>0.28899999999999998</v>
      </c>
      <c r="K7" s="3">
        <v>0</v>
      </c>
      <c r="L7" s="3">
        <v>0.69599999999999995</v>
      </c>
      <c r="M7" s="3">
        <v>0</v>
      </c>
      <c r="N7" s="3">
        <v>0.77900000000000003</v>
      </c>
      <c r="O7" s="3">
        <v>0</v>
      </c>
      <c r="P7" s="3">
        <v>0.77900000000000003</v>
      </c>
      <c r="Q7" s="3">
        <v>0</v>
      </c>
      <c r="R7" s="3">
        <v>0.39700000000000002</v>
      </c>
      <c r="S7" s="3">
        <v>0</v>
      </c>
      <c r="T7" s="3">
        <v>0.40899999999999997</v>
      </c>
      <c r="U7" s="3">
        <v>0</v>
      </c>
      <c r="V7" s="3">
        <v>0.61599999999999999</v>
      </c>
      <c r="W7" s="3">
        <v>0</v>
      </c>
      <c r="X7" s="3">
        <v>0.41299999999999998</v>
      </c>
      <c r="Y7" s="3">
        <v>0</v>
      </c>
      <c r="Z7" s="3">
        <v>0.69699999999999995</v>
      </c>
      <c r="AA7" s="3">
        <v>0</v>
      </c>
      <c r="AB7" s="3">
        <v>0.65500000000000003</v>
      </c>
      <c r="AC7" s="3">
        <v>0.83350000000000002</v>
      </c>
      <c r="AD7" s="3">
        <v>0.82499999999999996</v>
      </c>
      <c r="AE7" s="3">
        <v>0.70650000000000002</v>
      </c>
      <c r="AF7" s="3">
        <v>0.75466666699999996</v>
      </c>
      <c r="AG7" s="3">
        <v>0.78658333400000002</v>
      </c>
      <c r="AH7" s="3">
        <v>0.83099999999999996</v>
      </c>
      <c r="AI7" s="3">
        <v>0.80600000000000005</v>
      </c>
      <c r="AJ7" s="3">
        <v>0.73966666700000006</v>
      </c>
      <c r="AK7" s="3">
        <v>0.82899999999999996</v>
      </c>
      <c r="AL7" s="3">
        <v>0.875</v>
      </c>
      <c r="AM7" s="3">
        <v>0.01</v>
      </c>
      <c r="AN7" s="3">
        <v>0.77233333299999996</v>
      </c>
      <c r="AO7" s="3">
        <v>0.89800000000000002</v>
      </c>
    </row>
    <row r="8" spans="1:41" x14ac:dyDescent="0.3">
      <c r="A8" s="2" t="s">
        <v>309</v>
      </c>
      <c r="B8" s="2" t="s">
        <v>327</v>
      </c>
      <c r="C8" s="3">
        <v>0</v>
      </c>
      <c r="D8" s="3">
        <v>0.35099999999999998</v>
      </c>
      <c r="E8" s="3">
        <v>0</v>
      </c>
      <c r="F8" s="3">
        <v>0.33300000000000002</v>
      </c>
      <c r="G8" s="3">
        <v>0</v>
      </c>
      <c r="H8" s="3">
        <v>0.46</v>
      </c>
      <c r="I8" s="3">
        <v>0</v>
      </c>
      <c r="J8" s="3">
        <v>0.313</v>
      </c>
      <c r="K8" s="3">
        <v>0</v>
      </c>
      <c r="L8" s="3">
        <v>0.70199999999999996</v>
      </c>
      <c r="M8" s="3">
        <v>0</v>
      </c>
      <c r="N8" s="3">
        <v>0.75</v>
      </c>
      <c r="O8" s="3">
        <v>0</v>
      </c>
      <c r="P8" s="3">
        <v>0.75</v>
      </c>
      <c r="Q8" s="3">
        <v>0</v>
      </c>
      <c r="R8" s="3">
        <v>0.42299999999999999</v>
      </c>
      <c r="S8" s="3">
        <v>0</v>
      </c>
      <c r="T8" s="3">
        <v>0.436</v>
      </c>
      <c r="U8" s="3">
        <v>0</v>
      </c>
      <c r="V8" s="3">
        <v>0.61299999999999999</v>
      </c>
      <c r="W8" s="3">
        <v>0</v>
      </c>
      <c r="X8" s="3">
        <v>0.41599999999999998</v>
      </c>
      <c r="Y8" s="3">
        <v>0</v>
      </c>
      <c r="Z8" s="3">
        <v>0.72099999999999997</v>
      </c>
      <c r="AA8" s="3">
        <v>0</v>
      </c>
      <c r="AB8" s="3">
        <v>0.65800000000000003</v>
      </c>
      <c r="AC8" s="3">
        <v>0.82350000000000001</v>
      </c>
      <c r="AD8" s="3">
        <v>0.85599999999999998</v>
      </c>
      <c r="AE8" s="3">
        <v>0.69099999999999995</v>
      </c>
      <c r="AF8" s="3">
        <v>0.755</v>
      </c>
      <c r="AG8" s="3">
        <v>0.79325000000000001</v>
      </c>
      <c r="AH8" s="3">
        <v>0.80300000000000005</v>
      </c>
      <c r="AI8" s="3">
        <v>0.82099999999999995</v>
      </c>
      <c r="AJ8" s="3">
        <v>0.76300000000000001</v>
      </c>
      <c r="AK8" s="3">
        <v>0.84550000000000003</v>
      </c>
      <c r="AL8" s="3">
        <v>0.90233333299999996</v>
      </c>
      <c r="AM8" s="3">
        <v>0.01</v>
      </c>
      <c r="AN8" s="3">
        <v>0.74466666699999995</v>
      </c>
      <c r="AO8" s="3">
        <v>0.86199999999999999</v>
      </c>
    </row>
    <row r="9" spans="1:41" x14ac:dyDescent="0.3">
      <c r="A9" s="2" t="s">
        <v>309</v>
      </c>
      <c r="B9" s="2" t="s">
        <v>328</v>
      </c>
      <c r="C9" s="3">
        <v>0</v>
      </c>
      <c r="D9" s="3">
        <v>0.38</v>
      </c>
      <c r="E9" s="3">
        <v>0</v>
      </c>
      <c r="F9" s="3">
        <v>0.32100000000000001</v>
      </c>
      <c r="G9" s="3">
        <v>0</v>
      </c>
      <c r="H9" s="3">
        <v>0.45500000000000002</v>
      </c>
      <c r="I9" s="3">
        <v>0</v>
      </c>
      <c r="J9" s="3">
        <v>0.33800000000000002</v>
      </c>
      <c r="K9" s="3">
        <v>0</v>
      </c>
      <c r="L9" s="3">
        <v>0.73799999999999999</v>
      </c>
      <c r="M9" s="3">
        <v>0</v>
      </c>
      <c r="N9" s="3">
        <v>0.70399999999999996</v>
      </c>
      <c r="O9" s="3">
        <v>0</v>
      </c>
      <c r="P9" s="3">
        <v>0.70399999999999996</v>
      </c>
      <c r="Q9" s="3">
        <v>0</v>
      </c>
      <c r="R9" s="3">
        <v>0.44900000000000001</v>
      </c>
      <c r="S9" s="3">
        <v>0</v>
      </c>
      <c r="T9" s="3">
        <v>0.45700000000000002</v>
      </c>
      <c r="U9" s="3">
        <v>0</v>
      </c>
      <c r="V9" s="3">
        <v>0.63200000000000001</v>
      </c>
      <c r="W9" s="3">
        <v>0</v>
      </c>
      <c r="X9" s="3">
        <v>0.40300000000000002</v>
      </c>
      <c r="Y9" s="3">
        <v>0</v>
      </c>
      <c r="Z9" s="3">
        <v>0.748</v>
      </c>
      <c r="AA9" s="3">
        <v>0</v>
      </c>
      <c r="AB9" s="3">
        <v>0.65200000000000002</v>
      </c>
      <c r="AC9" s="3">
        <v>0.84850000000000003</v>
      </c>
      <c r="AD9" s="3">
        <v>0.86050000000000004</v>
      </c>
      <c r="AE9" s="3">
        <v>0.72950000000000004</v>
      </c>
      <c r="AF9" s="3">
        <v>0.79033333299999997</v>
      </c>
      <c r="AG9" s="3">
        <v>0.83574999999999999</v>
      </c>
      <c r="AH9" s="3">
        <v>0.83599999999999997</v>
      </c>
      <c r="AI9" s="3">
        <v>0.82299999999999995</v>
      </c>
      <c r="AJ9" s="3">
        <v>0.82299999999999995</v>
      </c>
      <c r="AK9" s="3">
        <v>0.86550000000000005</v>
      </c>
      <c r="AL9" s="3">
        <v>0.91833333299999997</v>
      </c>
      <c r="AM9" s="3">
        <v>0.01</v>
      </c>
      <c r="AN9" s="3">
        <v>0.77700000000000002</v>
      </c>
      <c r="AO9" s="3">
        <v>0.83199999999999996</v>
      </c>
    </row>
    <row r="10" spans="1:41" x14ac:dyDescent="0.3">
      <c r="A10" s="2" t="s">
        <v>309</v>
      </c>
      <c r="B10" s="2" t="s">
        <v>329</v>
      </c>
      <c r="C10" s="3">
        <v>0</v>
      </c>
      <c r="D10" s="3">
        <v>0.41799999999999998</v>
      </c>
      <c r="E10" s="3">
        <v>0</v>
      </c>
      <c r="F10" s="3">
        <v>0.34100000000000003</v>
      </c>
      <c r="G10" s="3">
        <v>0</v>
      </c>
      <c r="H10" s="3">
        <v>0.45400000000000001</v>
      </c>
      <c r="I10" s="3">
        <v>0</v>
      </c>
      <c r="J10" s="3">
        <v>0.36099999999999999</v>
      </c>
      <c r="K10" s="3">
        <v>0</v>
      </c>
      <c r="L10" s="3">
        <v>0.77800000000000002</v>
      </c>
      <c r="M10" s="3">
        <v>0</v>
      </c>
      <c r="N10" s="3">
        <v>0.65700000000000003</v>
      </c>
      <c r="O10" s="3">
        <v>0</v>
      </c>
      <c r="P10" s="3">
        <v>0.65700000000000003</v>
      </c>
      <c r="Q10" s="3">
        <v>0</v>
      </c>
      <c r="R10" s="3">
        <v>0.46600000000000003</v>
      </c>
      <c r="S10" s="3">
        <v>0</v>
      </c>
      <c r="T10" s="3">
        <v>0.47</v>
      </c>
      <c r="U10" s="3">
        <v>0</v>
      </c>
      <c r="V10" s="3">
        <v>0.66500000000000004</v>
      </c>
      <c r="W10" s="3">
        <v>0</v>
      </c>
      <c r="X10" s="3">
        <v>0.41599999999999998</v>
      </c>
      <c r="Y10" s="3">
        <v>0</v>
      </c>
      <c r="Z10" s="3">
        <v>0.755</v>
      </c>
      <c r="AA10" s="3">
        <v>0</v>
      </c>
      <c r="AB10" s="3">
        <v>0.65</v>
      </c>
      <c r="AC10" s="3">
        <v>0.87</v>
      </c>
      <c r="AD10" s="3">
        <v>0.86399999999999999</v>
      </c>
      <c r="AE10" s="3">
        <v>0.76449999999999996</v>
      </c>
      <c r="AF10" s="3">
        <v>0.79566666699999999</v>
      </c>
      <c r="AG10" s="3">
        <v>0.85750000000000004</v>
      </c>
      <c r="AH10" s="3">
        <v>0.84599999999999997</v>
      </c>
      <c r="AI10" s="3">
        <v>0.87450000000000006</v>
      </c>
      <c r="AJ10" s="3">
        <v>0.84499999999999997</v>
      </c>
      <c r="AK10" s="3">
        <v>0.87</v>
      </c>
      <c r="AL10" s="3">
        <v>0.924666667</v>
      </c>
      <c r="AM10" s="3">
        <v>0.01</v>
      </c>
      <c r="AN10" s="3">
        <v>0.80300000000000005</v>
      </c>
      <c r="AO10" s="3">
        <v>0.83699999999999997</v>
      </c>
    </row>
    <row r="11" spans="1:41" x14ac:dyDescent="0.3">
      <c r="A11" s="2" t="s">
        <v>309</v>
      </c>
      <c r="B11" s="2" t="s">
        <v>330</v>
      </c>
      <c r="C11" s="3">
        <v>0</v>
      </c>
      <c r="D11" s="3">
        <v>0.44500000000000001</v>
      </c>
      <c r="E11" s="3">
        <v>0</v>
      </c>
      <c r="F11" s="3">
        <v>0.374</v>
      </c>
      <c r="G11" s="3">
        <v>0</v>
      </c>
      <c r="H11" s="3">
        <v>0.46899999999999997</v>
      </c>
      <c r="I11" s="3">
        <v>0</v>
      </c>
      <c r="J11" s="3">
        <v>0.37</v>
      </c>
      <c r="K11" s="3">
        <v>0</v>
      </c>
      <c r="L11" s="3">
        <v>0.80500000000000005</v>
      </c>
      <c r="M11" s="3">
        <v>0</v>
      </c>
      <c r="N11" s="3">
        <v>0.61199999999999999</v>
      </c>
      <c r="O11" s="3">
        <v>0</v>
      </c>
      <c r="P11" s="3">
        <v>0.61199999999999999</v>
      </c>
      <c r="Q11" s="3">
        <v>0</v>
      </c>
      <c r="R11" s="3">
        <v>0.47799999999999998</v>
      </c>
      <c r="S11" s="3">
        <v>0</v>
      </c>
      <c r="T11" s="3">
        <v>0.47599999999999998</v>
      </c>
      <c r="U11" s="3">
        <v>0</v>
      </c>
      <c r="V11" s="3">
        <v>0.68400000000000005</v>
      </c>
      <c r="W11" s="3">
        <v>0</v>
      </c>
      <c r="X11" s="3">
        <v>0.45800000000000002</v>
      </c>
      <c r="Y11" s="3">
        <v>0</v>
      </c>
      <c r="Z11" s="3">
        <v>0.75</v>
      </c>
      <c r="AA11" s="3">
        <v>0</v>
      </c>
      <c r="AB11" s="3">
        <v>0.66900000000000004</v>
      </c>
      <c r="AC11" s="3">
        <v>0.88400000000000001</v>
      </c>
      <c r="AD11" s="3">
        <v>0.872</v>
      </c>
      <c r="AE11" s="3">
        <v>0.76249999999999996</v>
      </c>
      <c r="AF11" s="3">
        <v>0.80433333299999998</v>
      </c>
      <c r="AG11" s="3">
        <v>0.87583333399999996</v>
      </c>
      <c r="AH11" s="3">
        <v>0.83899999999999997</v>
      </c>
      <c r="AI11" s="3">
        <v>0.9345</v>
      </c>
      <c r="AJ11" s="3">
        <v>0.86766666699999995</v>
      </c>
      <c r="AK11" s="3">
        <v>0.86050000000000004</v>
      </c>
      <c r="AL11" s="3">
        <v>0.90766666699999998</v>
      </c>
      <c r="AM11" s="3">
        <v>0.01</v>
      </c>
      <c r="AN11" s="3">
        <v>0.82699999999999996</v>
      </c>
      <c r="AO11" s="3">
        <v>0.86499999999999999</v>
      </c>
    </row>
    <row r="12" spans="1:41" x14ac:dyDescent="0.3">
      <c r="A12" s="2" t="s">
        <v>309</v>
      </c>
      <c r="B12" s="2" t="s">
        <v>331</v>
      </c>
      <c r="C12" s="3">
        <v>0</v>
      </c>
      <c r="D12" s="3">
        <v>0.44700000000000001</v>
      </c>
      <c r="E12" s="3">
        <v>0</v>
      </c>
      <c r="F12" s="3">
        <v>0.4</v>
      </c>
      <c r="G12" s="3">
        <v>0</v>
      </c>
      <c r="H12" s="3">
        <v>0.47699999999999998</v>
      </c>
      <c r="I12" s="3">
        <v>0</v>
      </c>
      <c r="J12" s="3">
        <v>0.35499999999999998</v>
      </c>
      <c r="K12" s="3">
        <v>0</v>
      </c>
      <c r="L12" s="3">
        <v>0.82</v>
      </c>
      <c r="M12" s="3">
        <v>0</v>
      </c>
      <c r="N12" s="3">
        <v>0.59299999999999997</v>
      </c>
      <c r="O12" s="3">
        <v>0</v>
      </c>
      <c r="P12" s="3">
        <v>0.59299999999999997</v>
      </c>
      <c r="Q12" s="3">
        <v>0</v>
      </c>
      <c r="R12" s="3">
        <v>0.47199999999999998</v>
      </c>
      <c r="S12" s="3">
        <v>0</v>
      </c>
      <c r="T12" s="3">
        <v>0.47299999999999998</v>
      </c>
      <c r="U12" s="3">
        <v>0</v>
      </c>
      <c r="V12" s="3">
        <v>0.7</v>
      </c>
      <c r="W12" s="3">
        <v>0</v>
      </c>
      <c r="X12" s="3">
        <v>0.47899999999999998</v>
      </c>
      <c r="Y12" s="3">
        <v>0</v>
      </c>
      <c r="Z12" s="3">
        <v>0.755</v>
      </c>
      <c r="AA12" s="3">
        <v>0</v>
      </c>
      <c r="AB12" s="3">
        <v>0.68300000000000005</v>
      </c>
      <c r="AC12" s="3">
        <v>0.87450000000000006</v>
      </c>
      <c r="AD12" s="3">
        <v>0.89</v>
      </c>
      <c r="AE12" s="3">
        <v>0.77749999999999997</v>
      </c>
      <c r="AF12" s="3">
        <v>0.83766666700000003</v>
      </c>
      <c r="AG12" s="3">
        <v>0.87275000000000003</v>
      </c>
      <c r="AH12" s="3">
        <v>0.84599999999999997</v>
      </c>
      <c r="AI12" s="3">
        <v>0.96099999999999997</v>
      </c>
      <c r="AJ12" s="3">
        <v>0.871</v>
      </c>
      <c r="AK12" s="3">
        <v>0.85450000000000004</v>
      </c>
      <c r="AL12" s="3">
        <v>0.87133333300000004</v>
      </c>
      <c r="AM12" s="3">
        <v>0.01</v>
      </c>
      <c r="AN12" s="3">
        <v>0.82666666700000002</v>
      </c>
      <c r="AO12" s="3">
        <v>0.85599999999999998</v>
      </c>
    </row>
    <row r="13" spans="1:41" x14ac:dyDescent="0.3">
      <c r="A13" s="2" t="s">
        <v>309</v>
      </c>
      <c r="B13" s="2" t="s">
        <v>332</v>
      </c>
      <c r="C13" s="3">
        <v>6.0000000000000001E-3</v>
      </c>
      <c r="D13" s="3">
        <v>0.432</v>
      </c>
      <c r="E13" s="3">
        <v>6.6000000000000003E-2</v>
      </c>
      <c r="F13" s="3">
        <v>0.40799999999999997</v>
      </c>
      <c r="G13" s="3">
        <v>7.9000000000000001E-2</v>
      </c>
      <c r="H13" s="3">
        <v>0.48499999999999999</v>
      </c>
      <c r="I13" s="3">
        <v>6.0000000000000001E-3</v>
      </c>
      <c r="J13" s="3">
        <v>0.35499999999999998</v>
      </c>
      <c r="K13" s="3">
        <v>5.0000000000000001E-3</v>
      </c>
      <c r="L13" s="3">
        <v>0.82799999999999996</v>
      </c>
      <c r="M13" s="3">
        <v>4.8000000000000001E-2</v>
      </c>
      <c r="N13" s="3">
        <v>0.59</v>
      </c>
      <c r="O13" s="3">
        <v>0</v>
      </c>
      <c r="P13" s="3">
        <v>0.59</v>
      </c>
      <c r="Q13" s="3">
        <v>7.0000000000000001E-3</v>
      </c>
      <c r="R13" s="3">
        <v>0.46400000000000002</v>
      </c>
      <c r="S13" s="3">
        <v>8.0000000000000002E-3</v>
      </c>
      <c r="T13" s="3">
        <v>0.46300000000000002</v>
      </c>
      <c r="U13" s="3">
        <v>8.9999999999999993E-3</v>
      </c>
      <c r="V13" s="3">
        <v>0.70399999999999996</v>
      </c>
      <c r="W13" s="3">
        <v>2.3E-2</v>
      </c>
      <c r="X13" s="3">
        <v>0.47399999999999998</v>
      </c>
      <c r="Y13" s="3">
        <v>0.04</v>
      </c>
      <c r="Z13" s="3">
        <v>0.78200000000000003</v>
      </c>
      <c r="AA13" s="3">
        <v>0.04</v>
      </c>
      <c r="AB13" s="3">
        <v>0.73099999999999998</v>
      </c>
      <c r="AC13" s="3">
        <v>0.87450000000000006</v>
      </c>
      <c r="AD13" s="3">
        <v>0.878</v>
      </c>
      <c r="AE13" s="3">
        <v>0.78849999999999998</v>
      </c>
      <c r="AF13" s="3">
        <v>0.85733333300000003</v>
      </c>
      <c r="AG13" s="3">
        <v>0.85824999999999996</v>
      </c>
      <c r="AH13" s="3">
        <v>0.85099999999999998</v>
      </c>
      <c r="AI13" s="3">
        <v>0.96899999999999997</v>
      </c>
      <c r="AJ13" s="3">
        <v>0.84199999999999997</v>
      </c>
      <c r="AK13" s="3">
        <v>0.83550000000000002</v>
      </c>
      <c r="AL13" s="3">
        <v>0.89300000000000002</v>
      </c>
      <c r="AM13" s="3">
        <v>0.01</v>
      </c>
      <c r="AN13" s="3">
        <v>0.80866666700000001</v>
      </c>
      <c r="AO13" s="3">
        <v>0.82599999999999996</v>
      </c>
    </row>
    <row r="14" spans="1:41" x14ac:dyDescent="0.3">
      <c r="A14" s="2" t="s">
        <v>309</v>
      </c>
      <c r="B14" s="2" t="s">
        <v>333</v>
      </c>
      <c r="C14" s="3">
        <v>0.13600000000000001</v>
      </c>
      <c r="D14" s="3">
        <v>0.46</v>
      </c>
      <c r="E14" s="3">
        <v>0.26900000000000002</v>
      </c>
      <c r="F14" s="3">
        <v>0.433</v>
      </c>
      <c r="G14" s="3">
        <v>0.24</v>
      </c>
      <c r="H14" s="3">
        <v>0.54500000000000004</v>
      </c>
      <c r="I14" s="3">
        <v>3.9E-2</v>
      </c>
      <c r="J14" s="3">
        <v>0.38700000000000001</v>
      </c>
      <c r="K14" s="3">
        <v>6.5000000000000002E-2</v>
      </c>
      <c r="L14" s="3">
        <v>0.83299999999999996</v>
      </c>
      <c r="M14" s="3">
        <v>0.13200000000000001</v>
      </c>
      <c r="N14" s="3">
        <v>0.58599999999999997</v>
      </c>
      <c r="O14" s="3">
        <v>3.2000000000000001E-2</v>
      </c>
      <c r="P14" s="3">
        <v>0.58599999999999997</v>
      </c>
      <c r="Q14" s="3">
        <v>2.5999999999999999E-2</v>
      </c>
      <c r="R14" s="3">
        <v>0.44800000000000001</v>
      </c>
      <c r="S14" s="3">
        <v>9.1999999999999998E-2</v>
      </c>
      <c r="T14" s="3">
        <v>0.45700000000000002</v>
      </c>
      <c r="U14" s="3">
        <v>9.2999999999999999E-2</v>
      </c>
      <c r="V14" s="3">
        <v>0.70399999999999996</v>
      </c>
      <c r="W14" s="3">
        <v>0.125</v>
      </c>
      <c r="X14" s="3">
        <v>0.54600000000000004</v>
      </c>
      <c r="Y14" s="3">
        <v>0.217</v>
      </c>
      <c r="Z14" s="3">
        <v>0.80300000000000005</v>
      </c>
      <c r="AA14" s="3">
        <v>0.14599999999999999</v>
      </c>
      <c r="AB14" s="3">
        <v>0.76300000000000001</v>
      </c>
      <c r="AC14" s="3">
        <v>0.88049999999999995</v>
      </c>
      <c r="AD14" s="3">
        <v>0.80649999999999999</v>
      </c>
      <c r="AE14" s="3">
        <v>0.80449999999999999</v>
      </c>
      <c r="AF14" s="3">
        <v>0.87833333300000005</v>
      </c>
      <c r="AG14" s="3">
        <v>0.82725000000000004</v>
      </c>
      <c r="AH14" s="3">
        <v>0.85799999999999998</v>
      </c>
      <c r="AI14" s="3">
        <v>0.96499999999999997</v>
      </c>
      <c r="AJ14" s="3">
        <v>0.77400000000000002</v>
      </c>
      <c r="AK14" s="3">
        <v>0.79649999999999999</v>
      </c>
      <c r="AL14" s="3">
        <v>0.92533333299999998</v>
      </c>
      <c r="AM14" s="3">
        <v>0.01</v>
      </c>
      <c r="AN14" s="3">
        <v>0.81299999999999994</v>
      </c>
      <c r="AO14" s="3">
        <v>0.751</v>
      </c>
    </row>
    <row r="15" spans="1:41" x14ac:dyDescent="0.3">
      <c r="A15" s="2" t="s">
        <v>309</v>
      </c>
      <c r="B15" s="2" t="s">
        <v>334</v>
      </c>
      <c r="C15" s="3">
        <v>0.38600000000000001</v>
      </c>
      <c r="D15" s="3">
        <v>0.46600000000000003</v>
      </c>
      <c r="E15" s="3">
        <v>0.33500000000000002</v>
      </c>
      <c r="F15" s="3">
        <v>0.46300000000000002</v>
      </c>
      <c r="G15" s="3">
        <v>0.249</v>
      </c>
      <c r="H15" s="3">
        <v>0.57199999999999995</v>
      </c>
      <c r="I15" s="3">
        <v>9.7000000000000003E-2</v>
      </c>
      <c r="J15" s="3">
        <v>0.38400000000000001</v>
      </c>
      <c r="K15" s="3">
        <v>0.18</v>
      </c>
      <c r="L15" s="3">
        <v>0.83299999999999996</v>
      </c>
      <c r="M15" s="3">
        <v>0.19900000000000001</v>
      </c>
      <c r="N15" s="3">
        <v>0.629</v>
      </c>
      <c r="O15" s="3">
        <v>7.0000000000000007E-2</v>
      </c>
      <c r="P15" s="3">
        <v>0.629</v>
      </c>
      <c r="Q15" s="3">
        <v>0.105</v>
      </c>
      <c r="R15" s="3">
        <v>0.42099999999999999</v>
      </c>
      <c r="S15" s="3">
        <v>0.17</v>
      </c>
      <c r="T15" s="3">
        <v>0.443</v>
      </c>
      <c r="U15" s="3">
        <v>0.17199999999999999</v>
      </c>
      <c r="V15" s="3">
        <v>0.72099999999999997</v>
      </c>
      <c r="W15" s="3">
        <v>0.24399999999999999</v>
      </c>
      <c r="X15" s="3">
        <v>0.57099999999999995</v>
      </c>
      <c r="Y15" s="3">
        <v>0.26400000000000001</v>
      </c>
      <c r="Z15" s="3">
        <v>0.8</v>
      </c>
      <c r="AA15" s="3">
        <v>0.28499999999999998</v>
      </c>
      <c r="AB15" s="3">
        <v>0.76</v>
      </c>
      <c r="AC15" s="3">
        <v>0.88200000000000001</v>
      </c>
      <c r="AD15" s="3">
        <v>0.82950000000000002</v>
      </c>
      <c r="AE15" s="3">
        <v>0.87450000000000006</v>
      </c>
      <c r="AF15" s="3">
        <v>0.89800000000000002</v>
      </c>
      <c r="AG15" s="3">
        <v>0.83033333399999998</v>
      </c>
      <c r="AH15" s="3">
        <v>0.86</v>
      </c>
      <c r="AI15" s="3">
        <v>0.96150000000000002</v>
      </c>
      <c r="AJ15" s="3">
        <v>0.77866666699999998</v>
      </c>
      <c r="AK15" s="3">
        <v>0.82299999999999995</v>
      </c>
      <c r="AL15" s="3">
        <v>0.91466666699999999</v>
      </c>
      <c r="AM15" s="3">
        <v>0.01</v>
      </c>
      <c r="AN15" s="3">
        <v>0.822333333</v>
      </c>
      <c r="AO15" s="3">
        <v>0.76100000000000001</v>
      </c>
    </row>
    <row r="16" spans="1:41" x14ac:dyDescent="0.3">
      <c r="A16" s="2" t="s">
        <v>309</v>
      </c>
      <c r="B16" s="2" t="s">
        <v>335</v>
      </c>
      <c r="C16" s="3">
        <v>0.40899999999999997</v>
      </c>
      <c r="D16" s="3">
        <v>0.46600000000000003</v>
      </c>
      <c r="E16" s="3">
        <v>0.28899999999999998</v>
      </c>
      <c r="F16" s="3">
        <v>0.48199999999999998</v>
      </c>
      <c r="G16" s="3">
        <v>0.24299999999999999</v>
      </c>
      <c r="H16" s="3">
        <v>0.6</v>
      </c>
      <c r="I16" s="3">
        <v>0.11700000000000001</v>
      </c>
      <c r="J16" s="3">
        <v>0.377</v>
      </c>
      <c r="K16" s="3">
        <v>0.33600000000000002</v>
      </c>
      <c r="L16" s="3">
        <v>0.83099999999999996</v>
      </c>
      <c r="M16" s="3">
        <v>0.23400000000000001</v>
      </c>
      <c r="N16" s="3">
        <v>0.66100000000000003</v>
      </c>
      <c r="O16" s="3">
        <v>0.11899999999999999</v>
      </c>
      <c r="P16" s="3">
        <v>0.66100000000000003</v>
      </c>
      <c r="Q16" s="3">
        <v>0.23</v>
      </c>
      <c r="R16" s="3">
        <v>0.38200000000000001</v>
      </c>
      <c r="S16" s="3">
        <v>0.28299999999999997</v>
      </c>
      <c r="T16" s="3">
        <v>0.42599999999999999</v>
      </c>
      <c r="U16" s="3">
        <v>0.28599999999999998</v>
      </c>
      <c r="V16" s="3">
        <v>0.71</v>
      </c>
      <c r="W16" s="3">
        <v>0.39600000000000002</v>
      </c>
      <c r="X16" s="3">
        <v>0.58099999999999996</v>
      </c>
      <c r="Y16" s="3">
        <v>0.30399999999999999</v>
      </c>
      <c r="Z16" s="3">
        <v>0.79</v>
      </c>
      <c r="AA16" s="3">
        <v>0.42799999999999999</v>
      </c>
      <c r="AB16" s="3">
        <v>0.75</v>
      </c>
      <c r="AC16" s="3">
        <v>0.90600000000000003</v>
      </c>
      <c r="AD16" s="3">
        <v>0.89900000000000002</v>
      </c>
      <c r="AE16" s="3">
        <v>0.91100000000000003</v>
      </c>
      <c r="AF16" s="3">
        <v>0.92200000000000004</v>
      </c>
      <c r="AG16" s="3">
        <v>0.89216666700000002</v>
      </c>
      <c r="AH16" s="3">
        <v>0.90900000000000003</v>
      </c>
      <c r="AI16" s="3">
        <v>0.96099999999999997</v>
      </c>
      <c r="AJ16" s="3">
        <v>0.87833333300000005</v>
      </c>
      <c r="AK16" s="3">
        <v>0.85350000000000004</v>
      </c>
      <c r="AL16" s="3">
        <v>0.90333333299999996</v>
      </c>
      <c r="AM16" s="3">
        <v>0.01</v>
      </c>
      <c r="AN16" s="3">
        <v>0.82966666700000002</v>
      </c>
      <c r="AO16" s="3">
        <v>0.79300000000000004</v>
      </c>
    </row>
    <row r="17" spans="1:41" x14ac:dyDescent="0.3">
      <c r="A17" s="2" t="s">
        <v>309</v>
      </c>
      <c r="B17" s="2" t="s">
        <v>336</v>
      </c>
      <c r="C17" s="3">
        <v>0.29599999999999999</v>
      </c>
      <c r="D17" s="3">
        <v>0.433</v>
      </c>
      <c r="E17" s="3">
        <v>0.17499999999999999</v>
      </c>
      <c r="F17" s="3">
        <v>0.48299999999999998</v>
      </c>
      <c r="G17" s="3">
        <v>0.13300000000000001</v>
      </c>
      <c r="H17" s="3">
        <v>0.61699999999999999</v>
      </c>
      <c r="I17" s="3">
        <v>7.0999999999999994E-2</v>
      </c>
      <c r="J17" s="3">
        <v>0.35199999999999998</v>
      </c>
      <c r="K17" s="3">
        <v>0.33500000000000002</v>
      </c>
      <c r="L17" s="3">
        <v>0.82599999999999996</v>
      </c>
      <c r="M17" s="3">
        <v>9.0999999999999998E-2</v>
      </c>
      <c r="N17" s="3">
        <v>0.66900000000000004</v>
      </c>
      <c r="O17" s="3">
        <v>9.5000000000000001E-2</v>
      </c>
      <c r="P17" s="3">
        <v>0.66900000000000004</v>
      </c>
      <c r="Q17" s="3">
        <v>0.34100000000000003</v>
      </c>
      <c r="R17" s="3">
        <v>0.33800000000000002</v>
      </c>
      <c r="S17" s="3">
        <v>0.34100000000000003</v>
      </c>
      <c r="T17" s="3">
        <v>0.40600000000000003</v>
      </c>
      <c r="U17" s="3">
        <v>0.34100000000000003</v>
      </c>
      <c r="V17" s="3">
        <v>0.71499999999999997</v>
      </c>
      <c r="W17" s="3">
        <v>0.34499999999999997</v>
      </c>
      <c r="X17" s="3">
        <v>0.57699999999999996</v>
      </c>
      <c r="Y17" s="3">
        <v>0.17599999999999999</v>
      </c>
      <c r="Z17" s="3">
        <v>0.78600000000000003</v>
      </c>
      <c r="AA17" s="3">
        <v>0.24399999999999999</v>
      </c>
      <c r="AB17" s="3">
        <v>0.73299999999999998</v>
      </c>
      <c r="AC17" s="3">
        <v>0.91849999999999998</v>
      </c>
      <c r="AD17" s="3">
        <v>0.92549999999999999</v>
      </c>
      <c r="AE17" s="3">
        <v>0.92749999999999999</v>
      </c>
      <c r="AF17" s="3">
        <v>0.928666667</v>
      </c>
      <c r="AG17" s="3">
        <v>0.88241666699999999</v>
      </c>
      <c r="AH17" s="3">
        <v>0.92</v>
      </c>
      <c r="AI17" s="3">
        <v>0.95550000000000002</v>
      </c>
      <c r="AJ17" s="3">
        <v>0.84633333300000002</v>
      </c>
      <c r="AK17" s="3">
        <v>0.82399999999999995</v>
      </c>
      <c r="AL17" s="3">
        <v>0.87366666699999995</v>
      </c>
      <c r="AM17" s="3">
        <v>0.01</v>
      </c>
      <c r="AN17" s="3">
        <v>0.83066666700000003</v>
      </c>
      <c r="AO17" s="3">
        <v>0.78300000000000003</v>
      </c>
    </row>
    <row r="18" spans="1:41" x14ac:dyDescent="0.3">
      <c r="A18" s="2" t="s">
        <v>309</v>
      </c>
      <c r="B18" s="2" t="s">
        <v>337</v>
      </c>
      <c r="C18" s="3">
        <v>0.129</v>
      </c>
      <c r="D18" s="3">
        <v>0.39400000000000002</v>
      </c>
      <c r="E18" s="3">
        <v>6.3E-2</v>
      </c>
      <c r="F18" s="3">
        <v>0.45500000000000002</v>
      </c>
      <c r="G18" s="3">
        <v>5.8000000000000003E-2</v>
      </c>
      <c r="H18" s="3">
        <v>0.60599999999999998</v>
      </c>
      <c r="I18" s="3">
        <v>5.2999999999999999E-2</v>
      </c>
      <c r="J18" s="3">
        <v>0.32800000000000001</v>
      </c>
      <c r="K18" s="3">
        <v>0.154</v>
      </c>
      <c r="L18" s="3">
        <v>0.81899999999999995</v>
      </c>
      <c r="M18" s="3">
        <v>5.5E-2</v>
      </c>
      <c r="N18" s="3">
        <v>0.66900000000000004</v>
      </c>
      <c r="O18" s="3">
        <v>0.108</v>
      </c>
      <c r="P18" s="3">
        <v>0.66900000000000004</v>
      </c>
      <c r="Q18" s="3">
        <v>0.23</v>
      </c>
      <c r="R18" s="3">
        <v>0.311</v>
      </c>
      <c r="S18" s="3">
        <v>0.159</v>
      </c>
      <c r="T18" s="3">
        <v>0.38400000000000001</v>
      </c>
      <c r="U18" s="3">
        <v>0.158</v>
      </c>
      <c r="V18" s="3">
        <v>0.72399999999999998</v>
      </c>
      <c r="W18" s="3">
        <v>0.183</v>
      </c>
      <c r="X18" s="3">
        <v>0.54900000000000004</v>
      </c>
      <c r="Y18" s="3">
        <v>6.8000000000000005E-2</v>
      </c>
      <c r="Z18" s="3">
        <v>0.78400000000000003</v>
      </c>
      <c r="AA18" s="3">
        <v>0.17199999999999999</v>
      </c>
      <c r="AB18" s="3">
        <v>0.70299999999999996</v>
      </c>
      <c r="AC18" s="3">
        <v>0.92400000000000004</v>
      </c>
      <c r="AD18" s="3">
        <v>0.9395</v>
      </c>
      <c r="AE18" s="3">
        <v>0.93049999999999999</v>
      </c>
      <c r="AF18" s="3">
        <v>0.92333333299999998</v>
      </c>
      <c r="AG18" s="3">
        <v>0.87683333399999996</v>
      </c>
      <c r="AH18" s="3">
        <v>0.91300000000000003</v>
      </c>
      <c r="AI18" s="3">
        <v>0.94950000000000001</v>
      </c>
      <c r="AJ18" s="3">
        <v>0.82966666700000002</v>
      </c>
      <c r="AK18" s="3">
        <v>0.77700000000000002</v>
      </c>
      <c r="AL18" s="3">
        <v>0.82599999999999996</v>
      </c>
      <c r="AM18" s="3">
        <v>0.01</v>
      </c>
      <c r="AN18" s="3">
        <v>0.83799999999999997</v>
      </c>
      <c r="AO18" s="3">
        <v>0.80500000000000005</v>
      </c>
    </row>
    <row r="19" spans="1:41" x14ac:dyDescent="0.3">
      <c r="A19" s="2" t="s">
        <v>309</v>
      </c>
      <c r="B19" s="2" t="s">
        <v>338</v>
      </c>
      <c r="C19" s="3">
        <v>4.1000000000000002E-2</v>
      </c>
      <c r="D19" s="3">
        <v>0.36899999999999999</v>
      </c>
      <c r="E19" s="3">
        <v>2.8000000000000001E-2</v>
      </c>
      <c r="F19" s="3">
        <v>0.41699999999999998</v>
      </c>
      <c r="G19" s="3">
        <v>3.3000000000000002E-2</v>
      </c>
      <c r="H19" s="3">
        <v>0.56799999999999995</v>
      </c>
      <c r="I19" s="3">
        <v>4.2999999999999997E-2</v>
      </c>
      <c r="J19" s="3">
        <v>0.309</v>
      </c>
      <c r="K19" s="3">
        <v>5.3999999999999999E-2</v>
      </c>
      <c r="L19" s="3">
        <v>0.82899999999999996</v>
      </c>
      <c r="M19" s="3">
        <v>4.1000000000000002E-2</v>
      </c>
      <c r="N19" s="3">
        <v>0.60499999999999998</v>
      </c>
      <c r="O19" s="3">
        <v>9.8000000000000004E-2</v>
      </c>
      <c r="P19" s="3">
        <v>0.60499999999999998</v>
      </c>
      <c r="Q19" s="3">
        <v>8.1000000000000003E-2</v>
      </c>
      <c r="R19" s="3">
        <v>0.28799999999999998</v>
      </c>
      <c r="S19" s="3">
        <v>5.3999999999999999E-2</v>
      </c>
      <c r="T19" s="3">
        <v>0.37</v>
      </c>
      <c r="U19" s="3">
        <v>5.3999999999999999E-2</v>
      </c>
      <c r="V19" s="3">
        <v>0.70199999999999996</v>
      </c>
      <c r="W19" s="3">
        <v>9.0999999999999998E-2</v>
      </c>
      <c r="X19" s="3">
        <v>0.53300000000000003</v>
      </c>
      <c r="Y19" s="3">
        <v>4.3999999999999997E-2</v>
      </c>
      <c r="Z19" s="3">
        <v>0.78600000000000003</v>
      </c>
      <c r="AA19" s="3">
        <v>8.7999999999999995E-2</v>
      </c>
      <c r="AB19" s="3">
        <v>0.65800000000000003</v>
      </c>
      <c r="AC19" s="3">
        <v>0.92149999999999999</v>
      </c>
      <c r="AD19" s="3">
        <v>0.9405</v>
      </c>
      <c r="AE19" s="3">
        <v>0.92349999999999999</v>
      </c>
      <c r="AF19" s="3">
        <v>0.90766666699999998</v>
      </c>
      <c r="AG19" s="3">
        <v>0.87675000000000003</v>
      </c>
      <c r="AH19" s="3">
        <v>0.89800000000000002</v>
      </c>
      <c r="AI19" s="3">
        <v>0.95099999999999996</v>
      </c>
      <c r="AJ19" s="3">
        <v>0.83199999999999996</v>
      </c>
      <c r="AK19" s="3">
        <v>0.74950000000000006</v>
      </c>
      <c r="AL19" s="3">
        <v>0.80700000000000005</v>
      </c>
      <c r="AM19" s="3">
        <v>0.01</v>
      </c>
      <c r="AN19" s="3">
        <v>0.83966666700000003</v>
      </c>
      <c r="AO19" s="3">
        <v>0.81799999999999995</v>
      </c>
    </row>
    <row r="20" spans="1:41" x14ac:dyDescent="0.3">
      <c r="A20" s="2" t="s">
        <v>309</v>
      </c>
      <c r="B20" s="2" t="s">
        <v>339</v>
      </c>
      <c r="C20" s="3">
        <v>8.0000000000000002E-3</v>
      </c>
      <c r="D20" s="3">
        <v>0.309</v>
      </c>
      <c r="E20" s="3">
        <v>8.0000000000000002E-3</v>
      </c>
      <c r="F20" s="3">
        <v>0.374</v>
      </c>
      <c r="G20" s="3">
        <v>1.2999999999999999E-2</v>
      </c>
      <c r="H20" s="3">
        <v>0.53300000000000003</v>
      </c>
      <c r="I20" s="3">
        <v>2.9000000000000001E-2</v>
      </c>
      <c r="J20" s="3">
        <v>0.28100000000000003</v>
      </c>
      <c r="K20" s="3">
        <v>1.2999999999999999E-2</v>
      </c>
      <c r="L20" s="3">
        <v>0.83899999999999997</v>
      </c>
      <c r="M20" s="3">
        <v>1.4999999999999999E-2</v>
      </c>
      <c r="N20" s="3">
        <v>0.58199999999999996</v>
      </c>
      <c r="O20" s="3">
        <v>2.1000000000000001E-2</v>
      </c>
      <c r="P20" s="3">
        <v>0.58199999999999996</v>
      </c>
      <c r="Q20" s="3">
        <v>1.6E-2</v>
      </c>
      <c r="R20" s="3">
        <v>0.30599999999999999</v>
      </c>
      <c r="S20" s="3">
        <v>0.02</v>
      </c>
      <c r="T20" s="3">
        <v>0.38100000000000001</v>
      </c>
      <c r="U20" s="3">
        <v>0.02</v>
      </c>
      <c r="V20" s="3">
        <v>0.625</v>
      </c>
      <c r="W20" s="3">
        <v>3.2000000000000001E-2</v>
      </c>
      <c r="X20" s="3">
        <v>0.499</v>
      </c>
      <c r="Y20" s="3">
        <v>1.7000000000000001E-2</v>
      </c>
      <c r="Z20" s="3">
        <v>0.77100000000000002</v>
      </c>
      <c r="AA20" s="3">
        <v>4.1000000000000002E-2</v>
      </c>
      <c r="AB20" s="3">
        <v>0.621</v>
      </c>
      <c r="AC20" s="3">
        <v>0.91600000000000004</v>
      </c>
      <c r="AD20" s="3">
        <v>0.93149999999999999</v>
      </c>
      <c r="AE20" s="3">
        <v>0.90649999999999997</v>
      </c>
      <c r="AF20" s="3">
        <v>0.89800000000000002</v>
      </c>
      <c r="AG20" s="3">
        <v>0.87533333400000002</v>
      </c>
      <c r="AH20" s="3">
        <v>0.88400000000000001</v>
      </c>
      <c r="AI20" s="3">
        <v>0.93</v>
      </c>
      <c r="AJ20" s="3">
        <v>0.83466666700000003</v>
      </c>
      <c r="AK20" s="3">
        <v>0.76049999999999995</v>
      </c>
      <c r="AL20" s="3">
        <v>0.81866666700000001</v>
      </c>
      <c r="AM20" s="3">
        <v>0.01</v>
      </c>
      <c r="AN20" s="3">
        <v>0.83133333300000001</v>
      </c>
      <c r="AO20" s="3">
        <v>0.81200000000000006</v>
      </c>
    </row>
    <row r="21" spans="1:41" x14ac:dyDescent="0.3">
      <c r="A21" s="2" t="s">
        <v>309</v>
      </c>
      <c r="B21" s="2" t="s">
        <v>340</v>
      </c>
      <c r="C21" s="3">
        <v>0</v>
      </c>
      <c r="D21" s="3">
        <v>0.315</v>
      </c>
      <c r="E21" s="3">
        <v>0</v>
      </c>
      <c r="F21" s="3">
        <v>0.36299999999999999</v>
      </c>
      <c r="G21" s="3">
        <v>0</v>
      </c>
      <c r="H21" s="3">
        <v>0.53300000000000003</v>
      </c>
      <c r="I21" s="3">
        <v>0</v>
      </c>
      <c r="J21" s="3">
        <v>0.373</v>
      </c>
      <c r="K21" s="3">
        <v>0</v>
      </c>
      <c r="L21" s="3">
        <v>0.83399999999999996</v>
      </c>
      <c r="M21" s="3">
        <v>0</v>
      </c>
      <c r="N21" s="3">
        <v>0.628</v>
      </c>
      <c r="O21" s="3">
        <v>0</v>
      </c>
      <c r="P21" s="3">
        <v>0.628</v>
      </c>
      <c r="Q21" s="3">
        <v>0</v>
      </c>
      <c r="R21" s="3">
        <v>0.41599999999999998</v>
      </c>
      <c r="S21" s="3">
        <v>0</v>
      </c>
      <c r="T21" s="3">
        <v>0.49199999999999999</v>
      </c>
      <c r="U21" s="3">
        <v>0</v>
      </c>
      <c r="V21" s="3">
        <v>0.625</v>
      </c>
      <c r="W21" s="3">
        <v>1E-3</v>
      </c>
      <c r="X21" s="3">
        <v>0.49399999999999999</v>
      </c>
      <c r="Y21" s="3">
        <v>0</v>
      </c>
      <c r="Z21" s="3">
        <v>0.76500000000000001</v>
      </c>
      <c r="AA21" s="3">
        <v>1E-3</v>
      </c>
      <c r="AB21" s="3">
        <v>0.66200000000000003</v>
      </c>
      <c r="AC21" s="3">
        <v>0.90700000000000003</v>
      </c>
      <c r="AD21" s="3">
        <v>0.91800000000000004</v>
      </c>
      <c r="AE21" s="3">
        <v>0.88649999999999995</v>
      </c>
      <c r="AF21" s="3">
        <v>0.87033333300000004</v>
      </c>
      <c r="AG21" s="3">
        <v>0.87966666699999996</v>
      </c>
      <c r="AH21" s="3">
        <v>0.86299999999999999</v>
      </c>
      <c r="AI21" s="3">
        <v>0.92249999999999999</v>
      </c>
      <c r="AJ21" s="3">
        <v>0.85233333300000003</v>
      </c>
      <c r="AK21" s="3">
        <v>0.77700000000000002</v>
      </c>
      <c r="AL21" s="3">
        <v>0.825333333</v>
      </c>
      <c r="AM21" s="3">
        <v>0.01</v>
      </c>
      <c r="AN21" s="3">
        <v>0.82799999999999996</v>
      </c>
      <c r="AO21" s="3">
        <v>0.78600000000000003</v>
      </c>
    </row>
    <row r="22" spans="1:41" x14ac:dyDescent="0.3">
      <c r="A22" s="2" t="s">
        <v>309</v>
      </c>
      <c r="B22" s="2" t="s">
        <v>341</v>
      </c>
      <c r="C22" s="3">
        <v>0</v>
      </c>
      <c r="D22" s="3">
        <v>0.37</v>
      </c>
      <c r="E22" s="3">
        <v>0</v>
      </c>
      <c r="F22" s="3">
        <v>0.39300000000000002</v>
      </c>
      <c r="G22" s="3">
        <v>0</v>
      </c>
      <c r="H22" s="3">
        <v>0.497</v>
      </c>
      <c r="I22" s="3">
        <v>0</v>
      </c>
      <c r="J22" s="3">
        <v>0.45400000000000001</v>
      </c>
      <c r="K22" s="3">
        <v>0</v>
      </c>
      <c r="L22" s="3">
        <v>0.81100000000000005</v>
      </c>
      <c r="M22" s="3">
        <v>0</v>
      </c>
      <c r="N22" s="3">
        <v>0.63</v>
      </c>
      <c r="O22" s="3">
        <v>0</v>
      </c>
      <c r="P22" s="3">
        <v>0.63</v>
      </c>
      <c r="Q22" s="3">
        <v>0</v>
      </c>
      <c r="R22" s="3">
        <v>0.53500000000000003</v>
      </c>
      <c r="S22" s="3">
        <v>0</v>
      </c>
      <c r="T22" s="3">
        <v>0.58899999999999997</v>
      </c>
      <c r="U22" s="3">
        <v>0</v>
      </c>
      <c r="V22" s="3">
        <v>0.66900000000000004</v>
      </c>
      <c r="W22" s="3">
        <v>0</v>
      </c>
      <c r="X22" s="3">
        <v>0.47699999999999998</v>
      </c>
      <c r="Y22" s="3">
        <v>0</v>
      </c>
      <c r="Z22" s="3">
        <v>0.75600000000000001</v>
      </c>
      <c r="AA22" s="3">
        <v>0</v>
      </c>
      <c r="AB22" s="3">
        <v>0.68899999999999995</v>
      </c>
      <c r="AC22" s="3">
        <v>0.88949999999999996</v>
      </c>
      <c r="AD22" s="3">
        <v>0.88249999999999995</v>
      </c>
      <c r="AE22" s="3">
        <v>0.83599999999999997</v>
      </c>
      <c r="AF22" s="3">
        <v>0.81433333299999999</v>
      </c>
      <c r="AG22" s="3">
        <v>0.87541666699999998</v>
      </c>
      <c r="AH22" s="3">
        <v>0.82</v>
      </c>
      <c r="AI22" s="3">
        <v>0.90649999999999997</v>
      </c>
      <c r="AJ22" s="3">
        <v>0.86133333300000003</v>
      </c>
      <c r="AK22" s="3">
        <v>0.77449999999999997</v>
      </c>
      <c r="AL22" s="3">
        <v>0.823333333</v>
      </c>
      <c r="AM22" s="3">
        <v>0.01</v>
      </c>
      <c r="AN22" s="3">
        <v>0.82066666700000002</v>
      </c>
      <c r="AO22" s="3">
        <v>0.79</v>
      </c>
    </row>
    <row r="23" spans="1:41" x14ac:dyDescent="0.3">
      <c r="A23" s="2" t="s">
        <v>309</v>
      </c>
      <c r="B23" s="2" t="s">
        <v>342</v>
      </c>
      <c r="C23" s="3">
        <v>0</v>
      </c>
      <c r="D23" s="3">
        <v>0.40600000000000003</v>
      </c>
      <c r="E23" s="3">
        <v>0</v>
      </c>
      <c r="F23" s="3">
        <v>0.37</v>
      </c>
      <c r="G23" s="3">
        <v>0</v>
      </c>
      <c r="H23" s="3">
        <v>0.496</v>
      </c>
      <c r="I23" s="3">
        <v>0</v>
      </c>
      <c r="J23" s="3">
        <v>0.47299999999999998</v>
      </c>
      <c r="K23" s="3">
        <v>0</v>
      </c>
      <c r="L23" s="3">
        <v>0.77200000000000002</v>
      </c>
      <c r="M23" s="3">
        <v>0</v>
      </c>
      <c r="N23" s="3">
        <v>0.60399999999999998</v>
      </c>
      <c r="O23" s="3">
        <v>0</v>
      </c>
      <c r="P23" s="3">
        <v>0.60399999999999998</v>
      </c>
      <c r="Q23" s="3">
        <v>0</v>
      </c>
      <c r="R23" s="3">
        <v>0.59699999999999998</v>
      </c>
      <c r="S23" s="3">
        <v>0</v>
      </c>
      <c r="T23" s="3">
        <v>0.63500000000000001</v>
      </c>
      <c r="U23" s="3">
        <v>0</v>
      </c>
      <c r="V23" s="3">
        <v>0.69199999999999995</v>
      </c>
      <c r="W23" s="3">
        <v>0</v>
      </c>
      <c r="X23" s="3">
        <v>0.439</v>
      </c>
      <c r="Y23" s="3">
        <v>0</v>
      </c>
      <c r="Z23" s="3">
        <v>0.73899999999999999</v>
      </c>
      <c r="AA23" s="3">
        <v>0</v>
      </c>
      <c r="AB23" s="3">
        <v>0.71199999999999997</v>
      </c>
      <c r="AC23" s="3">
        <v>0.85450000000000004</v>
      </c>
      <c r="AD23" s="3">
        <v>0.81699999999999995</v>
      </c>
      <c r="AE23" s="3">
        <v>0.81100000000000005</v>
      </c>
      <c r="AF23" s="3">
        <v>0.79900000000000004</v>
      </c>
      <c r="AG23" s="3">
        <v>0.85824999999999996</v>
      </c>
      <c r="AH23" s="3">
        <v>0.80100000000000005</v>
      </c>
      <c r="AI23" s="3">
        <v>0.879</v>
      </c>
      <c r="AJ23" s="3">
        <v>0.86199999999999999</v>
      </c>
      <c r="AK23" s="3">
        <v>0.77900000000000003</v>
      </c>
      <c r="AL23" s="3">
        <v>0.83633333300000001</v>
      </c>
      <c r="AM23" s="3">
        <v>0.01</v>
      </c>
      <c r="AN23" s="3">
        <v>0.806666667</v>
      </c>
      <c r="AO23" s="3">
        <v>0.8</v>
      </c>
    </row>
    <row r="24" spans="1:41" x14ac:dyDescent="0.3">
      <c r="A24" s="2" t="s">
        <v>309</v>
      </c>
      <c r="B24" s="2" t="s">
        <v>343</v>
      </c>
      <c r="C24" s="3">
        <v>0</v>
      </c>
      <c r="D24" s="3">
        <v>0.42899999999999999</v>
      </c>
      <c r="E24" s="3">
        <v>0</v>
      </c>
      <c r="F24" s="3">
        <v>0.35699999999999998</v>
      </c>
      <c r="G24" s="3">
        <v>0</v>
      </c>
      <c r="H24" s="3">
        <v>0.49</v>
      </c>
      <c r="I24" s="3">
        <v>0</v>
      </c>
      <c r="J24" s="3">
        <v>0.47099999999999997</v>
      </c>
      <c r="K24" s="3">
        <v>0</v>
      </c>
      <c r="L24" s="3">
        <v>0.71799999999999997</v>
      </c>
      <c r="M24" s="3">
        <v>0</v>
      </c>
      <c r="N24" s="3">
        <v>0.60399999999999998</v>
      </c>
      <c r="O24" s="3">
        <v>0</v>
      </c>
      <c r="P24" s="3">
        <v>0.60399999999999998</v>
      </c>
      <c r="Q24" s="3">
        <v>0</v>
      </c>
      <c r="R24" s="3">
        <v>0.60599999999999998</v>
      </c>
      <c r="S24" s="3">
        <v>0</v>
      </c>
      <c r="T24" s="3">
        <v>0.64400000000000002</v>
      </c>
      <c r="U24" s="3">
        <v>0</v>
      </c>
      <c r="V24" s="3">
        <v>0.71399999999999997</v>
      </c>
      <c r="W24" s="3">
        <v>0</v>
      </c>
      <c r="X24" s="3">
        <v>0.39600000000000002</v>
      </c>
      <c r="Y24" s="3">
        <v>0</v>
      </c>
      <c r="Z24" s="3">
        <v>0.71099999999999997</v>
      </c>
      <c r="AA24" s="3">
        <v>0</v>
      </c>
      <c r="AB24" s="3">
        <v>0.7</v>
      </c>
      <c r="AC24" s="3">
        <v>0.81850000000000001</v>
      </c>
      <c r="AD24" s="3">
        <v>0.78249999999999997</v>
      </c>
      <c r="AE24" s="3">
        <v>0.79249999999999998</v>
      </c>
      <c r="AF24" s="3">
        <v>0.79</v>
      </c>
      <c r="AG24" s="3">
        <v>0.82908333400000001</v>
      </c>
      <c r="AH24" s="3">
        <v>0.77700000000000002</v>
      </c>
      <c r="AI24" s="3">
        <v>0.86550000000000005</v>
      </c>
      <c r="AJ24" s="3">
        <v>0.83966666700000003</v>
      </c>
      <c r="AK24" s="3">
        <v>0.76049999999999995</v>
      </c>
      <c r="AL24" s="3">
        <v>0.84299999999999997</v>
      </c>
      <c r="AM24" s="3">
        <v>0.01</v>
      </c>
      <c r="AN24" s="3">
        <v>0.78566666699999999</v>
      </c>
      <c r="AO24" s="3">
        <v>0.80100000000000005</v>
      </c>
    </row>
    <row r="25" spans="1:41" x14ac:dyDescent="0.3">
      <c r="A25" s="2" t="s">
        <v>309</v>
      </c>
      <c r="B25" s="2" t="s">
        <v>344</v>
      </c>
      <c r="C25" s="3">
        <v>0</v>
      </c>
      <c r="D25" s="3">
        <v>0.45</v>
      </c>
      <c r="E25" s="3">
        <v>0</v>
      </c>
      <c r="F25" s="3">
        <v>0.34200000000000003</v>
      </c>
      <c r="G25" s="3">
        <v>0</v>
      </c>
      <c r="H25" s="3">
        <v>0.48599999999999999</v>
      </c>
      <c r="I25" s="3">
        <v>0</v>
      </c>
      <c r="J25" s="3">
        <v>0.45900000000000002</v>
      </c>
      <c r="K25" s="3">
        <v>0</v>
      </c>
      <c r="L25" s="3">
        <v>0.65800000000000003</v>
      </c>
      <c r="M25" s="3">
        <v>0</v>
      </c>
      <c r="N25" s="3">
        <v>0.59699999999999998</v>
      </c>
      <c r="O25" s="3">
        <v>0</v>
      </c>
      <c r="P25" s="3">
        <v>0.59699999999999998</v>
      </c>
      <c r="Q25" s="3">
        <v>0</v>
      </c>
      <c r="R25" s="3">
        <v>0.58099999999999996</v>
      </c>
      <c r="S25" s="3">
        <v>0</v>
      </c>
      <c r="T25" s="3">
        <v>0.629</v>
      </c>
      <c r="U25" s="3">
        <v>0</v>
      </c>
      <c r="V25" s="3">
        <v>0.72099999999999997</v>
      </c>
      <c r="W25" s="3">
        <v>0</v>
      </c>
      <c r="X25" s="3">
        <v>0.35799999999999998</v>
      </c>
      <c r="Y25" s="3">
        <v>0</v>
      </c>
      <c r="Z25" s="3">
        <v>0.71199999999999997</v>
      </c>
      <c r="AA25" s="3">
        <v>0</v>
      </c>
      <c r="AB25" s="3">
        <v>0.65800000000000003</v>
      </c>
      <c r="AC25" s="3">
        <v>0.78749999999999998</v>
      </c>
      <c r="AD25" s="3">
        <v>0.77349999999999997</v>
      </c>
      <c r="AE25" s="3">
        <v>0.78049999999999997</v>
      </c>
      <c r="AF25" s="3">
        <v>0.78633333299999997</v>
      </c>
      <c r="AG25" s="3">
        <v>0.81591666699999998</v>
      </c>
      <c r="AH25" s="3">
        <v>0.76500000000000001</v>
      </c>
      <c r="AI25" s="3">
        <v>0.85950000000000004</v>
      </c>
      <c r="AJ25" s="3">
        <v>0.84433333300000002</v>
      </c>
      <c r="AK25" s="3">
        <v>0.77900000000000003</v>
      </c>
      <c r="AL25" s="3">
        <v>0.82799999999999996</v>
      </c>
      <c r="AM25" s="3">
        <v>0.01</v>
      </c>
      <c r="AN25" s="3">
        <v>0.74533333300000004</v>
      </c>
      <c r="AO25" s="3">
        <v>0.77300000000000002</v>
      </c>
    </row>
    <row r="26" spans="1:41" x14ac:dyDescent="0.3">
      <c r="A26" s="2" t="s">
        <v>309</v>
      </c>
      <c r="B26" s="2" t="s">
        <v>345</v>
      </c>
      <c r="C26" s="3">
        <v>0</v>
      </c>
      <c r="D26" s="3">
        <v>0.46200000000000002</v>
      </c>
      <c r="E26" s="3">
        <v>0</v>
      </c>
      <c r="F26" s="3">
        <v>0.29499999999999998</v>
      </c>
      <c r="G26" s="3">
        <v>0</v>
      </c>
      <c r="H26" s="3">
        <v>0.49199999999999999</v>
      </c>
      <c r="I26" s="3">
        <v>0</v>
      </c>
      <c r="J26" s="3">
        <v>0.45300000000000001</v>
      </c>
      <c r="K26" s="3">
        <v>0</v>
      </c>
      <c r="L26" s="3">
        <v>0.59599999999999997</v>
      </c>
      <c r="M26" s="3">
        <v>0</v>
      </c>
      <c r="N26" s="3">
        <v>0.56599999999999995</v>
      </c>
      <c r="O26" s="3">
        <v>0</v>
      </c>
      <c r="P26" s="3">
        <v>0.56599999999999995</v>
      </c>
      <c r="Q26" s="3">
        <v>0</v>
      </c>
      <c r="R26" s="3">
        <v>0.54200000000000004</v>
      </c>
      <c r="S26" s="3">
        <v>0</v>
      </c>
      <c r="T26" s="3">
        <v>0.60199999999999998</v>
      </c>
      <c r="U26" s="3">
        <v>0</v>
      </c>
      <c r="V26" s="3">
        <v>0.71</v>
      </c>
      <c r="W26" s="3">
        <v>0</v>
      </c>
      <c r="X26" s="3">
        <v>0.36099999999999999</v>
      </c>
      <c r="Y26" s="3">
        <v>0</v>
      </c>
      <c r="Z26" s="3">
        <v>0.7</v>
      </c>
      <c r="AA26" s="3">
        <v>0</v>
      </c>
      <c r="AB26" s="3">
        <v>0.65</v>
      </c>
      <c r="AC26" s="3">
        <v>0.75749999999999995</v>
      </c>
      <c r="AD26" s="3">
        <v>0.76349999999999996</v>
      </c>
      <c r="AE26" s="3">
        <v>0.77600000000000002</v>
      </c>
      <c r="AF26" s="3">
        <v>0.77666666699999998</v>
      </c>
      <c r="AG26" s="3">
        <v>0.79341666700000002</v>
      </c>
      <c r="AH26" s="3">
        <v>0.75600000000000001</v>
      </c>
      <c r="AI26" s="3">
        <v>0.82399999999999995</v>
      </c>
      <c r="AJ26" s="3">
        <v>0.82933333300000001</v>
      </c>
      <c r="AK26" s="3">
        <v>0.78249999999999997</v>
      </c>
      <c r="AL26" s="3">
        <v>0.78733333299999997</v>
      </c>
      <c r="AM26" s="3">
        <v>0.01</v>
      </c>
      <c r="AN26" s="3">
        <v>0.70799999999999996</v>
      </c>
      <c r="AO26" s="3">
        <v>0.76100000000000001</v>
      </c>
    </row>
    <row r="27" spans="1:41" x14ac:dyDescent="0.3">
      <c r="A27" s="2" t="s">
        <v>309</v>
      </c>
      <c r="B27" s="2" t="s">
        <v>346</v>
      </c>
      <c r="C27" s="3">
        <v>0</v>
      </c>
      <c r="D27" s="3">
        <v>0.44</v>
      </c>
      <c r="E27" s="3">
        <v>0</v>
      </c>
      <c r="F27" s="3">
        <v>0.26100000000000001</v>
      </c>
      <c r="G27" s="3">
        <v>0</v>
      </c>
      <c r="H27" s="3">
        <v>0.439</v>
      </c>
      <c r="I27" s="3">
        <v>0</v>
      </c>
      <c r="J27" s="3">
        <v>0.433</v>
      </c>
      <c r="K27" s="3">
        <v>0</v>
      </c>
      <c r="L27" s="3">
        <v>0.53</v>
      </c>
      <c r="M27" s="3">
        <v>0</v>
      </c>
      <c r="N27" s="3">
        <v>0.53300000000000003</v>
      </c>
      <c r="O27" s="3">
        <v>0</v>
      </c>
      <c r="P27" s="3">
        <v>0.53300000000000003</v>
      </c>
      <c r="Q27" s="3">
        <v>0</v>
      </c>
      <c r="R27" s="3">
        <v>0.52</v>
      </c>
      <c r="S27" s="3">
        <v>0</v>
      </c>
      <c r="T27" s="3">
        <v>0.58799999999999997</v>
      </c>
      <c r="U27" s="3">
        <v>0</v>
      </c>
      <c r="V27" s="3">
        <v>0.70499999999999996</v>
      </c>
      <c r="W27" s="3">
        <v>0</v>
      </c>
      <c r="X27" s="3">
        <v>0.36499999999999999</v>
      </c>
      <c r="Y27" s="3">
        <v>0</v>
      </c>
      <c r="Z27" s="3">
        <v>0.67400000000000004</v>
      </c>
      <c r="AA27" s="3">
        <v>0</v>
      </c>
      <c r="AB27" s="3">
        <v>0.63400000000000001</v>
      </c>
      <c r="AC27" s="3">
        <v>0.747</v>
      </c>
      <c r="AD27" s="3">
        <v>0.76900000000000002</v>
      </c>
      <c r="AE27" s="3">
        <v>0.77249999999999996</v>
      </c>
      <c r="AF27" s="3">
        <v>0.747</v>
      </c>
      <c r="AG27" s="3">
        <v>0.78149999999999997</v>
      </c>
      <c r="AH27" s="3">
        <v>0.72799999999999998</v>
      </c>
      <c r="AI27" s="3">
        <v>0.76849999999999996</v>
      </c>
      <c r="AJ27" s="3">
        <v>0.81599999999999995</v>
      </c>
      <c r="AK27" s="3">
        <v>0.76849999999999996</v>
      </c>
      <c r="AL27" s="3">
        <v>0.73966666700000006</v>
      </c>
      <c r="AM27" s="3">
        <v>0.01</v>
      </c>
      <c r="AN27" s="3">
        <v>0.67833333299999998</v>
      </c>
      <c r="AO27" s="3">
        <v>0.72399999999999998</v>
      </c>
    </row>
    <row r="28" spans="1:41" x14ac:dyDescent="0.3">
      <c r="A28" s="2" t="s">
        <v>309</v>
      </c>
      <c r="B28" s="2" t="s">
        <v>347</v>
      </c>
      <c r="C28" s="3">
        <v>0</v>
      </c>
      <c r="D28" s="3">
        <v>0.42799999999999999</v>
      </c>
      <c r="E28" s="3">
        <v>0</v>
      </c>
      <c r="F28" s="3">
        <v>0.26100000000000001</v>
      </c>
      <c r="G28" s="3">
        <v>0</v>
      </c>
      <c r="H28" s="3">
        <v>0.35499999999999998</v>
      </c>
      <c r="I28" s="3">
        <v>0</v>
      </c>
      <c r="J28" s="3">
        <v>0.42199999999999999</v>
      </c>
      <c r="K28" s="3">
        <v>0</v>
      </c>
      <c r="L28" s="3">
        <v>0.48299999999999998</v>
      </c>
      <c r="M28" s="3">
        <v>0</v>
      </c>
      <c r="N28" s="3">
        <v>0.52900000000000003</v>
      </c>
      <c r="O28" s="3">
        <v>0</v>
      </c>
      <c r="P28" s="3">
        <v>0.52900000000000003</v>
      </c>
      <c r="Q28" s="3">
        <v>0</v>
      </c>
      <c r="R28" s="3">
        <v>0.502</v>
      </c>
      <c r="S28" s="3">
        <v>0</v>
      </c>
      <c r="T28" s="3">
        <v>0.56399999999999995</v>
      </c>
      <c r="U28" s="3">
        <v>0</v>
      </c>
      <c r="V28" s="3">
        <v>0.68899999999999995</v>
      </c>
      <c r="W28" s="3">
        <v>0</v>
      </c>
      <c r="X28" s="3">
        <v>0.34899999999999998</v>
      </c>
      <c r="Y28" s="3">
        <v>0</v>
      </c>
      <c r="Z28" s="3">
        <v>0.66100000000000003</v>
      </c>
      <c r="AA28" s="3">
        <v>0</v>
      </c>
      <c r="AB28" s="3">
        <v>0.62</v>
      </c>
      <c r="AC28" s="3">
        <v>0.72150000000000003</v>
      </c>
      <c r="AD28" s="3">
        <v>0.746</v>
      </c>
      <c r="AE28" s="3">
        <v>0.748</v>
      </c>
      <c r="AF28" s="3">
        <v>0.71399999999999997</v>
      </c>
      <c r="AG28" s="3">
        <v>0.760583334</v>
      </c>
      <c r="AH28" s="3">
        <v>0.69899999999999995</v>
      </c>
      <c r="AI28" s="3">
        <v>0.76649999999999996</v>
      </c>
      <c r="AJ28" s="3">
        <v>0.799666667</v>
      </c>
      <c r="AK28" s="3">
        <v>0.73399999999999999</v>
      </c>
      <c r="AL28" s="3">
        <v>0.66500000000000004</v>
      </c>
      <c r="AM28" s="3">
        <v>0.01</v>
      </c>
      <c r="AN28" s="3">
        <v>0.66333333299999997</v>
      </c>
      <c r="AO28" s="3">
        <v>0.69599999999999995</v>
      </c>
    </row>
    <row r="29" spans="1:41" x14ac:dyDescent="0.3">
      <c r="A29" s="2" t="s">
        <v>310</v>
      </c>
      <c r="B29" s="2" t="s">
        <v>324</v>
      </c>
      <c r="C29" s="3">
        <v>0</v>
      </c>
      <c r="D29" s="3">
        <v>0.48699999999999999</v>
      </c>
      <c r="E29" s="3">
        <v>0</v>
      </c>
      <c r="F29" s="3">
        <v>0.215</v>
      </c>
      <c r="G29" s="3">
        <v>0</v>
      </c>
      <c r="H29" s="3">
        <v>0.15</v>
      </c>
      <c r="I29" s="3">
        <v>0</v>
      </c>
      <c r="J29" s="3">
        <v>0.84599999999999997</v>
      </c>
      <c r="K29" s="3">
        <v>0</v>
      </c>
      <c r="L29" s="3">
        <v>0.55900000000000005</v>
      </c>
      <c r="M29" s="3">
        <v>0</v>
      </c>
      <c r="N29" s="3">
        <v>0.19900000000000001</v>
      </c>
      <c r="O29" s="3">
        <v>0</v>
      </c>
      <c r="P29" s="3">
        <v>0.19900000000000001</v>
      </c>
      <c r="Q29" s="3">
        <v>0</v>
      </c>
      <c r="R29" s="3">
        <v>0.92600000000000005</v>
      </c>
      <c r="S29" s="3">
        <v>0</v>
      </c>
      <c r="T29" s="3">
        <v>0.88700000000000001</v>
      </c>
      <c r="U29" s="3">
        <v>0</v>
      </c>
      <c r="V29" s="3">
        <v>0.85699999999999998</v>
      </c>
      <c r="W29" s="3">
        <v>0</v>
      </c>
      <c r="X29" s="3">
        <v>0.59099999999999997</v>
      </c>
      <c r="Y29" s="3">
        <v>0</v>
      </c>
      <c r="Z29" s="3">
        <v>0.86399999999999999</v>
      </c>
      <c r="AA29" s="3">
        <v>0</v>
      </c>
      <c r="AB29" s="3">
        <v>0.82599999999999996</v>
      </c>
      <c r="AC29" s="3">
        <v>0.97150000000000003</v>
      </c>
      <c r="AD29" s="3">
        <v>0.92549999999999999</v>
      </c>
      <c r="AE29" s="3">
        <v>0.91149999999999998</v>
      </c>
      <c r="AF29" s="3">
        <v>0.97499999999999998</v>
      </c>
      <c r="AG29" s="3">
        <v>0.97458333399999997</v>
      </c>
      <c r="AH29" s="3">
        <v>0.97499999999999998</v>
      </c>
      <c r="AI29" s="3">
        <v>0.88349999999999995</v>
      </c>
      <c r="AJ29" s="3">
        <v>0.97766666700000004</v>
      </c>
      <c r="AK29" s="3">
        <v>0.96650000000000003</v>
      </c>
      <c r="AL29" s="3">
        <v>0.98</v>
      </c>
      <c r="AM29" s="3">
        <v>0.01</v>
      </c>
      <c r="AN29" s="3">
        <v>0.95433333300000001</v>
      </c>
      <c r="AO29" s="3">
        <v>0.97699999999999998</v>
      </c>
    </row>
    <row r="30" spans="1:41" x14ac:dyDescent="0.3">
      <c r="A30" s="2" t="s">
        <v>310</v>
      </c>
      <c r="B30" s="2" t="s">
        <v>325</v>
      </c>
      <c r="C30" s="3">
        <v>0</v>
      </c>
      <c r="D30" s="3">
        <v>0.58699999999999997</v>
      </c>
      <c r="E30" s="3">
        <v>0</v>
      </c>
      <c r="F30" s="3">
        <v>0.40400000000000003</v>
      </c>
      <c r="G30" s="3">
        <v>0</v>
      </c>
      <c r="H30" s="3">
        <v>0.23</v>
      </c>
      <c r="I30" s="3">
        <v>0</v>
      </c>
      <c r="J30" s="3">
        <v>0.86199999999999999</v>
      </c>
      <c r="K30" s="3">
        <v>0</v>
      </c>
      <c r="L30" s="3">
        <v>0.33</v>
      </c>
      <c r="M30" s="3">
        <v>0</v>
      </c>
      <c r="N30" s="3">
        <v>0.26800000000000002</v>
      </c>
      <c r="O30" s="3">
        <v>0</v>
      </c>
      <c r="P30" s="3">
        <v>0.26800000000000002</v>
      </c>
      <c r="Q30" s="3">
        <v>0</v>
      </c>
      <c r="R30" s="3">
        <v>0.93700000000000006</v>
      </c>
      <c r="S30" s="3">
        <v>0</v>
      </c>
      <c r="T30" s="3">
        <v>0.90300000000000002</v>
      </c>
      <c r="U30" s="3">
        <v>0</v>
      </c>
      <c r="V30" s="3">
        <v>0.873</v>
      </c>
      <c r="W30" s="3">
        <v>0</v>
      </c>
      <c r="X30" s="3">
        <v>0.73899999999999999</v>
      </c>
      <c r="Y30" s="3">
        <v>0</v>
      </c>
      <c r="Z30" s="3">
        <v>0.89700000000000002</v>
      </c>
      <c r="AA30" s="3">
        <v>0</v>
      </c>
      <c r="AB30" s="3">
        <v>0.89300000000000002</v>
      </c>
      <c r="AC30" s="3">
        <v>0.95299999999999996</v>
      </c>
      <c r="AD30" s="3">
        <v>0.87949999999999995</v>
      </c>
      <c r="AE30" s="3">
        <v>0.91349999999999998</v>
      </c>
      <c r="AF30" s="3">
        <v>0.97866666700000005</v>
      </c>
      <c r="AG30" s="3">
        <v>0.95499999999999996</v>
      </c>
      <c r="AH30" s="3">
        <v>0.97199999999999998</v>
      </c>
      <c r="AI30" s="3">
        <v>0.89800000000000002</v>
      </c>
      <c r="AJ30" s="3">
        <v>0.95699999999999996</v>
      </c>
      <c r="AK30" s="3">
        <v>0.92</v>
      </c>
      <c r="AL30" s="3">
        <v>0.98</v>
      </c>
      <c r="AM30" s="3">
        <v>0.01</v>
      </c>
      <c r="AN30" s="3">
        <v>0.948333333</v>
      </c>
      <c r="AO30" s="3">
        <v>0.97199999999999998</v>
      </c>
    </row>
    <row r="31" spans="1:41" x14ac:dyDescent="0.3">
      <c r="A31" s="2" t="s">
        <v>310</v>
      </c>
      <c r="B31" s="2" t="s">
        <v>326</v>
      </c>
      <c r="C31" s="3">
        <v>0</v>
      </c>
      <c r="D31" s="3">
        <v>0.73899999999999999</v>
      </c>
      <c r="E31" s="3">
        <v>0</v>
      </c>
      <c r="F31" s="3">
        <v>0.57699999999999996</v>
      </c>
      <c r="G31" s="3">
        <v>0</v>
      </c>
      <c r="H31" s="3">
        <v>0.36</v>
      </c>
      <c r="I31" s="3">
        <v>0</v>
      </c>
      <c r="J31" s="3">
        <v>0.88700000000000001</v>
      </c>
      <c r="K31" s="3">
        <v>0</v>
      </c>
      <c r="L31" s="3">
        <v>0.191</v>
      </c>
      <c r="M31" s="3">
        <v>0</v>
      </c>
      <c r="N31" s="3">
        <v>0.46300000000000002</v>
      </c>
      <c r="O31" s="3">
        <v>0</v>
      </c>
      <c r="P31" s="3">
        <v>0.46300000000000002</v>
      </c>
      <c r="Q31" s="3">
        <v>0</v>
      </c>
      <c r="R31" s="3">
        <v>0.95099999999999996</v>
      </c>
      <c r="S31" s="3">
        <v>0</v>
      </c>
      <c r="T31" s="3">
        <v>0.92</v>
      </c>
      <c r="U31" s="3">
        <v>0</v>
      </c>
      <c r="V31" s="3">
        <v>0.9</v>
      </c>
      <c r="W31" s="3">
        <v>0</v>
      </c>
      <c r="X31" s="3">
        <v>0.80900000000000005</v>
      </c>
      <c r="Y31" s="3">
        <v>0</v>
      </c>
      <c r="Z31" s="3">
        <v>0.92500000000000004</v>
      </c>
      <c r="AA31" s="3">
        <v>0</v>
      </c>
      <c r="AB31" s="3">
        <v>0.92400000000000004</v>
      </c>
      <c r="AC31" s="3">
        <v>0.94450000000000001</v>
      </c>
      <c r="AD31" s="3">
        <v>0.88</v>
      </c>
      <c r="AE31" s="3">
        <v>0.91449999999999998</v>
      </c>
      <c r="AF31" s="3">
        <v>0.98</v>
      </c>
      <c r="AG31" s="3">
        <v>0.92758333400000004</v>
      </c>
      <c r="AH31" s="3">
        <v>0.97499999999999998</v>
      </c>
      <c r="AI31" s="3">
        <v>0.89349999999999996</v>
      </c>
      <c r="AJ31" s="3">
        <v>0.91066666699999999</v>
      </c>
      <c r="AK31" s="3">
        <v>0.89249999999999996</v>
      </c>
      <c r="AL31" s="3">
        <v>0.98099999999999998</v>
      </c>
      <c r="AM31" s="3">
        <v>0.01</v>
      </c>
      <c r="AN31" s="3">
        <v>0.93766666700000001</v>
      </c>
      <c r="AO31" s="3">
        <v>0.97</v>
      </c>
    </row>
    <row r="32" spans="1:41" x14ac:dyDescent="0.3">
      <c r="A32" s="2" t="s">
        <v>310</v>
      </c>
      <c r="B32" s="2" t="s">
        <v>327</v>
      </c>
      <c r="C32" s="3">
        <v>0</v>
      </c>
      <c r="D32" s="3">
        <v>0.81699999999999995</v>
      </c>
      <c r="E32" s="3">
        <v>0</v>
      </c>
      <c r="F32" s="3">
        <v>0.77400000000000002</v>
      </c>
      <c r="G32" s="3">
        <v>0</v>
      </c>
      <c r="H32" s="3">
        <v>0.52400000000000002</v>
      </c>
      <c r="I32" s="3">
        <v>0</v>
      </c>
      <c r="J32" s="3">
        <v>0.90900000000000003</v>
      </c>
      <c r="K32" s="3">
        <v>0</v>
      </c>
      <c r="L32" s="3">
        <v>0.26700000000000002</v>
      </c>
      <c r="M32" s="3">
        <v>0</v>
      </c>
      <c r="N32" s="3">
        <v>0.71299999999999997</v>
      </c>
      <c r="O32" s="3">
        <v>0</v>
      </c>
      <c r="P32" s="3">
        <v>0.71299999999999997</v>
      </c>
      <c r="Q32" s="3">
        <v>0</v>
      </c>
      <c r="R32" s="3">
        <v>0.96299999999999997</v>
      </c>
      <c r="S32" s="3">
        <v>0</v>
      </c>
      <c r="T32" s="3">
        <v>0.93</v>
      </c>
      <c r="U32" s="3">
        <v>0</v>
      </c>
      <c r="V32" s="3">
        <v>0.93100000000000005</v>
      </c>
      <c r="W32" s="3">
        <v>0</v>
      </c>
      <c r="X32" s="3">
        <v>0.86299999999999999</v>
      </c>
      <c r="Y32" s="3">
        <v>0</v>
      </c>
      <c r="Z32" s="3">
        <v>0.94499999999999995</v>
      </c>
      <c r="AA32" s="3">
        <v>0</v>
      </c>
      <c r="AB32" s="3">
        <v>0.95099999999999996</v>
      </c>
      <c r="AC32" s="3">
        <v>0.94850000000000001</v>
      </c>
      <c r="AD32" s="3">
        <v>0.89149999999999996</v>
      </c>
      <c r="AE32" s="3">
        <v>0.92349999999999999</v>
      </c>
      <c r="AF32" s="3">
        <v>0.98033333300000003</v>
      </c>
      <c r="AG32" s="3">
        <v>0.898416667</v>
      </c>
      <c r="AH32" s="3">
        <v>0.97499999999999998</v>
      </c>
      <c r="AI32" s="3">
        <v>0.89500000000000002</v>
      </c>
      <c r="AJ32" s="3">
        <v>0.84833333300000002</v>
      </c>
      <c r="AK32" s="3">
        <v>0.87849999999999995</v>
      </c>
      <c r="AL32" s="3">
        <v>0.98399999999999999</v>
      </c>
      <c r="AM32" s="3">
        <v>0.01</v>
      </c>
      <c r="AN32" s="3">
        <v>0.93533333299999999</v>
      </c>
      <c r="AO32" s="3">
        <v>0.97799999999999998</v>
      </c>
    </row>
    <row r="33" spans="1:41" x14ac:dyDescent="0.3">
      <c r="A33" s="2" t="s">
        <v>310</v>
      </c>
      <c r="B33" s="2" t="s">
        <v>328</v>
      </c>
      <c r="C33" s="3">
        <v>0</v>
      </c>
      <c r="D33" s="3">
        <v>0.86799999999999999</v>
      </c>
      <c r="E33" s="3">
        <v>0</v>
      </c>
      <c r="F33" s="3">
        <v>0.86099999999999999</v>
      </c>
      <c r="G33" s="3">
        <v>0</v>
      </c>
      <c r="H33" s="3">
        <v>0.746</v>
      </c>
      <c r="I33" s="3">
        <v>0</v>
      </c>
      <c r="J33" s="3">
        <v>0.92100000000000004</v>
      </c>
      <c r="K33" s="3">
        <v>0</v>
      </c>
      <c r="L33" s="3">
        <v>0.626</v>
      </c>
      <c r="M33" s="3">
        <v>0</v>
      </c>
      <c r="N33" s="3">
        <v>0.80300000000000005</v>
      </c>
      <c r="O33" s="3">
        <v>0</v>
      </c>
      <c r="P33" s="3">
        <v>0.80300000000000005</v>
      </c>
      <c r="Q33" s="3">
        <v>0</v>
      </c>
      <c r="R33" s="3">
        <v>0.96499999999999997</v>
      </c>
      <c r="S33" s="3">
        <v>0</v>
      </c>
      <c r="T33" s="3">
        <v>0.93899999999999995</v>
      </c>
      <c r="U33" s="3">
        <v>0</v>
      </c>
      <c r="V33" s="3">
        <v>0.95699999999999996</v>
      </c>
      <c r="W33" s="3">
        <v>0</v>
      </c>
      <c r="X33" s="3">
        <v>0.90100000000000002</v>
      </c>
      <c r="Y33" s="3">
        <v>0</v>
      </c>
      <c r="Z33" s="3">
        <v>0.97</v>
      </c>
      <c r="AA33" s="3">
        <v>0</v>
      </c>
      <c r="AB33" s="3">
        <v>0.97799999999999998</v>
      </c>
      <c r="AC33" s="3">
        <v>0.9395</v>
      </c>
      <c r="AD33" s="3">
        <v>0.877</v>
      </c>
      <c r="AE33" s="3">
        <v>0.92849999999999999</v>
      </c>
      <c r="AF33" s="3">
        <v>0.98133333300000003</v>
      </c>
      <c r="AG33" s="3">
        <v>0.86475000000000002</v>
      </c>
      <c r="AH33" s="3">
        <v>0.97699999999999998</v>
      </c>
      <c r="AI33" s="3">
        <v>0.89549999999999996</v>
      </c>
      <c r="AJ33" s="3">
        <v>0.79</v>
      </c>
      <c r="AK33" s="3">
        <v>0.83050000000000002</v>
      </c>
      <c r="AL33" s="3">
        <v>0.98499999999999999</v>
      </c>
      <c r="AM33" s="3">
        <v>0.01</v>
      </c>
      <c r="AN33" s="3">
        <v>0.93300000000000005</v>
      </c>
      <c r="AO33" s="3">
        <v>0.98399999999999999</v>
      </c>
    </row>
    <row r="34" spans="1:41" x14ac:dyDescent="0.3">
      <c r="A34" s="2" t="s">
        <v>310</v>
      </c>
      <c r="B34" s="2" t="s">
        <v>329</v>
      </c>
      <c r="C34" s="3">
        <v>0</v>
      </c>
      <c r="D34" s="3">
        <v>0.89100000000000001</v>
      </c>
      <c r="E34" s="3">
        <v>0</v>
      </c>
      <c r="F34" s="3">
        <v>0.88800000000000001</v>
      </c>
      <c r="G34" s="3">
        <v>0</v>
      </c>
      <c r="H34" s="3">
        <v>0.83299999999999996</v>
      </c>
      <c r="I34" s="3">
        <v>0</v>
      </c>
      <c r="J34" s="3">
        <v>0.95199999999999996</v>
      </c>
      <c r="K34" s="3">
        <v>0</v>
      </c>
      <c r="L34" s="3">
        <v>0.86399999999999999</v>
      </c>
      <c r="M34" s="3">
        <v>0</v>
      </c>
      <c r="N34" s="3">
        <v>0.83599999999999997</v>
      </c>
      <c r="O34" s="3">
        <v>0</v>
      </c>
      <c r="P34" s="3">
        <v>0.83599999999999997</v>
      </c>
      <c r="Q34" s="3">
        <v>0</v>
      </c>
      <c r="R34" s="3">
        <v>0.97599999999999998</v>
      </c>
      <c r="S34" s="3">
        <v>0</v>
      </c>
      <c r="T34" s="3">
        <v>0.97499999999999998</v>
      </c>
      <c r="U34" s="3">
        <v>0</v>
      </c>
      <c r="V34" s="3">
        <v>0.97099999999999997</v>
      </c>
      <c r="W34" s="3">
        <v>0</v>
      </c>
      <c r="X34" s="3">
        <v>0.94699999999999995</v>
      </c>
      <c r="Y34" s="3">
        <v>0</v>
      </c>
      <c r="Z34" s="3">
        <v>0.98799999999999999</v>
      </c>
      <c r="AA34" s="3">
        <v>0</v>
      </c>
      <c r="AB34" s="3">
        <v>0.98899999999999999</v>
      </c>
      <c r="AC34" s="3">
        <v>0.92900000000000005</v>
      </c>
      <c r="AD34" s="3">
        <v>0.86399999999999999</v>
      </c>
      <c r="AE34" s="3">
        <v>0.93400000000000005</v>
      </c>
      <c r="AF34" s="3">
        <v>0.98266666700000005</v>
      </c>
      <c r="AG34" s="3">
        <v>0.85599999999999998</v>
      </c>
      <c r="AH34" s="3">
        <v>0.97799999999999998</v>
      </c>
      <c r="AI34" s="3">
        <v>0.90249999999999997</v>
      </c>
      <c r="AJ34" s="3">
        <v>0.78300000000000003</v>
      </c>
      <c r="AK34" s="3">
        <v>0.82550000000000001</v>
      </c>
      <c r="AL34" s="3">
        <v>0.98599999999999999</v>
      </c>
      <c r="AM34" s="3">
        <v>0.01</v>
      </c>
      <c r="AN34" s="3">
        <v>0.930666667</v>
      </c>
      <c r="AO34" s="3">
        <v>0.98</v>
      </c>
    </row>
    <row r="35" spans="1:41" x14ac:dyDescent="0.3">
      <c r="A35" s="2" t="s">
        <v>310</v>
      </c>
      <c r="B35" s="2" t="s">
        <v>330</v>
      </c>
      <c r="C35" s="3">
        <v>0</v>
      </c>
      <c r="D35" s="3">
        <v>0.94099999999999995</v>
      </c>
      <c r="E35" s="3">
        <v>0</v>
      </c>
      <c r="F35" s="3">
        <v>0.91900000000000004</v>
      </c>
      <c r="G35" s="3">
        <v>0</v>
      </c>
      <c r="H35" s="3">
        <v>0.90100000000000002</v>
      </c>
      <c r="I35" s="3">
        <v>0</v>
      </c>
      <c r="J35" s="3">
        <v>0.97399999999999998</v>
      </c>
      <c r="K35" s="3">
        <v>0</v>
      </c>
      <c r="L35" s="3">
        <v>0.97199999999999998</v>
      </c>
      <c r="M35" s="3">
        <v>0</v>
      </c>
      <c r="N35" s="3">
        <v>0.86099999999999999</v>
      </c>
      <c r="O35" s="3">
        <v>0</v>
      </c>
      <c r="P35" s="3">
        <v>0.86099999999999999</v>
      </c>
      <c r="Q35" s="3">
        <v>0</v>
      </c>
      <c r="R35" s="3">
        <v>0.98899999999999999</v>
      </c>
      <c r="S35" s="3">
        <v>0</v>
      </c>
      <c r="T35" s="3">
        <v>0.98799999999999999</v>
      </c>
      <c r="U35" s="3">
        <v>0</v>
      </c>
      <c r="V35" s="3">
        <v>0.98099999999999998</v>
      </c>
      <c r="W35" s="3">
        <v>0</v>
      </c>
      <c r="X35" s="3">
        <v>0.97599999999999998</v>
      </c>
      <c r="Y35" s="3">
        <v>0</v>
      </c>
      <c r="Z35" s="3">
        <v>0.99299999999999999</v>
      </c>
      <c r="AA35" s="3">
        <v>0</v>
      </c>
      <c r="AB35" s="3">
        <v>0.99099999999999999</v>
      </c>
      <c r="AC35" s="3">
        <v>0.93100000000000005</v>
      </c>
      <c r="AD35" s="3">
        <v>0.88749999999999996</v>
      </c>
      <c r="AE35" s="3">
        <v>0.9425</v>
      </c>
      <c r="AF35" s="3">
        <v>0.98399999999999999</v>
      </c>
      <c r="AG35" s="3">
        <v>0.85883333399999995</v>
      </c>
      <c r="AH35" s="3">
        <v>0.98099999999999998</v>
      </c>
      <c r="AI35" s="3">
        <v>0.92149999999999999</v>
      </c>
      <c r="AJ35" s="3">
        <v>0.78666666699999999</v>
      </c>
      <c r="AK35" s="3">
        <v>0.81899999999999995</v>
      </c>
      <c r="AL35" s="3">
        <v>0.98899999999999999</v>
      </c>
      <c r="AM35" s="3">
        <v>0.01</v>
      </c>
      <c r="AN35" s="3">
        <v>0.930666667</v>
      </c>
      <c r="AO35" s="3">
        <v>0.97799999999999998</v>
      </c>
    </row>
    <row r="36" spans="1:41" x14ac:dyDescent="0.3">
      <c r="A36" s="2" t="s">
        <v>310</v>
      </c>
      <c r="B36" s="2" t="s">
        <v>331</v>
      </c>
      <c r="C36" s="3">
        <v>4.9000000000000002E-2</v>
      </c>
      <c r="D36" s="3">
        <v>0.96599999999999997</v>
      </c>
      <c r="E36" s="3">
        <v>2.1000000000000001E-2</v>
      </c>
      <c r="F36" s="3">
        <v>0.95499999999999996</v>
      </c>
      <c r="G36" s="3">
        <v>2.1000000000000001E-2</v>
      </c>
      <c r="H36" s="3">
        <v>0.93</v>
      </c>
      <c r="I36" s="3">
        <v>4.0000000000000001E-3</v>
      </c>
      <c r="J36" s="3">
        <v>0.98199999999999998</v>
      </c>
      <c r="K36" s="3">
        <v>2.9000000000000001E-2</v>
      </c>
      <c r="L36" s="3">
        <v>0.98799999999999999</v>
      </c>
      <c r="M36" s="3">
        <v>1.2E-2</v>
      </c>
      <c r="N36" s="3">
        <v>0.86799999999999999</v>
      </c>
      <c r="O36" s="3">
        <v>0</v>
      </c>
      <c r="P36" s="3">
        <v>0.86799999999999999</v>
      </c>
      <c r="Q36" s="3">
        <v>4.8000000000000001E-2</v>
      </c>
      <c r="R36" s="3">
        <v>0.99299999999999999</v>
      </c>
      <c r="S36" s="3">
        <v>1.6E-2</v>
      </c>
      <c r="T36" s="3">
        <v>0.99099999999999999</v>
      </c>
      <c r="U36" s="3">
        <v>1.6E-2</v>
      </c>
      <c r="V36" s="3">
        <v>0.99</v>
      </c>
      <c r="W36" s="3">
        <v>8.0000000000000002E-3</v>
      </c>
      <c r="X36" s="3">
        <v>0.98899999999999999</v>
      </c>
      <c r="Y36" s="3">
        <v>1.0999999999999999E-2</v>
      </c>
      <c r="Z36" s="3">
        <v>0.99299999999999999</v>
      </c>
      <c r="AA36" s="3">
        <v>5.0000000000000001E-3</v>
      </c>
      <c r="AB36" s="3">
        <v>0.99299999999999999</v>
      </c>
      <c r="AC36" s="3">
        <v>0.9335</v>
      </c>
      <c r="AD36" s="3">
        <v>0.90500000000000003</v>
      </c>
      <c r="AE36" s="3">
        <v>0.94650000000000001</v>
      </c>
      <c r="AF36" s="3">
        <v>0.98599999999999999</v>
      </c>
      <c r="AG36" s="3">
        <v>0.84824999999999995</v>
      </c>
      <c r="AH36" s="3">
        <v>0.98399999999999999</v>
      </c>
      <c r="AI36" s="3">
        <v>0.95650000000000002</v>
      </c>
      <c r="AJ36" s="3">
        <v>0.76300000000000001</v>
      </c>
      <c r="AK36" s="3">
        <v>0.83050000000000002</v>
      </c>
      <c r="AL36" s="3">
        <v>0.99033333300000004</v>
      </c>
      <c r="AM36" s="3">
        <v>0.01</v>
      </c>
      <c r="AN36" s="3">
        <v>0.931666667</v>
      </c>
      <c r="AO36" s="3">
        <v>0.98299999999999998</v>
      </c>
    </row>
    <row r="37" spans="1:41" x14ac:dyDescent="0.3">
      <c r="A37" s="2" t="s">
        <v>310</v>
      </c>
      <c r="B37" s="2" t="s">
        <v>332</v>
      </c>
      <c r="C37" s="3">
        <v>0.123</v>
      </c>
      <c r="D37" s="3">
        <v>0.98499999999999999</v>
      </c>
      <c r="E37" s="3">
        <v>0.1</v>
      </c>
      <c r="F37" s="3">
        <v>0.98199999999999998</v>
      </c>
      <c r="G37" s="3">
        <v>0.109</v>
      </c>
      <c r="H37" s="3">
        <v>0.95199999999999996</v>
      </c>
      <c r="I37" s="3">
        <v>4.3999999999999997E-2</v>
      </c>
      <c r="J37" s="3">
        <v>0.99</v>
      </c>
      <c r="K37" s="3">
        <v>8.5000000000000006E-2</v>
      </c>
      <c r="L37" s="3">
        <v>0.99299999999999999</v>
      </c>
      <c r="M37" s="3">
        <v>8.4000000000000005E-2</v>
      </c>
      <c r="N37" s="3">
        <v>0.871</v>
      </c>
      <c r="O37" s="3">
        <v>1.4999999999999999E-2</v>
      </c>
      <c r="P37" s="3">
        <v>0.871</v>
      </c>
      <c r="Q37" s="3">
        <v>0.13300000000000001</v>
      </c>
      <c r="R37" s="3">
        <v>0.99299999999999999</v>
      </c>
      <c r="S37" s="3">
        <v>7.3999999999999996E-2</v>
      </c>
      <c r="T37" s="3">
        <v>0.99299999999999999</v>
      </c>
      <c r="U37" s="3">
        <v>7.2999999999999995E-2</v>
      </c>
      <c r="V37" s="3">
        <v>0.98799999999999999</v>
      </c>
      <c r="W37" s="3">
        <v>6.4000000000000001E-2</v>
      </c>
      <c r="X37" s="3">
        <v>0.99199999999999999</v>
      </c>
      <c r="Y37" s="3">
        <v>7.9000000000000001E-2</v>
      </c>
      <c r="Z37" s="3">
        <v>0.99299999999999999</v>
      </c>
      <c r="AA37" s="3">
        <v>6.5000000000000002E-2</v>
      </c>
      <c r="AB37" s="3">
        <v>0.99199999999999999</v>
      </c>
      <c r="AC37" s="3">
        <v>0.93500000000000005</v>
      </c>
      <c r="AD37" s="3">
        <v>0.89949999999999997</v>
      </c>
      <c r="AE37" s="3">
        <v>0.94499999999999995</v>
      </c>
      <c r="AF37" s="3">
        <v>0.98766666700000005</v>
      </c>
      <c r="AG37" s="3">
        <v>0.84266666700000004</v>
      </c>
      <c r="AH37" s="3">
        <v>0.98499999999999999</v>
      </c>
      <c r="AI37" s="3">
        <v>0.96950000000000003</v>
      </c>
      <c r="AJ37" s="3">
        <v>0.75033333300000005</v>
      </c>
      <c r="AK37" s="3">
        <v>0.84850000000000003</v>
      </c>
      <c r="AL37" s="3">
        <v>0.99</v>
      </c>
      <c r="AM37" s="3">
        <v>0.01</v>
      </c>
      <c r="AN37" s="3">
        <v>0.93533333299999999</v>
      </c>
      <c r="AO37" s="3">
        <v>0.99099999999999999</v>
      </c>
    </row>
    <row r="38" spans="1:41" x14ac:dyDescent="0.3">
      <c r="A38" s="2" t="s">
        <v>310</v>
      </c>
      <c r="B38" s="2" t="s">
        <v>333</v>
      </c>
      <c r="C38" s="3">
        <v>0.16400000000000001</v>
      </c>
      <c r="D38" s="3">
        <v>0.99299999999999999</v>
      </c>
      <c r="E38" s="3">
        <v>0.21199999999999999</v>
      </c>
      <c r="F38" s="3">
        <v>0.99099999999999999</v>
      </c>
      <c r="G38" s="3">
        <v>0.192</v>
      </c>
      <c r="H38" s="3">
        <v>0.95299999999999996</v>
      </c>
      <c r="I38" s="3">
        <v>9.7000000000000003E-2</v>
      </c>
      <c r="J38" s="3">
        <v>0.99199999999999999</v>
      </c>
      <c r="K38" s="3">
        <v>0.14799999999999999</v>
      </c>
      <c r="L38" s="3">
        <v>0.99199999999999999</v>
      </c>
      <c r="M38" s="3">
        <v>0.158</v>
      </c>
      <c r="N38" s="3">
        <v>0.94299999999999995</v>
      </c>
      <c r="O38" s="3">
        <v>4.8000000000000001E-2</v>
      </c>
      <c r="P38" s="3">
        <v>0.94299999999999995</v>
      </c>
      <c r="Q38" s="3">
        <v>0.186</v>
      </c>
      <c r="R38" s="3">
        <v>0.99099999999999999</v>
      </c>
      <c r="S38" s="3">
        <v>0.13300000000000001</v>
      </c>
      <c r="T38" s="3">
        <v>0.99299999999999999</v>
      </c>
      <c r="U38" s="3">
        <v>0.13200000000000001</v>
      </c>
      <c r="V38" s="3">
        <v>0.99199999999999999</v>
      </c>
      <c r="W38" s="3">
        <v>0.14299999999999999</v>
      </c>
      <c r="X38" s="3">
        <v>0.99299999999999999</v>
      </c>
      <c r="Y38" s="3">
        <v>0.17399999999999999</v>
      </c>
      <c r="Z38" s="3">
        <v>0.99299999999999999</v>
      </c>
      <c r="AA38" s="3">
        <v>0.112</v>
      </c>
      <c r="AB38" s="3">
        <v>0.99099999999999999</v>
      </c>
      <c r="AC38" s="3">
        <v>0.94799999999999995</v>
      </c>
      <c r="AD38" s="3">
        <v>0.93</v>
      </c>
      <c r="AE38" s="3">
        <v>0.95550000000000002</v>
      </c>
      <c r="AF38" s="3">
        <v>0.98899999999999999</v>
      </c>
      <c r="AG38" s="3">
        <v>0.89349999999999996</v>
      </c>
      <c r="AH38" s="3">
        <v>0.98599999999999999</v>
      </c>
      <c r="AI38" s="3">
        <v>0.96599999999999997</v>
      </c>
      <c r="AJ38" s="3">
        <v>0.83899999999999997</v>
      </c>
      <c r="AK38" s="3">
        <v>0.90349999999999997</v>
      </c>
      <c r="AL38" s="3">
        <v>0.98966666700000006</v>
      </c>
      <c r="AM38" s="3">
        <v>0.01</v>
      </c>
      <c r="AN38" s="3">
        <v>0.94699999999999995</v>
      </c>
      <c r="AO38" s="3">
        <v>0.99299999999999999</v>
      </c>
    </row>
    <row r="39" spans="1:41" x14ac:dyDescent="0.3">
      <c r="A39" s="2" t="s">
        <v>310</v>
      </c>
      <c r="B39" s="2" t="s">
        <v>334</v>
      </c>
      <c r="C39" s="3">
        <v>0.216</v>
      </c>
      <c r="D39" s="3">
        <v>0.99099999999999999</v>
      </c>
      <c r="E39" s="3">
        <v>0.30399999999999999</v>
      </c>
      <c r="F39" s="3">
        <v>0.99299999999999999</v>
      </c>
      <c r="G39" s="3">
        <v>0.23699999999999999</v>
      </c>
      <c r="H39" s="3">
        <v>0.94599999999999995</v>
      </c>
      <c r="I39" s="3">
        <v>0.11700000000000001</v>
      </c>
      <c r="J39" s="3">
        <v>0.99299999999999999</v>
      </c>
      <c r="K39" s="3">
        <v>0.21</v>
      </c>
      <c r="L39" s="3">
        <v>0.97899999999999998</v>
      </c>
      <c r="M39" s="3">
        <v>0.17199999999999999</v>
      </c>
      <c r="N39" s="3">
        <v>0.97299999999999998</v>
      </c>
      <c r="O39" s="3">
        <v>0.10199999999999999</v>
      </c>
      <c r="P39" s="3">
        <v>0.97299999999999998</v>
      </c>
      <c r="Q39" s="3">
        <v>0.22</v>
      </c>
      <c r="R39" s="3">
        <v>0.99099999999999999</v>
      </c>
      <c r="S39" s="3">
        <v>0.21</v>
      </c>
      <c r="T39" s="3">
        <v>0.99299999999999999</v>
      </c>
      <c r="U39" s="3">
        <v>0.20899999999999999</v>
      </c>
      <c r="V39" s="3">
        <v>0.99299999999999999</v>
      </c>
      <c r="W39" s="3">
        <v>0.21099999999999999</v>
      </c>
      <c r="X39" s="3">
        <v>0.98799999999999999</v>
      </c>
      <c r="Y39" s="3">
        <v>0.222</v>
      </c>
      <c r="Z39" s="3">
        <v>0.99299999999999999</v>
      </c>
      <c r="AA39" s="3">
        <v>0.127</v>
      </c>
      <c r="AB39" s="3">
        <v>0.98899999999999999</v>
      </c>
      <c r="AC39" s="3">
        <v>0.97199999999999998</v>
      </c>
      <c r="AD39" s="3">
        <v>0.96499999999999997</v>
      </c>
      <c r="AE39" s="3">
        <v>0.96850000000000003</v>
      </c>
      <c r="AF39" s="3">
        <v>0.99033333300000004</v>
      </c>
      <c r="AG39" s="3">
        <v>0.93799999999999994</v>
      </c>
      <c r="AH39" s="3">
        <v>0.98499999999999999</v>
      </c>
      <c r="AI39" s="3">
        <v>0.97650000000000003</v>
      </c>
      <c r="AJ39" s="3">
        <v>0.90400000000000003</v>
      </c>
      <c r="AK39" s="3">
        <v>0.93700000000000006</v>
      </c>
      <c r="AL39" s="3">
        <v>0.98733333300000004</v>
      </c>
      <c r="AM39" s="3">
        <v>0.01</v>
      </c>
      <c r="AN39" s="3">
        <v>0.96433333300000001</v>
      </c>
      <c r="AO39" s="3">
        <v>0.99299999999999999</v>
      </c>
    </row>
    <row r="40" spans="1:41" x14ac:dyDescent="0.3">
      <c r="A40" s="2" t="s">
        <v>310</v>
      </c>
      <c r="B40" s="2" t="s">
        <v>335</v>
      </c>
      <c r="C40" s="3">
        <v>0.28499999999999998</v>
      </c>
      <c r="D40" s="3">
        <v>0.98099999999999998</v>
      </c>
      <c r="E40" s="3">
        <v>0.27900000000000003</v>
      </c>
      <c r="F40" s="3">
        <v>0.99</v>
      </c>
      <c r="G40" s="3">
        <v>0.245</v>
      </c>
      <c r="H40" s="3">
        <v>0.91400000000000003</v>
      </c>
      <c r="I40" s="3">
        <v>0.16700000000000001</v>
      </c>
      <c r="J40" s="3">
        <v>0.98899999999999999</v>
      </c>
      <c r="K40" s="3">
        <v>0.23499999999999999</v>
      </c>
      <c r="L40" s="3">
        <v>0.94099999999999995</v>
      </c>
      <c r="M40" s="3">
        <v>0.155</v>
      </c>
      <c r="N40" s="3">
        <v>0.96699999999999997</v>
      </c>
      <c r="O40" s="3">
        <v>9.6000000000000002E-2</v>
      </c>
      <c r="P40" s="3">
        <v>0.96699999999999997</v>
      </c>
      <c r="Q40" s="3">
        <v>0.246</v>
      </c>
      <c r="R40" s="3">
        <v>0.98699999999999999</v>
      </c>
      <c r="S40" s="3">
        <v>0.219</v>
      </c>
      <c r="T40" s="3">
        <v>0.99099999999999999</v>
      </c>
      <c r="U40" s="3">
        <v>0.219</v>
      </c>
      <c r="V40" s="3">
        <v>0.99199999999999999</v>
      </c>
      <c r="W40" s="3">
        <v>0.26</v>
      </c>
      <c r="X40" s="3">
        <v>0.97699999999999998</v>
      </c>
      <c r="Y40" s="3">
        <v>0.221</v>
      </c>
      <c r="Z40" s="3">
        <v>0.99299999999999999</v>
      </c>
      <c r="AA40" s="3">
        <v>0.126</v>
      </c>
      <c r="AB40" s="3">
        <v>0.99099999999999999</v>
      </c>
      <c r="AC40" s="3">
        <v>0.97899999999999998</v>
      </c>
      <c r="AD40" s="3">
        <v>0.97450000000000003</v>
      </c>
      <c r="AE40" s="3">
        <v>0.97550000000000003</v>
      </c>
      <c r="AF40" s="3">
        <v>0.99</v>
      </c>
      <c r="AG40" s="3">
        <v>0.95133333399999997</v>
      </c>
      <c r="AH40" s="3">
        <v>0.98199999999999998</v>
      </c>
      <c r="AI40" s="3">
        <v>0.98299999999999998</v>
      </c>
      <c r="AJ40" s="3">
        <v>0.923666667</v>
      </c>
      <c r="AK40" s="3">
        <v>0.95</v>
      </c>
      <c r="AL40" s="3">
        <v>0.98799999999999999</v>
      </c>
      <c r="AM40" s="3">
        <v>0.01</v>
      </c>
      <c r="AN40" s="3">
        <v>0.96899999999999997</v>
      </c>
      <c r="AO40" s="3">
        <v>0.99199999999999999</v>
      </c>
    </row>
    <row r="41" spans="1:41" x14ac:dyDescent="0.3">
      <c r="A41" s="2" t="s">
        <v>310</v>
      </c>
      <c r="B41" s="2" t="s">
        <v>336</v>
      </c>
      <c r="C41" s="3">
        <v>0.25800000000000001</v>
      </c>
      <c r="D41" s="3">
        <v>0.95</v>
      </c>
      <c r="E41" s="3">
        <v>0.19800000000000001</v>
      </c>
      <c r="F41" s="3">
        <v>0.98099999999999998</v>
      </c>
      <c r="G41" s="3">
        <v>0.17899999999999999</v>
      </c>
      <c r="H41" s="3">
        <v>0.878</v>
      </c>
      <c r="I41" s="3">
        <v>0.23300000000000001</v>
      </c>
      <c r="J41" s="3">
        <v>0.98</v>
      </c>
      <c r="K41" s="3">
        <v>0.19700000000000001</v>
      </c>
      <c r="L41" s="3">
        <v>0.96199999999999997</v>
      </c>
      <c r="M41" s="3">
        <v>0.16400000000000001</v>
      </c>
      <c r="N41" s="3">
        <v>0.94299999999999995</v>
      </c>
      <c r="O41" s="3">
        <v>9.5000000000000001E-2</v>
      </c>
      <c r="P41" s="3">
        <v>0.94299999999999995</v>
      </c>
      <c r="Q41" s="3">
        <v>0.24399999999999999</v>
      </c>
      <c r="R41" s="3">
        <v>0.97499999999999998</v>
      </c>
      <c r="S41" s="3">
        <v>0.21</v>
      </c>
      <c r="T41" s="3">
        <v>0.98499999999999999</v>
      </c>
      <c r="U41" s="3">
        <v>0.21</v>
      </c>
      <c r="V41" s="3">
        <v>0.99099999999999999</v>
      </c>
      <c r="W41" s="3">
        <v>0.20399999999999999</v>
      </c>
      <c r="X41" s="3">
        <v>0.96699999999999997</v>
      </c>
      <c r="Y41" s="3">
        <v>0.193</v>
      </c>
      <c r="Z41" s="3">
        <v>0.99299999999999999</v>
      </c>
      <c r="AA41" s="3">
        <v>0.14599999999999999</v>
      </c>
      <c r="AB41" s="3">
        <v>0.99299999999999999</v>
      </c>
      <c r="AC41" s="3">
        <v>0.98</v>
      </c>
      <c r="AD41" s="3">
        <v>0.97799999999999998</v>
      </c>
      <c r="AE41" s="3">
        <v>0.97899999999999998</v>
      </c>
      <c r="AF41" s="3">
        <v>0.99033333300000004</v>
      </c>
      <c r="AG41" s="3">
        <v>0.96199999999999997</v>
      </c>
      <c r="AH41" s="3">
        <v>0.98099999999999998</v>
      </c>
      <c r="AI41" s="3">
        <v>0.98599999999999999</v>
      </c>
      <c r="AJ41" s="3">
        <v>0.94399999999999995</v>
      </c>
      <c r="AK41" s="3">
        <v>0.96499999999999997</v>
      </c>
      <c r="AL41" s="3">
        <v>0.98966666700000006</v>
      </c>
      <c r="AM41" s="3">
        <v>0.01</v>
      </c>
      <c r="AN41" s="3">
        <v>0.97</v>
      </c>
      <c r="AO41" s="3">
        <v>0.99199999999999999</v>
      </c>
    </row>
    <row r="42" spans="1:41" x14ac:dyDescent="0.3">
      <c r="A42" s="2" t="s">
        <v>310</v>
      </c>
      <c r="B42" s="2" t="s">
        <v>337</v>
      </c>
      <c r="C42" s="3">
        <v>0.17899999999999999</v>
      </c>
      <c r="D42" s="3">
        <v>0.90400000000000003</v>
      </c>
      <c r="E42" s="3">
        <v>0.159</v>
      </c>
      <c r="F42" s="3">
        <v>0.98099999999999998</v>
      </c>
      <c r="G42" s="3">
        <v>0.17899999999999999</v>
      </c>
      <c r="H42" s="3">
        <v>0.93</v>
      </c>
      <c r="I42" s="3">
        <v>0.29599999999999999</v>
      </c>
      <c r="J42" s="3">
        <v>0.97499999999999998</v>
      </c>
      <c r="K42" s="3">
        <v>0.152</v>
      </c>
      <c r="L42" s="3">
        <v>0.96699999999999997</v>
      </c>
      <c r="M42" s="3">
        <v>0.19500000000000001</v>
      </c>
      <c r="N42" s="3">
        <v>0.90500000000000003</v>
      </c>
      <c r="O42" s="3">
        <v>8.2000000000000003E-2</v>
      </c>
      <c r="P42" s="3">
        <v>0.90500000000000003</v>
      </c>
      <c r="Q42" s="3">
        <v>0.184</v>
      </c>
      <c r="R42" s="3">
        <v>0.95299999999999996</v>
      </c>
      <c r="S42" s="3">
        <v>0.16800000000000001</v>
      </c>
      <c r="T42" s="3">
        <v>0.98099999999999998</v>
      </c>
      <c r="U42" s="3">
        <v>0.16800000000000001</v>
      </c>
      <c r="V42" s="3">
        <v>0.99199999999999999</v>
      </c>
      <c r="W42" s="3">
        <v>0.15</v>
      </c>
      <c r="X42" s="3">
        <v>0.97399999999999998</v>
      </c>
      <c r="Y42" s="3">
        <v>0.156</v>
      </c>
      <c r="Z42" s="3">
        <v>0.99199999999999999</v>
      </c>
      <c r="AA42" s="3">
        <v>0.14699999999999999</v>
      </c>
      <c r="AB42" s="3">
        <v>0.98899999999999999</v>
      </c>
      <c r="AC42" s="3">
        <v>0.98299999999999998</v>
      </c>
      <c r="AD42" s="3">
        <v>0.98</v>
      </c>
      <c r="AE42" s="3">
        <v>0.97899999999999998</v>
      </c>
      <c r="AF42" s="3">
        <v>0.99099999999999999</v>
      </c>
      <c r="AG42" s="3">
        <v>0.97016666699999998</v>
      </c>
      <c r="AH42" s="3">
        <v>0.98199999999999998</v>
      </c>
      <c r="AI42" s="3">
        <v>0.98750000000000004</v>
      </c>
      <c r="AJ42" s="3">
        <v>0.95733333300000001</v>
      </c>
      <c r="AK42" s="3">
        <v>0.97750000000000004</v>
      </c>
      <c r="AL42" s="3">
        <v>0.98899999999999999</v>
      </c>
      <c r="AM42" s="3">
        <v>0.01</v>
      </c>
      <c r="AN42" s="3">
        <v>0.97333333300000002</v>
      </c>
      <c r="AO42" s="3">
        <v>0.99099999999999999</v>
      </c>
    </row>
    <row r="43" spans="1:41" x14ac:dyDescent="0.3">
      <c r="A43" s="2" t="s">
        <v>310</v>
      </c>
      <c r="B43" s="2" t="s">
        <v>338</v>
      </c>
      <c r="C43" s="3">
        <v>0.13</v>
      </c>
      <c r="D43" s="3">
        <v>0.86699999999999999</v>
      </c>
      <c r="E43" s="3">
        <v>0.13200000000000001</v>
      </c>
      <c r="F43" s="3">
        <v>0.98499999999999999</v>
      </c>
      <c r="G43" s="3">
        <v>0.21299999999999999</v>
      </c>
      <c r="H43" s="3">
        <v>0.98</v>
      </c>
      <c r="I43" s="3">
        <v>0.252</v>
      </c>
      <c r="J43" s="3">
        <v>0.97399999999999998</v>
      </c>
      <c r="K43" s="3">
        <v>0.126</v>
      </c>
      <c r="L43" s="3">
        <v>0.98199999999999998</v>
      </c>
      <c r="M43" s="3">
        <v>0.20300000000000001</v>
      </c>
      <c r="N43" s="3">
        <v>0.82399999999999995</v>
      </c>
      <c r="O43" s="3">
        <v>6.0999999999999999E-2</v>
      </c>
      <c r="P43" s="3">
        <v>0.82399999999999995</v>
      </c>
      <c r="Q43" s="3">
        <v>0.126</v>
      </c>
      <c r="R43" s="3">
        <v>0.94799999999999995</v>
      </c>
      <c r="S43" s="3">
        <v>0.13800000000000001</v>
      </c>
      <c r="T43" s="3">
        <v>0.98199999999999998</v>
      </c>
      <c r="U43" s="3">
        <v>0.13800000000000001</v>
      </c>
      <c r="V43" s="3">
        <v>0.99299999999999999</v>
      </c>
      <c r="W43" s="3">
        <v>0.13200000000000001</v>
      </c>
      <c r="X43" s="3">
        <v>0.98799999999999999</v>
      </c>
      <c r="Y43" s="3">
        <v>0.13100000000000001</v>
      </c>
      <c r="Z43" s="3">
        <v>0.98899999999999999</v>
      </c>
      <c r="AA43" s="3">
        <v>0.161</v>
      </c>
      <c r="AB43" s="3">
        <v>0.97399999999999998</v>
      </c>
      <c r="AC43" s="3">
        <v>0.98550000000000004</v>
      </c>
      <c r="AD43" s="3">
        <v>0.97950000000000004</v>
      </c>
      <c r="AE43" s="3">
        <v>0.97650000000000003</v>
      </c>
      <c r="AF43" s="3">
        <v>0.99133333300000004</v>
      </c>
      <c r="AG43" s="3">
        <v>0.97691666700000002</v>
      </c>
      <c r="AH43" s="3">
        <v>0.98599999999999999</v>
      </c>
      <c r="AI43" s="3">
        <v>0.98650000000000004</v>
      </c>
      <c r="AJ43" s="3">
        <v>0.96833333300000002</v>
      </c>
      <c r="AK43" s="3">
        <v>0.98250000000000004</v>
      </c>
      <c r="AL43" s="3">
        <v>0.98599999999999999</v>
      </c>
      <c r="AM43" s="3">
        <v>0.01</v>
      </c>
      <c r="AN43" s="3">
        <v>0.97666666700000004</v>
      </c>
      <c r="AO43" s="3">
        <v>0.99199999999999999</v>
      </c>
    </row>
    <row r="44" spans="1:41" x14ac:dyDescent="0.3">
      <c r="A44" s="2" t="s">
        <v>310</v>
      </c>
      <c r="B44" s="2" t="s">
        <v>339</v>
      </c>
      <c r="C44" s="3">
        <v>7.5999999999999998E-2</v>
      </c>
      <c r="D44" s="3">
        <v>0.90300000000000002</v>
      </c>
      <c r="E44" s="3">
        <v>9.1999999999999998E-2</v>
      </c>
      <c r="F44" s="3">
        <v>0.98799999999999999</v>
      </c>
      <c r="G44" s="3">
        <v>0.158</v>
      </c>
      <c r="H44" s="3">
        <v>0.99199999999999999</v>
      </c>
      <c r="I44" s="3">
        <v>9.7000000000000003E-2</v>
      </c>
      <c r="J44" s="3">
        <v>0.98</v>
      </c>
      <c r="K44" s="3">
        <v>8.4000000000000005E-2</v>
      </c>
      <c r="L44" s="3">
        <v>0.99299999999999999</v>
      </c>
      <c r="M44" s="3">
        <v>0.11</v>
      </c>
      <c r="N44" s="3">
        <v>0.67200000000000004</v>
      </c>
      <c r="O44" s="3">
        <v>2.8000000000000001E-2</v>
      </c>
      <c r="P44" s="3">
        <v>0.67200000000000004</v>
      </c>
      <c r="Q44" s="3">
        <v>7.3999999999999996E-2</v>
      </c>
      <c r="R44" s="3">
        <v>0.95299999999999996</v>
      </c>
      <c r="S44" s="3">
        <v>9.2999999999999999E-2</v>
      </c>
      <c r="T44" s="3">
        <v>0.98699999999999999</v>
      </c>
      <c r="U44" s="3">
        <v>9.2999999999999999E-2</v>
      </c>
      <c r="V44" s="3">
        <v>0.99</v>
      </c>
      <c r="W44" s="3">
        <v>0.113</v>
      </c>
      <c r="X44" s="3">
        <v>0.99199999999999999</v>
      </c>
      <c r="Y44" s="3">
        <v>0.107</v>
      </c>
      <c r="Z44" s="3">
        <v>0.97899999999999998</v>
      </c>
      <c r="AA44" s="3">
        <v>7.2999999999999995E-2</v>
      </c>
      <c r="AB44" s="3">
        <v>0.94499999999999995</v>
      </c>
      <c r="AC44" s="3">
        <v>0.98550000000000004</v>
      </c>
      <c r="AD44" s="3">
        <v>0.97650000000000003</v>
      </c>
      <c r="AE44" s="3">
        <v>0.97499999999999998</v>
      </c>
      <c r="AF44" s="3">
        <v>0.99099999999999999</v>
      </c>
      <c r="AG44" s="3">
        <v>0.98141666699999996</v>
      </c>
      <c r="AH44" s="3">
        <v>0.98799999999999999</v>
      </c>
      <c r="AI44" s="3">
        <v>0.98550000000000004</v>
      </c>
      <c r="AJ44" s="3">
        <v>0.97733333300000003</v>
      </c>
      <c r="AK44" s="3">
        <v>0.98499999999999999</v>
      </c>
      <c r="AL44" s="3">
        <v>0.98166666700000005</v>
      </c>
      <c r="AM44" s="3">
        <v>0.01</v>
      </c>
      <c r="AN44" s="3">
        <v>0.97766666700000004</v>
      </c>
      <c r="AO44" s="3">
        <v>0.99199999999999999</v>
      </c>
    </row>
    <row r="45" spans="1:41" x14ac:dyDescent="0.3">
      <c r="A45" s="2" t="s">
        <v>310</v>
      </c>
      <c r="B45" s="2" t="s">
        <v>340</v>
      </c>
      <c r="C45" s="3">
        <v>0.02</v>
      </c>
      <c r="D45" s="3">
        <v>0.95199999999999996</v>
      </c>
      <c r="E45" s="3">
        <v>3.1E-2</v>
      </c>
      <c r="F45" s="3">
        <v>0.99199999999999999</v>
      </c>
      <c r="G45" s="3">
        <v>3.9E-2</v>
      </c>
      <c r="H45" s="3">
        <v>0.99</v>
      </c>
      <c r="I45" s="3">
        <v>1.4999999999999999E-2</v>
      </c>
      <c r="J45" s="3">
        <v>0.99199999999999999</v>
      </c>
      <c r="K45" s="3">
        <v>2.8000000000000001E-2</v>
      </c>
      <c r="L45" s="3">
        <v>0.99299999999999999</v>
      </c>
      <c r="M45" s="3">
        <v>1.7999999999999999E-2</v>
      </c>
      <c r="N45" s="3">
        <v>0.47899999999999998</v>
      </c>
      <c r="O45" s="3">
        <v>4.0000000000000001E-3</v>
      </c>
      <c r="P45" s="3">
        <v>0.47899999999999998</v>
      </c>
      <c r="Q45" s="3">
        <v>2.3E-2</v>
      </c>
      <c r="R45" s="3">
        <v>0.97299999999999998</v>
      </c>
      <c r="S45" s="3">
        <v>3.5000000000000003E-2</v>
      </c>
      <c r="T45" s="3">
        <v>0.99299999999999999</v>
      </c>
      <c r="U45" s="3">
        <v>3.5999999999999997E-2</v>
      </c>
      <c r="V45" s="3">
        <v>0.97799999999999998</v>
      </c>
      <c r="W45" s="3">
        <v>0.04</v>
      </c>
      <c r="X45" s="3">
        <v>0.97499999999999998</v>
      </c>
      <c r="Y45" s="3">
        <v>3.5999999999999997E-2</v>
      </c>
      <c r="Z45" s="3">
        <v>0.96399999999999997</v>
      </c>
      <c r="AA45" s="3">
        <v>1.9E-2</v>
      </c>
      <c r="AB45" s="3">
        <v>0.91500000000000004</v>
      </c>
      <c r="AC45" s="3">
        <v>0.98450000000000004</v>
      </c>
      <c r="AD45" s="3">
        <v>0.97250000000000003</v>
      </c>
      <c r="AE45" s="3">
        <v>0.97550000000000003</v>
      </c>
      <c r="AF45" s="3">
        <v>0.99033333300000004</v>
      </c>
      <c r="AG45" s="3">
        <v>0.98208333400000003</v>
      </c>
      <c r="AH45" s="3">
        <v>0.99099999999999999</v>
      </c>
      <c r="AI45" s="3">
        <v>0.98299999999999998</v>
      </c>
      <c r="AJ45" s="3">
        <v>0.97966666700000005</v>
      </c>
      <c r="AK45" s="3">
        <v>0.98350000000000004</v>
      </c>
      <c r="AL45" s="3">
        <v>0.98033333300000003</v>
      </c>
      <c r="AM45" s="3">
        <v>0.01</v>
      </c>
      <c r="AN45" s="3">
        <v>0.97766666700000004</v>
      </c>
      <c r="AO45" s="3">
        <v>0.99299999999999999</v>
      </c>
    </row>
    <row r="46" spans="1:41" x14ac:dyDescent="0.3">
      <c r="A46" s="2" t="s">
        <v>310</v>
      </c>
      <c r="B46" s="2" t="s">
        <v>341</v>
      </c>
      <c r="C46" s="3">
        <v>0</v>
      </c>
      <c r="D46" s="3">
        <v>0.98199999999999998</v>
      </c>
      <c r="E46" s="3">
        <v>0</v>
      </c>
      <c r="F46" s="3">
        <v>0.98899999999999999</v>
      </c>
      <c r="G46" s="3">
        <v>0</v>
      </c>
      <c r="H46" s="3">
        <v>0.96299999999999997</v>
      </c>
      <c r="I46" s="3">
        <v>0</v>
      </c>
      <c r="J46" s="3">
        <v>0.99</v>
      </c>
      <c r="K46" s="3">
        <v>0</v>
      </c>
      <c r="L46" s="3">
        <v>0.99299999999999999</v>
      </c>
      <c r="M46" s="3">
        <v>0</v>
      </c>
      <c r="N46" s="3">
        <v>0.374</v>
      </c>
      <c r="O46" s="3">
        <v>0</v>
      </c>
      <c r="P46" s="3">
        <v>0.374</v>
      </c>
      <c r="Q46" s="3">
        <v>0</v>
      </c>
      <c r="R46" s="3">
        <v>0.99099999999999999</v>
      </c>
      <c r="S46" s="3">
        <v>0</v>
      </c>
      <c r="T46" s="3">
        <v>0.98799999999999999</v>
      </c>
      <c r="U46" s="3">
        <v>0</v>
      </c>
      <c r="V46" s="3">
        <v>0.95499999999999996</v>
      </c>
      <c r="W46" s="3">
        <v>0</v>
      </c>
      <c r="X46" s="3">
        <v>0.93200000000000005</v>
      </c>
      <c r="Y46" s="3">
        <v>0</v>
      </c>
      <c r="Z46" s="3">
        <v>0.94199999999999995</v>
      </c>
      <c r="AA46" s="3">
        <v>0</v>
      </c>
      <c r="AB46" s="3">
        <v>0.872</v>
      </c>
      <c r="AC46" s="3">
        <v>0.98350000000000004</v>
      </c>
      <c r="AD46" s="3">
        <v>0.97299999999999998</v>
      </c>
      <c r="AE46" s="3">
        <v>0.97899999999999998</v>
      </c>
      <c r="AF46" s="3">
        <v>0.98833333300000004</v>
      </c>
      <c r="AG46" s="3">
        <v>0.97941666699999996</v>
      </c>
      <c r="AH46" s="3">
        <v>0.99299999999999999</v>
      </c>
      <c r="AI46" s="3">
        <v>0.97099999999999997</v>
      </c>
      <c r="AJ46" s="3">
        <v>0.97533333300000002</v>
      </c>
      <c r="AK46" s="3">
        <v>0.97399999999999998</v>
      </c>
      <c r="AL46" s="3">
        <v>0.98266666700000005</v>
      </c>
      <c r="AM46" s="3">
        <v>0.01</v>
      </c>
      <c r="AN46" s="3">
        <v>0.97399999999999998</v>
      </c>
      <c r="AO46" s="3">
        <v>0.99099999999999999</v>
      </c>
    </row>
    <row r="47" spans="1:41" x14ac:dyDescent="0.3">
      <c r="A47" s="2" t="s">
        <v>310</v>
      </c>
      <c r="B47" s="2" t="s">
        <v>342</v>
      </c>
      <c r="C47" s="3">
        <v>0</v>
      </c>
      <c r="D47" s="3">
        <v>0.99299999999999999</v>
      </c>
      <c r="E47" s="3">
        <v>0</v>
      </c>
      <c r="F47" s="3">
        <v>0.94799999999999995</v>
      </c>
      <c r="G47" s="3">
        <v>0</v>
      </c>
      <c r="H47" s="3">
        <v>0.88700000000000001</v>
      </c>
      <c r="I47" s="3">
        <v>0</v>
      </c>
      <c r="J47" s="3">
        <v>0.97</v>
      </c>
      <c r="K47" s="3">
        <v>0</v>
      </c>
      <c r="L47" s="3">
        <v>0.97499999999999998</v>
      </c>
      <c r="M47" s="3">
        <v>0</v>
      </c>
      <c r="N47" s="3">
        <v>0.38</v>
      </c>
      <c r="O47" s="3">
        <v>0</v>
      </c>
      <c r="P47" s="3">
        <v>0.38</v>
      </c>
      <c r="Q47" s="3">
        <v>0</v>
      </c>
      <c r="R47" s="3">
        <v>0.99199999999999999</v>
      </c>
      <c r="S47" s="3">
        <v>0</v>
      </c>
      <c r="T47" s="3">
        <v>0.96899999999999997</v>
      </c>
      <c r="U47" s="3">
        <v>0</v>
      </c>
      <c r="V47" s="3">
        <v>0.92600000000000005</v>
      </c>
      <c r="W47" s="3">
        <v>0</v>
      </c>
      <c r="X47" s="3">
        <v>0.86399999999999999</v>
      </c>
      <c r="Y47" s="3">
        <v>0</v>
      </c>
      <c r="Z47" s="3">
        <v>0.91500000000000004</v>
      </c>
      <c r="AA47" s="3">
        <v>0</v>
      </c>
      <c r="AB47" s="3">
        <v>0.83299999999999996</v>
      </c>
      <c r="AC47" s="3">
        <v>0.98250000000000004</v>
      </c>
      <c r="AD47" s="3">
        <v>0.97350000000000003</v>
      </c>
      <c r="AE47" s="3">
        <v>0.98250000000000004</v>
      </c>
      <c r="AF47" s="3">
        <v>0.98866666700000005</v>
      </c>
      <c r="AG47" s="3">
        <v>0.97424999999999995</v>
      </c>
      <c r="AH47" s="3">
        <v>0.99199999999999999</v>
      </c>
      <c r="AI47" s="3">
        <v>0.95</v>
      </c>
      <c r="AJ47" s="3">
        <v>0.96599999999999997</v>
      </c>
      <c r="AK47" s="3">
        <v>0.96599999999999997</v>
      </c>
      <c r="AL47" s="3">
        <v>0.98299999999999998</v>
      </c>
      <c r="AM47" s="3">
        <v>0.01</v>
      </c>
      <c r="AN47" s="3">
        <v>0.97399999999999998</v>
      </c>
      <c r="AO47" s="3">
        <v>0.98899999999999999</v>
      </c>
    </row>
    <row r="48" spans="1:41" x14ac:dyDescent="0.3">
      <c r="A48" s="2" t="s">
        <v>310</v>
      </c>
      <c r="B48" s="2" t="s">
        <v>343</v>
      </c>
      <c r="C48" s="3">
        <v>0</v>
      </c>
      <c r="D48" s="3">
        <v>0.98499999999999999</v>
      </c>
      <c r="E48" s="3">
        <v>0</v>
      </c>
      <c r="F48" s="3">
        <v>0.85699999999999998</v>
      </c>
      <c r="G48" s="3">
        <v>0</v>
      </c>
      <c r="H48" s="3">
        <v>0.77500000000000002</v>
      </c>
      <c r="I48" s="3">
        <v>0</v>
      </c>
      <c r="J48" s="3">
        <v>0.92700000000000005</v>
      </c>
      <c r="K48" s="3">
        <v>0</v>
      </c>
      <c r="L48" s="3">
        <v>0.85899999999999999</v>
      </c>
      <c r="M48" s="3">
        <v>0</v>
      </c>
      <c r="N48" s="3">
        <v>0.41199999999999998</v>
      </c>
      <c r="O48" s="3">
        <v>0</v>
      </c>
      <c r="P48" s="3">
        <v>0.41199999999999998</v>
      </c>
      <c r="Q48" s="3">
        <v>0</v>
      </c>
      <c r="R48" s="3">
        <v>0.98099999999999998</v>
      </c>
      <c r="S48" s="3">
        <v>0</v>
      </c>
      <c r="T48" s="3">
        <v>0.93500000000000005</v>
      </c>
      <c r="U48" s="3">
        <v>0</v>
      </c>
      <c r="V48" s="3">
        <v>0.88800000000000001</v>
      </c>
      <c r="W48" s="3">
        <v>0</v>
      </c>
      <c r="X48" s="3">
        <v>0.77600000000000002</v>
      </c>
      <c r="Y48" s="3">
        <v>0</v>
      </c>
      <c r="Z48" s="3">
        <v>0.876</v>
      </c>
      <c r="AA48" s="3">
        <v>0</v>
      </c>
      <c r="AB48" s="3">
        <v>0.79200000000000004</v>
      </c>
      <c r="AC48" s="3">
        <v>0.98299999999999998</v>
      </c>
      <c r="AD48" s="3">
        <v>0.97299999999999998</v>
      </c>
      <c r="AE48" s="3">
        <v>0.98450000000000004</v>
      </c>
      <c r="AF48" s="3">
        <v>0.99166666699999995</v>
      </c>
      <c r="AG48" s="3">
        <v>0.97166666700000004</v>
      </c>
      <c r="AH48" s="3">
        <v>0.99199999999999999</v>
      </c>
      <c r="AI48" s="3">
        <v>0.92500000000000004</v>
      </c>
      <c r="AJ48" s="3">
        <v>0.96033333300000001</v>
      </c>
      <c r="AK48" s="3">
        <v>0.97350000000000003</v>
      </c>
      <c r="AL48" s="3">
        <v>0.97533333300000002</v>
      </c>
      <c r="AM48" s="3">
        <v>0.01</v>
      </c>
      <c r="AN48" s="3">
        <v>0.97433333300000002</v>
      </c>
      <c r="AO48" s="3">
        <v>0.98299999999999998</v>
      </c>
    </row>
    <row r="49" spans="1:41" x14ac:dyDescent="0.3">
      <c r="A49" s="2" t="s">
        <v>310</v>
      </c>
      <c r="B49" s="2" t="s">
        <v>344</v>
      </c>
      <c r="C49" s="3">
        <v>0</v>
      </c>
      <c r="D49" s="3">
        <v>0.93600000000000005</v>
      </c>
      <c r="E49" s="3">
        <v>0</v>
      </c>
      <c r="F49" s="3">
        <v>0.67700000000000005</v>
      </c>
      <c r="G49" s="3">
        <v>0</v>
      </c>
      <c r="H49" s="3">
        <v>0.628</v>
      </c>
      <c r="I49" s="3">
        <v>0</v>
      </c>
      <c r="J49" s="3">
        <v>0.85099999999999998</v>
      </c>
      <c r="K49" s="3">
        <v>0</v>
      </c>
      <c r="L49" s="3">
        <v>0.95599999999999996</v>
      </c>
      <c r="M49" s="3">
        <v>0</v>
      </c>
      <c r="N49" s="3">
        <v>0.42799999999999999</v>
      </c>
      <c r="O49" s="3">
        <v>0</v>
      </c>
      <c r="P49" s="3">
        <v>0.42799999999999999</v>
      </c>
      <c r="Q49" s="3">
        <v>0</v>
      </c>
      <c r="R49" s="3">
        <v>0.94799999999999995</v>
      </c>
      <c r="S49" s="3">
        <v>0</v>
      </c>
      <c r="T49" s="3">
        <v>0.873</v>
      </c>
      <c r="U49" s="3">
        <v>0</v>
      </c>
      <c r="V49" s="3">
        <v>0.84299999999999997</v>
      </c>
      <c r="W49" s="3">
        <v>0</v>
      </c>
      <c r="X49" s="3">
        <v>0.69399999999999995</v>
      </c>
      <c r="Y49" s="3">
        <v>0</v>
      </c>
      <c r="Z49" s="3">
        <v>0.82899999999999996</v>
      </c>
      <c r="AA49" s="3">
        <v>0</v>
      </c>
      <c r="AB49" s="3">
        <v>0.75600000000000001</v>
      </c>
      <c r="AC49" s="3">
        <v>0.98650000000000004</v>
      </c>
      <c r="AD49" s="3">
        <v>0.97899999999999998</v>
      </c>
      <c r="AE49" s="3">
        <v>0.98350000000000004</v>
      </c>
      <c r="AF49" s="3">
        <v>0.99033333300000004</v>
      </c>
      <c r="AG49" s="3">
        <v>0.97541666699999996</v>
      </c>
      <c r="AH49" s="3">
        <v>0.99199999999999999</v>
      </c>
      <c r="AI49" s="3">
        <v>0.89400000000000002</v>
      </c>
      <c r="AJ49" s="3">
        <v>0.96433333300000001</v>
      </c>
      <c r="AK49" s="3">
        <v>0.98450000000000004</v>
      </c>
      <c r="AL49" s="3">
        <v>0.96633333300000002</v>
      </c>
      <c r="AM49" s="3">
        <v>0.01</v>
      </c>
      <c r="AN49" s="3">
        <v>0.97866666700000005</v>
      </c>
      <c r="AO49" s="3">
        <v>0.96599999999999997</v>
      </c>
    </row>
    <row r="50" spans="1:41" x14ac:dyDescent="0.3">
      <c r="A50" s="2" t="s">
        <v>310</v>
      </c>
      <c r="B50" s="2" t="s">
        <v>345</v>
      </c>
      <c r="C50" s="3">
        <v>0</v>
      </c>
      <c r="D50" s="3">
        <v>0.83899999999999997</v>
      </c>
      <c r="E50" s="3">
        <v>0</v>
      </c>
      <c r="F50" s="3">
        <v>0.55000000000000004</v>
      </c>
      <c r="G50" s="3">
        <v>0</v>
      </c>
      <c r="H50" s="3">
        <v>0.505</v>
      </c>
      <c r="I50" s="3">
        <v>0</v>
      </c>
      <c r="J50" s="3">
        <v>0.74399999999999999</v>
      </c>
      <c r="K50" s="3">
        <v>0</v>
      </c>
      <c r="L50" s="3">
        <v>0.99</v>
      </c>
      <c r="M50" s="3">
        <v>0</v>
      </c>
      <c r="N50" s="3">
        <v>0.45400000000000001</v>
      </c>
      <c r="O50" s="3">
        <v>0</v>
      </c>
      <c r="P50" s="3">
        <v>0.45400000000000001</v>
      </c>
      <c r="Q50" s="3">
        <v>0</v>
      </c>
      <c r="R50" s="3">
        <v>0.879</v>
      </c>
      <c r="S50" s="3">
        <v>0</v>
      </c>
      <c r="T50" s="3">
        <v>0.78900000000000003</v>
      </c>
      <c r="U50" s="3">
        <v>0</v>
      </c>
      <c r="V50" s="3">
        <v>0.79500000000000004</v>
      </c>
      <c r="W50" s="3">
        <v>0</v>
      </c>
      <c r="X50" s="3">
        <v>0.65200000000000002</v>
      </c>
      <c r="Y50" s="3">
        <v>0</v>
      </c>
      <c r="Z50" s="3">
        <v>0.78900000000000003</v>
      </c>
      <c r="AA50" s="3">
        <v>0</v>
      </c>
      <c r="AB50" s="3">
        <v>0.71699999999999997</v>
      </c>
      <c r="AC50" s="3">
        <v>0.98799999999999999</v>
      </c>
      <c r="AD50" s="3">
        <v>0.98350000000000004</v>
      </c>
      <c r="AE50" s="3">
        <v>0.98250000000000004</v>
      </c>
      <c r="AF50" s="3">
        <v>0.99133333300000004</v>
      </c>
      <c r="AG50" s="3">
        <v>0.97950000000000004</v>
      </c>
      <c r="AH50" s="3">
        <v>0.99</v>
      </c>
      <c r="AI50" s="3">
        <v>0.87549999999999994</v>
      </c>
      <c r="AJ50" s="3">
        <v>0.97099999999999997</v>
      </c>
      <c r="AK50" s="3">
        <v>0.98550000000000004</v>
      </c>
      <c r="AL50" s="3">
        <v>0.95166666700000002</v>
      </c>
      <c r="AM50" s="3">
        <v>0.01</v>
      </c>
      <c r="AN50" s="3">
        <v>0.98266666700000005</v>
      </c>
      <c r="AO50" s="3">
        <v>0.95099999999999996</v>
      </c>
    </row>
    <row r="51" spans="1:41" x14ac:dyDescent="0.3">
      <c r="A51" s="2" t="s">
        <v>310</v>
      </c>
      <c r="B51" s="2" t="s">
        <v>346</v>
      </c>
      <c r="C51" s="3">
        <v>0</v>
      </c>
      <c r="D51" s="3">
        <v>0.66200000000000003</v>
      </c>
      <c r="E51" s="3">
        <v>0</v>
      </c>
      <c r="F51" s="3">
        <v>0.52</v>
      </c>
      <c r="G51" s="3">
        <v>0</v>
      </c>
      <c r="H51" s="3">
        <v>0.44900000000000001</v>
      </c>
      <c r="I51" s="3">
        <v>0</v>
      </c>
      <c r="J51" s="3">
        <v>0.56899999999999995</v>
      </c>
      <c r="K51" s="3">
        <v>0</v>
      </c>
      <c r="L51" s="3">
        <v>0.99299999999999999</v>
      </c>
      <c r="M51" s="3">
        <v>0</v>
      </c>
      <c r="N51" s="3">
        <v>0.51200000000000001</v>
      </c>
      <c r="O51" s="3">
        <v>0</v>
      </c>
      <c r="P51" s="3">
        <v>0.51200000000000001</v>
      </c>
      <c r="Q51" s="3">
        <v>0</v>
      </c>
      <c r="R51" s="3">
        <v>0.79500000000000004</v>
      </c>
      <c r="S51" s="3">
        <v>0</v>
      </c>
      <c r="T51" s="3">
        <v>0.65300000000000002</v>
      </c>
      <c r="U51" s="3">
        <v>0</v>
      </c>
      <c r="V51" s="3">
        <v>0.74</v>
      </c>
      <c r="W51" s="3">
        <v>0</v>
      </c>
      <c r="X51" s="3">
        <v>0.64600000000000002</v>
      </c>
      <c r="Y51" s="3">
        <v>0</v>
      </c>
      <c r="Z51" s="3">
        <v>0.748</v>
      </c>
      <c r="AA51" s="3">
        <v>0</v>
      </c>
      <c r="AB51" s="3">
        <v>0.68200000000000005</v>
      </c>
      <c r="AC51" s="3">
        <v>0.98950000000000005</v>
      </c>
      <c r="AD51" s="3">
        <v>0.98650000000000004</v>
      </c>
      <c r="AE51" s="3">
        <v>0.98050000000000004</v>
      </c>
      <c r="AF51" s="3">
        <v>0.99133333300000004</v>
      </c>
      <c r="AG51" s="3">
        <v>0.98408333400000003</v>
      </c>
      <c r="AH51" s="3">
        <v>0.99099999999999999</v>
      </c>
      <c r="AI51" s="3">
        <v>0.90200000000000002</v>
      </c>
      <c r="AJ51" s="3">
        <v>0.97866666700000005</v>
      </c>
      <c r="AK51" s="3">
        <v>0.98599999999999999</v>
      </c>
      <c r="AL51" s="3">
        <v>0.92900000000000005</v>
      </c>
      <c r="AM51" s="3">
        <v>0.01</v>
      </c>
      <c r="AN51" s="3">
        <v>0.98033333300000003</v>
      </c>
      <c r="AO51" s="3">
        <v>0.96799999999999997</v>
      </c>
    </row>
    <row r="52" spans="1:41" x14ac:dyDescent="0.3">
      <c r="A52" s="2" t="s">
        <v>310</v>
      </c>
      <c r="B52" s="2" t="s">
        <v>347</v>
      </c>
      <c r="C52" s="3">
        <v>0</v>
      </c>
      <c r="D52" s="3">
        <v>0.52300000000000002</v>
      </c>
      <c r="E52" s="3">
        <v>0</v>
      </c>
      <c r="F52" s="3">
        <v>0.42899999999999999</v>
      </c>
      <c r="G52" s="3">
        <v>0</v>
      </c>
      <c r="H52" s="3">
        <v>0.39100000000000001</v>
      </c>
      <c r="I52" s="3">
        <v>0</v>
      </c>
      <c r="J52" s="3">
        <v>0.505</v>
      </c>
      <c r="K52" s="3">
        <v>0</v>
      </c>
      <c r="L52" s="3">
        <v>0.98899999999999999</v>
      </c>
      <c r="M52" s="3">
        <v>0</v>
      </c>
      <c r="N52" s="3">
        <v>0.54900000000000004</v>
      </c>
      <c r="O52" s="3">
        <v>0</v>
      </c>
      <c r="P52" s="3">
        <v>0.54900000000000004</v>
      </c>
      <c r="Q52" s="3">
        <v>0</v>
      </c>
      <c r="R52" s="3">
        <v>0.71199999999999997</v>
      </c>
      <c r="S52" s="3">
        <v>0</v>
      </c>
      <c r="T52" s="3">
        <v>0.61599999999999999</v>
      </c>
      <c r="U52" s="3">
        <v>0</v>
      </c>
      <c r="V52" s="3">
        <v>0.69299999999999995</v>
      </c>
      <c r="W52" s="3">
        <v>0</v>
      </c>
      <c r="X52" s="3">
        <v>0.61799999999999999</v>
      </c>
      <c r="Y52" s="3">
        <v>0</v>
      </c>
      <c r="Z52" s="3">
        <v>0.65800000000000003</v>
      </c>
      <c r="AA52" s="3">
        <v>0</v>
      </c>
      <c r="AB52" s="3">
        <v>0.65</v>
      </c>
      <c r="AC52" s="3">
        <v>0.99050000000000005</v>
      </c>
      <c r="AD52" s="3">
        <v>0.98650000000000004</v>
      </c>
      <c r="AE52" s="3">
        <v>0.97350000000000003</v>
      </c>
      <c r="AF52" s="3">
        <v>0.98899999999999999</v>
      </c>
      <c r="AG52" s="3">
        <v>0.98708333400000003</v>
      </c>
      <c r="AH52" s="3">
        <v>0.99199999999999999</v>
      </c>
      <c r="AI52" s="3">
        <v>0.95950000000000002</v>
      </c>
      <c r="AJ52" s="3">
        <v>0.98366666700000005</v>
      </c>
      <c r="AK52" s="3">
        <v>0.98850000000000005</v>
      </c>
      <c r="AL52" s="3">
        <v>0.91600000000000004</v>
      </c>
      <c r="AM52" s="3">
        <v>0.01</v>
      </c>
      <c r="AN52" s="3">
        <v>0.97733333300000003</v>
      </c>
      <c r="AO52" s="3">
        <v>0.98599999999999999</v>
      </c>
    </row>
    <row r="53" spans="1:41" x14ac:dyDescent="0.3">
      <c r="A53" s="2" t="s">
        <v>311</v>
      </c>
      <c r="B53" s="2" t="s">
        <v>324</v>
      </c>
      <c r="C53" s="3">
        <v>0</v>
      </c>
      <c r="D53" s="3">
        <v>0.57599999999999996</v>
      </c>
      <c r="E53" s="3">
        <v>0</v>
      </c>
      <c r="F53" s="3">
        <v>0.435</v>
      </c>
      <c r="G53" s="3">
        <v>0</v>
      </c>
      <c r="H53" s="3">
        <v>0.216</v>
      </c>
      <c r="I53" s="3">
        <v>0</v>
      </c>
      <c r="J53" s="3">
        <v>0.63</v>
      </c>
      <c r="K53" s="3">
        <v>0</v>
      </c>
      <c r="L53" s="3">
        <v>0.56699999999999995</v>
      </c>
      <c r="M53" s="3">
        <v>0</v>
      </c>
      <c r="N53" s="3">
        <v>3.2000000000000001E-2</v>
      </c>
      <c r="O53" s="3">
        <v>0</v>
      </c>
      <c r="P53" s="3">
        <v>3.2000000000000001E-2</v>
      </c>
      <c r="Q53" s="3">
        <v>0</v>
      </c>
      <c r="R53" s="3">
        <v>0.69399999999999995</v>
      </c>
      <c r="S53" s="3">
        <v>0</v>
      </c>
      <c r="T53" s="3">
        <v>0.73199999999999998</v>
      </c>
      <c r="U53" s="3">
        <v>0</v>
      </c>
      <c r="V53" s="3">
        <v>0.89100000000000001</v>
      </c>
      <c r="W53" s="3">
        <v>0</v>
      </c>
      <c r="X53" s="3">
        <v>0.622</v>
      </c>
      <c r="Y53" s="3">
        <v>0</v>
      </c>
      <c r="Z53" s="3">
        <v>0.746</v>
      </c>
      <c r="AA53" s="3">
        <v>0</v>
      </c>
      <c r="AB53" s="3">
        <v>0.23499999999999999</v>
      </c>
      <c r="AC53" s="3">
        <v>0.435</v>
      </c>
      <c r="AD53" s="3">
        <v>0.438</v>
      </c>
      <c r="AE53" s="3">
        <v>8.4000000000000005E-2</v>
      </c>
      <c r="AF53" s="3">
        <v>0.177666667</v>
      </c>
      <c r="AG53" s="3">
        <v>0.63949999999999996</v>
      </c>
      <c r="AH53" s="3">
        <v>0.19700000000000001</v>
      </c>
      <c r="AI53" s="3">
        <v>0.71799999999999997</v>
      </c>
      <c r="AJ53" s="3">
        <v>0.84399999999999997</v>
      </c>
      <c r="AK53" s="3">
        <v>0.86050000000000004</v>
      </c>
      <c r="AL53" s="3">
        <v>0.5</v>
      </c>
      <c r="AM53" s="3">
        <v>0.01</v>
      </c>
      <c r="AN53" s="3">
        <v>0.34933333300000002</v>
      </c>
      <c r="AO53" s="3">
        <v>0.50600000000000001</v>
      </c>
    </row>
    <row r="54" spans="1:41" x14ac:dyDescent="0.3">
      <c r="A54" s="2" t="s">
        <v>311</v>
      </c>
      <c r="B54" s="2" t="s">
        <v>325</v>
      </c>
      <c r="C54" s="3">
        <v>0</v>
      </c>
      <c r="D54" s="3">
        <v>0.60899999999999999</v>
      </c>
      <c r="E54" s="3">
        <v>0</v>
      </c>
      <c r="F54" s="3">
        <v>0.46300000000000002</v>
      </c>
      <c r="G54" s="3">
        <v>0</v>
      </c>
      <c r="H54" s="3">
        <v>0.22700000000000001</v>
      </c>
      <c r="I54" s="3">
        <v>0</v>
      </c>
      <c r="J54" s="3">
        <v>0.64</v>
      </c>
      <c r="K54" s="3">
        <v>0</v>
      </c>
      <c r="L54" s="3">
        <v>0.57199999999999995</v>
      </c>
      <c r="M54" s="3">
        <v>0</v>
      </c>
      <c r="N54" s="3">
        <v>3.7999999999999999E-2</v>
      </c>
      <c r="O54" s="3">
        <v>0</v>
      </c>
      <c r="P54" s="3">
        <v>3.7999999999999999E-2</v>
      </c>
      <c r="Q54" s="3">
        <v>0</v>
      </c>
      <c r="R54" s="3">
        <v>0.72099999999999997</v>
      </c>
      <c r="S54" s="3">
        <v>0</v>
      </c>
      <c r="T54" s="3">
        <v>0.73899999999999999</v>
      </c>
      <c r="U54" s="3">
        <v>0</v>
      </c>
      <c r="V54" s="3">
        <v>0.90400000000000003</v>
      </c>
      <c r="W54" s="3">
        <v>0</v>
      </c>
      <c r="X54" s="3">
        <v>0.63900000000000001</v>
      </c>
      <c r="Y54" s="3">
        <v>0</v>
      </c>
      <c r="Z54" s="3">
        <v>0.65300000000000002</v>
      </c>
      <c r="AA54" s="3">
        <v>0</v>
      </c>
      <c r="AB54" s="3">
        <v>0.221</v>
      </c>
      <c r="AC54" s="3">
        <v>0.35799999999999998</v>
      </c>
      <c r="AD54" s="3">
        <v>0.35249999999999998</v>
      </c>
      <c r="AE54" s="3">
        <v>6.4000000000000001E-2</v>
      </c>
      <c r="AF54" s="3">
        <v>0.174666667</v>
      </c>
      <c r="AG54" s="3">
        <v>0.58383333400000004</v>
      </c>
      <c r="AH54" s="3">
        <v>0.13900000000000001</v>
      </c>
      <c r="AI54" s="3">
        <v>0.75900000000000001</v>
      </c>
      <c r="AJ54" s="3">
        <v>0.80966666700000001</v>
      </c>
      <c r="AK54" s="3">
        <v>0.83850000000000002</v>
      </c>
      <c r="AL54" s="3">
        <v>0.49299999999999999</v>
      </c>
      <c r="AM54" s="3">
        <v>0.01</v>
      </c>
      <c r="AN54" s="3">
        <v>0.31266666700000001</v>
      </c>
      <c r="AO54" s="3">
        <v>0.48699999999999999</v>
      </c>
    </row>
    <row r="55" spans="1:41" x14ac:dyDescent="0.3">
      <c r="A55" s="2" t="s">
        <v>311</v>
      </c>
      <c r="B55" s="2" t="s">
        <v>326</v>
      </c>
      <c r="C55" s="3">
        <v>0</v>
      </c>
      <c r="D55" s="3">
        <v>0.63500000000000001</v>
      </c>
      <c r="E55" s="3">
        <v>0</v>
      </c>
      <c r="F55" s="3">
        <v>0.47899999999999998</v>
      </c>
      <c r="G55" s="3">
        <v>0</v>
      </c>
      <c r="H55" s="3">
        <v>0.27</v>
      </c>
      <c r="I55" s="3">
        <v>0</v>
      </c>
      <c r="J55" s="3">
        <v>0.64500000000000002</v>
      </c>
      <c r="K55" s="3">
        <v>0</v>
      </c>
      <c r="L55" s="3">
        <v>0.59699999999999998</v>
      </c>
      <c r="M55" s="3">
        <v>0</v>
      </c>
      <c r="N55" s="3">
        <v>5.6000000000000001E-2</v>
      </c>
      <c r="O55" s="3">
        <v>0</v>
      </c>
      <c r="P55" s="3">
        <v>5.6000000000000001E-2</v>
      </c>
      <c r="Q55" s="3">
        <v>0</v>
      </c>
      <c r="R55" s="3">
        <v>0.72899999999999998</v>
      </c>
      <c r="S55" s="3">
        <v>0</v>
      </c>
      <c r="T55" s="3">
        <v>0.79700000000000004</v>
      </c>
      <c r="U55" s="3">
        <v>0</v>
      </c>
      <c r="V55" s="3">
        <v>0.88600000000000001</v>
      </c>
      <c r="W55" s="3">
        <v>0</v>
      </c>
      <c r="X55" s="3">
        <v>0.65200000000000002</v>
      </c>
      <c r="Y55" s="3">
        <v>0</v>
      </c>
      <c r="Z55" s="3">
        <v>0.45600000000000002</v>
      </c>
      <c r="AA55" s="3">
        <v>0</v>
      </c>
      <c r="AB55" s="3">
        <v>0.216</v>
      </c>
      <c r="AC55" s="3">
        <v>0.28349999999999997</v>
      </c>
      <c r="AD55" s="3">
        <v>0.26800000000000002</v>
      </c>
      <c r="AE55" s="3">
        <v>5.8000000000000003E-2</v>
      </c>
      <c r="AF55" s="3">
        <v>0.196333333</v>
      </c>
      <c r="AG55" s="3">
        <v>0.52675000000000005</v>
      </c>
      <c r="AH55" s="3">
        <v>0.106</v>
      </c>
      <c r="AI55" s="3">
        <v>0.79049999999999998</v>
      </c>
      <c r="AJ55" s="3">
        <v>0.77</v>
      </c>
      <c r="AK55" s="3">
        <v>0.8</v>
      </c>
      <c r="AL55" s="3">
        <v>0.49399999999999999</v>
      </c>
      <c r="AM55" s="3">
        <v>0.01</v>
      </c>
      <c r="AN55" s="3">
        <v>0.27966666699999998</v>
      </c>
      <c r="AO55" s="3">
        <v>0.39300000000000002</v>
      </c>
    </row>
    <row r="56" spans="1:41" x14ac:dyDescent="0.3">
      <c r="A56" s="2" t="s">
        <v>311</v>
      </c>
      <c r="B56" s="2" t="s">
        <v>327</v>
      </c>
      <c r="C56" s="3">
        <v>0</v>
      </c>
      <c r="D56" s="3">
        <v>0.65800000000000003</v>
      </c>
      <c r="E56" s="3">
        <v>0</v>
      </c>
      <c r="F56" s="3">
        <v>0.505</v>
      </c>
      <c r="G56" s="3">
        <v>0</v>
      </c>
      <c r="H56" s="3">
        <v>0.33800000000000002</v>
      </c>
      <c r="I56" s="3">
        <v>0</v>
      </c>
      <c r="J56" s="3">
        <v>0.64500000000000002</v>
      </c>
      <c r="K56" s="3">
        <v>0</v>
      </c>
      <c r="L56" s="3">
        <v>0.63300000000000001</v>
      </c>
      <c r="M56" s="3">
        <v>0</v>
      </c>
      <c r="N56" s="3">
        <v>9.6000000000000002E-2</v>
      </c>
      <c r="O56" s="3">
        <v>0</v>
      </c>
      <c r="P56" s="3">
        <v>9.6000000000000002E-2</v>
      </c>
      <c r="Q56" s="3">
        <v>0</v>
      </c>
      <c r="R56" s="3">
        <v>0.73599999999999999</v>
      </c>
      <c r="S56" s="3">
        <v>0</v>
      </c>
      <c r="T56" s="3">
        <v>0.82099999999999995</v>
      </c>
      <c r="U56" s="3">
        <v>0</v>
      </c>
      <c r="V56" s="3">
        <v>0.879</v>
      </c>
      <c r="W56" s="3">
        <v>0</v>
      </c>
      <c r="X56" s="3">
        <v>0.66700000000000004</v>
      </c>
      <c r="Y56" s="3">
        <v>0</v>
      </c>
      <c r="Z56" s="3">
        <v>0.314</v>
      </c>
      <c r="AA56" s="3">
        <v>0</v>
      </c>
      <c r="AB56" s="3">
        <v>0.314</v>
      </c>
      <c r="AC56" s="3">
        <v>0.23949999999999999</v>
      </c>
      <c r="AD56" s="3">
        <v>0.191</v>
      </c>
      <c r="AE56" s="3">
        <v>7.0999999999999994E-2</v>
      </c>
      <c r="AF56" s="3">
        <v>0.23833333300000001</v>
      </c>
      <c r="AG56" s="3">
        <v>0.50391666700000004</v>
      </c>
      <c r="AH56" s="3">
        <v>0.11</v>
      </c>
      <c r="AI56" s="3">
        <v>0.8075</v>
      </c>
      <c r="AJ56" s="3">
        <v>0.76833333299999995</v>
      </c>
      <c r="AK56" s="3">
        <v>0.76800000000000002</v>
      </c>
      <c r="AL56" s="3">
        <v>0.46700000000000003</v>
      </c>
      <c r="AM56" s="3">
        <v>0.01</v>
      </c>
      <c r="AN56" s="3">
        <v>0.25866666700000002</v>
      </c>
      <c r="AO56" s="3">
        <v>0.30599999999999999</v>
      </c>
    </row>
    <row r="57" spans="1:41" x14ac:dyDescent="0.3">
      <c r="A57" s="2" t="s">
        <v>311</v>
      </c>
      <c r="B57" s="2" t="s">
        <v>328</v>
      </c>
      <c r="C57" s="3">
        <v>0</v>
      </c>
      <c r="D57" s="3">
        <v>0.66900000000000004</v>
      </c>
      <c r="E57" s="3">
        <v>0</v>
      </c>
      <c r="F57" s="3">
        <v>0.51600000000000001</v>
      </c>
      <c r="G57" s="3">
        <v>0</v>
      </c>
      <c r="H57" s="3">
        <v>0.36</v>
      </c>
      <c r="I57" s="3">
        <v>0</v>
      </c>
      <c r="J57" s="3">
        <v>0.64</v>
      </c>
      <c r="K57" s="3">
        <v>0</v>
      </c>
      <c r="L57" s="3">
        <v>0.65200000000000002</v>
      </c>
      <c r="M57" s="3">
        <v>0</v>
      </c>
      <c r="N57" s="3">
        <v>0.16900000000000001</v>
      </c>
      <c r="O57" s="3">
        <v>0</v>
      </c>
      <c r="P57" s="3">
        <v>0.16900000000000001</v>
      </c>
      <c r="Q57" s="3">
        <v>0</v>
      </c>
      <c r="R57" s="3">
        <v>0.74399999999999999</v>
      </c>
      <c r="S57" s="3">
        <v>0</v>
      </c>
      <c r="T57" s="3">
        <v>0.82899999999999996</v>
      </c>
      <c r="U57" s="3">
        <v>0</v>
      </c>
      <c r="V57" s="3">
        <v>0.86199999999999999</v>
      </c>
      <c r="W57" s="3">
        <v>0</v>
      </c>
      <c r="X57" s="3">
        <v>0.60899999999999999</v>
      </c>
      <c r="Y57" s="3">
        <v>0</v>
      </c>
      <c r="Z57" s="3">
        <v>0.214</v>
      </c>
      <c r="AA57" s="3">
        <v>0</v>
      </c>
      <c r="AB57" s="3">
        <v>0.22900000000000001</v>
      </c>
      <c r="AC57" s="3">
        <v>0.2225</v>
      </c>
      <c r="AD57" s="3">
        <v>0.14549999999999999</v>
      </c>
      <c r="AE57" s="3">
        <v>9.4E-2</v>
      </c>
      <c r="AF57" s="3">
        <v>0.28199999999999997</v>
      </c>
      <c r="AG57" s="3">
        <v>0.49091666699999997</v>
      </c>
      <c r="AH57" s="3">
        <v>0.13300000000000001</v>
      </c>
      <c r="AI57" s="3">
        <v>0.80800000000000005</v>
      </c>
      <c r="AJ57" s="3">
        <v>0.75933333300000005</v>
      </c>
      <c r="AK57" s="3">
        <v>0.745</v>
      </c>
      <c r="AL57" s="3">
        <v>0.42433333299999998</v>
      </c>
      <c r="AM57" s="3">
        <v>0.01</v>
      </c>
      <c r="AN57" s="3">
        <v>0.25</v>
      </c>
      <c r="AO57" s="3">
        <v>0.252</v>
      </c>
    </row>
    <row r="58" spans="1:41" x14ac:dyDescent="0.3">
      <c r="A58" s="2" t="s">
        <v>311</v>
      </c>
      <c r="B58" s="2" t="s">
        <v>329</v>
      </c>
      <c r="C58" s="3">
        <v>0</v>
      </c>
      <c r="D58" s="3">
        <v>0.66100000000000003</v>
      </c>
      <c r="E58" s="3">
        <v>0</v>
      </c>
      <c r="F58" s="3">
        <v>0.50900000000000001</v>
      </c>
      <c r="G58" s="3">
        <v>0</v>
      </c>
      <c r="H58" s="3">
        <v>0.40300000000000002</v>
      </c>
      <c r="I58" s="3">
        <v>0</v>
      </c>
      <c r="J58" s="3">
        <v>0.63200000000000001</v>
      </c>
      <c r="K58" s="3">
        <v>0</v>
      </c>
      <c r="L58" s="3">
        <v>0.69899999999999995</v>
      </c>
      <c r="M58" s="3">
        <v>0</v>
      </c>
      <c r="N58" s="3">
        <v>0.28100000000000003</v>
      </c>
      <c r="O58" s="3">
        <v>0</v>
      </c>
      <c r="P58" s="3">
        <v>0.28100000000000003</v>
      </c>
      <c r="Q58" s="3">
        <v>0</v>
      </c>
      <c r="R58" s="3">
        <v>0.748</v>
      </c>
      <c r="S58" s="3">
        <v>0</v>
      </c>
      <c r="T58" s="3">
        <v>0.83399999999999996</v>
      </c>
      <c r="U58" s="3">
        <v>0</v>
      </c>
      <c r="V58" s="3">
        <v>0.81399999999999995</v>
      </c>
      <c r="W58" s="3">
        <v>0</v>
      </c>
      <c r="X58" s="3">
        <v>0.55100000000000005</v>
      </c>
      <c r="Y58" s="3">
        <v>0</v>
      </c>
      <c r="Z58" s="3">
        <v>0.125</v>
      </c>
      <c r="AA58" s="3">
        <v>0</v>
      </c>
      <c r="AB58" s="3">
        <v>0.16200000000000001</v>
      </c>
      <c r="AC58" s="3">
        <v>0.21</v>
      </c>
      <c r="AD58" s="3">
        <v>0.11600000000000001</v>
      </c>
      <c r="AE58" s="3">
        <v>0.1135</v>
      </c>
      <c r="AF58" s="3">
        <v>0.31466666700000001</v>
      </c>
      <c r="AG58" s="3">
        <v>0.47616666699999999</v>
      </c>
      <c r="AH58" s="3">
        <v>0.15</v>
      </c>
      <c r="AI58" s="3">
        <v>0.80700000000000005</v>
      </c>
      <c r="AJ58" s="3">
        <v>0.74233333300000004</v>
      </c>
      <c r="AK58" s="3">
        <v>0.74</v>
      </c>
      <c r="AL58" s="3">
        <v>0.39566666700000003</v>
      </c>
      <c r="AM58" s="3">
        <v>0.01</v>
      </c>
      <c r="AN58" s="3">
        <v>0.247</v>
      </c>
      <c r="AO58" s="3">
        <v>0.20699999999999999</v>
      </c>
    </row>
    <row r="59" spans="1:41" x14ac:dyDescent="0.3">
      <c r="A59" s="2" t="s">
        <v>311</v>
      </c>
      <c r="B59" s="2" t="s">
        <v>330</v>
      </c>
      <c r="C59" s="3">
        <v>2.5999999999999999E-2</v>
      </c>
      <c r="D59" s="3">
        <v>0.625</v>
      </c>
      <c r="E59" s="3">
        <v>2.8000000000000001E-2</v>
      </c>
      <c r="F59" s="3">
        <v>0.51300000000000001</v>
      </c>
      <c r="G59" s="3">
        <v>1.7000000000000001E-2</v>
      </c>
      <c r="H59" s="3">
        <v>0.42899999999999999</v>
      </c>
      <c r="I59" s="3">
        <v>1.4999999999999999E-2</v>
      </c>
      <c r="J59" s="3">
        <v>0.60899999999999999</v>
      </c>
      <c r="K59" s="3">
        <v>2.7E-2</v>
      </c>
      <c r="L59" s="3">
        <v>0.77900000000000003</v>
      </c>
      <c r="M59" s="3">
        <v>1.2999999999999999E-2</v>
      </c>
      <c r="N59" s="3">
        <v>0.39900000000000002</v>
      </c>
      <c r="O59" s="3">
        <v>0</v>
      </c>
      <c r="P59" s="3">
        <v>0.39900000000000002</v>
      </c>
      <c r="Q59" s="3">
        <v>2.5999999999999999E-2</v>
      </c>
      <c r="R59" s="3">
        <v>0.74199999999999999</v>
      </c>
      <c r="S59" s="3">
        <v>2.8000000000000001E-2</v>
      </c>
      <c r="T59" s="3">
        <v>0.83299999999999996</v>
      </c>
      <c r="U59" s="3">
        <v>2.8000000000000001E-2</v>
      </c>
      <c r="V59" s="3">
        <v>0.69399999999999995</v>
      </c>
      <c r="W59" s="3">
        <v>8.9999999999999993E-3</v>
      </c>
      <c r="X59" s="3">
        <v>0.51600000000000001</v>
      </c>
      <c r="Y59" s="3">
        <v>1.0999999999999999E-2</v>
      </c>
      <c r="Z59" s="3">
        <v>7.5999999999999998E-2</v>
      </c>
      <c r="AA59" s="3">
        <v>8.0000000000000002E-3</v>
      </c>
      <c r="AB59" s="3">
        <v>0.113</v>
      </c>
      <c r="AC59" s="3">
        <v>0.19550000000000001</v>
      </c>
      <c r="AD59" s="3">
        <v>9.5500000000000002E-2</v>
      </c>
      <c r="AE59" s="3">
        <v>0.13800000000000001</v>
      </c>
      <c r="AF59" s="3">
        <v>0.33800000000000002</v>
      </c>
      <c r="AG59" s="3">
        <v>0.45424999999999999</v>
      </c>
      <c r="AH59" s="3">
        <v>0.17</v>
      </c>
      <c r="AI59" s="3">
        <v>0.8</v>
      </c>
      <c r="AJ59" s="3">
        <v>0.71299999999999997</v>
      </c>
      <c r="AK59" s="3">
        <v>0.74</v>
      </c>
      <c r="AL59" s="3">
        <v>0.34733333300000002</v>
      </c>
      <c r="AM59" s="3">
        <v>0.01</v>
      </c>
      <c r="AN59" s="3">
        <v>0.23933333300000001</v>
      </c>
      <c r="AO59" s="3">
        <v>0.16800000000000001</v>
      </c>
    </row>
    <row r="60" spans="1:41" x14ac:dyDescent="0.3">
      <c r="A60" s="2" t="s">
        <v>311</v>
      </c>
      <c r="B60" s="2" t="s">
        <v>331</v>
      </c>
      <c r="C60" s="3">
        <v>0.14199999999999999</v>
      </c>
      <c r="D60" s="3">
        <v>0.58099999999999996</v>
      </c>
      <c r="E60" s="3">
        <v>0.17399999999999999</v>
      </c>
      <c r="F60" s="3">
        <v>0.52300000000000002</v>
      </c>
      <c r="G60" s="3">
        <v>0.124</v>
      </c>
      <c r="H60" s="3">
        <v>0.46600000000000003</v>
      </c>
      <c r="I60" s="3">
        <v>0.122</v>
      </c>
      <c r="J60" s="3">
        <v>0.58799999999999997</v>
      </c>
      <c r="K60" s="3">
        <v>0.16800000000000001</v>
      </c>
      <c r="L60" s="3">
        <v>0.86499999999999999</v>
      </c>
      <c r="M60" s="3">
        <v>0.121</v>
      </c>
      <c r="N60" s="3">
        <v>0.46100000000000002</v>
      </c>
      <c r="O60" s="3">
        <v>1.0999999999999999E-2</v>
      </c>
      <c r="P60" s="3">
        <v>0.46100000000000002</v>
      </c>
      <c r="Q60" s="3">
        <v>0.13800000000000001</v>
      </c>
      <c r="R60" s="3">
        <v>0.77500000000000002</v>
      </c>
      <c r="S60" s="3">
        <v>0.21099999999999999</v>
      </c>
      <c r="T60" s="3">
        <v>0.84299999999999997</v>
      </c>
      <c r="U60" s="3">
        <v>0.21099999999999999</v>
      </c>
      <c r="V60" s="3">
        <v>0.44400000000000001</v>
      </c>
      <c r="W60" s="3">
        <v>0.13900000000000001</v>
      </c>
      <c r="X60" s="3">
        <v>0.51</v>
      </c>
      <c r="Y60" s="3">
        <v>9.6000000000000002E-2</v>
      </c>
      <c r="Z60" s="3">
        <v>5.8000000000000003E-2</v>
      </c>
      <c r="AA60" s="3">
        <v>9.1999999999999998E-2</v>
      </c>
      <c r="AB60" s="3">
        <v>8.7999999999999995E-2</v>
      </c>
      <c r="AC60" s="3">
        <v>0.17599999999999999</v>
      </c>
      <c r="AD60" s="3">
        <v>7.5499999999999998E-2</v>
      </c>
      <c r="AE60" s="3">
        <v>0.14349999999999999</v>
      </c>
      <c r="AF60" s="3">
        <v>0.31433333299999999</v>
      </c>
      <c r="AG60" s="3">
        <v>0.414333334</v>
      </c>
      <c r="AH60" s="3">
        <v>0.16800000000000001</v>
      </c>
      <c r="AI60" s="3">
        <v>0.78900000000000003</v>
      </c>
      <c r="AJ60" s="3">
        <v>0.65266666699999998</v>
      </c>
      <c r="AK60" s="3">
        <v>0.71350000000000002</v>
      </c>
      <c r="AL60" s="3">
        <v>0.28866666699999999</v>
      </c>
      <c r="AM60" s="3">
        <v>0.01</v>
      </c>
      <c r="AN60" s="3">
        <v>0.22333333299999999</v>
      </c>
      <c r="AO60" s="3">
        <v>0.13400000000000001</v>
      </c>
    </row>
    <row r="61" spans="1:41" x14ac:dyDescent="0.3">
      <c r="A61" s="2" t="s">
        <v>311</v>
      </c>
      <c r="B61" s="2" t="s">
        <v>332</v>
      </c>
      <c r="C61" s="3">
        <v>0.32</v>
      </c>
      <c r="D61" s="3">
        <v>0.77400000000000002</v>
      </c>
      <c r="E61" s="3">
        <v>0.379</v>
      </c>
      <c r="F61" s="3">
        <v>0.57599999999999996</v>
      </c>
      <c r="G61" s="3">
        <v>0.245</v>
      </c>
      <c r="H61" s="3">
        <v>0.505</v>
      </c>
      <c r="I61" s="3">
        <v>0.33900000000000002</v>
      </c>
      <c r="J61" s="3">
        <v>0.84</v>
      </c>
      <c r="K61" s="3">
        <v>0.32200000000000001</v>
      </c>
      <c r="L61" s="3">
        <v>0.88400000000000001</v>
      </c>
      <c r="M61" s="3">
        <v>0.3</v>
      </c>
      <c r="N61" s="3">
        <v>0.5</v>
      </c>
      <c r="O61" s="3">
        <v>3.3000000000000002E-2</v>
      </c>
      <c r="P61" s="3">
        <v>0.5</v>
      </c>
      <c r="Q61" s="3">
        <v>0.25600000000000001</v>
      </c>
      <c r="R61" s="3">
        <v>0.873</v>
      </c>
      <c r="S61" s="3">
        <v>0.41899999999999998</v>
      </c>
      <c r="T61" s="3">
        <v>0.91500000000000004</v>
      </c>
      <c r="U61" s="3">
        <v>0.42</v>
      </c>
      <c r="V61" s="3">
        <v>0.217</v>
      </c>
      <c r="W61" s="3">
        <v>0.34599999999999997</v>
      </c>
      <c r="X61" s="3">
        <v>0.54100000000000004</v>
      </c>
      <c r="Y61" s="3">
        <v>0.29299999999999998</v>
      </c>
      <c r="Z61" s="3">
        <v>6.8000000000000005E-2</v>
      </c>
      <c r="AA61" s="3">
        <v>0.23400000000000001</v>
      </c>
      <c r="AB61" s="3">
        <v>8.3000000000000004E-2</v>
      </c>
      <c r="AC61" s="3">
        <v>0.1555</v>
      </c>
      <c r="AD61" s="3">
        <v>6.8500000000000005E-2</v>
      </c>
      <c r="AE61" s="3">
        <v>0.157</v>
      </c>
      <c r="AF61" s="3">
        <v>0.32500000000000001</v>
      </c>
      <c r="AG61" s="3">
        <v>0.40058333400000001</v>
      </c>
      <c r="AH61" s="3">
        <v>0.16300000000000001</v>
      </c>
      <c r="AI61" s="3">
        <v>0.77749999999999997</v>
      </c>
      <c r="AJ61" s="3">
        <v>0.64566666699999997</v>
      </c>
      <c r="AK61" s="3">
        <v>0.73199999999999998</v>
      </c>
      <c r="AL61" s="3">
        <v>0.24566666700000001</v>
      </c>
      <c r="AM61" s="3">
        <v>0.01</v>
      </c>
      <c r="AN61" s="3">
        <v>0.21566666700000001</v>
      </c>
      <c r="AO61" s="3">
        <v>9.0999999999999998E-2</v>
      </c>
    </row>
    <row r="62" spans="1:41" x14ac:dyDescent="0.3">
      <c r="A62" s="2" t="s">
        <v>311</v>
      </c>
      <c r="B62" s="2" t="s">
        <v>333</v>
      </c>
      <c r="C62" s="3">
        <v>0.436</v>
      </c>
      <c r="D62" s="3">
        <v>0.84299999999999997</v>
      </c>
      <c r="E62" s="3">
        <v>0.501</v>
      </c>
      <c r="F62" s="3">
        <v>0.67700000000000005</v>
      </c>
      <c r="G62" s="3">
        <v>0.36499999999999999</v>
      </c>
      <c r="H62" s="3">
        <v>0.58299999999999996</v>
      </c>
      <c r="I62" s="3">
        <v>0.52700000000000002</v>
      </c>
      <c r="J62" s="3">
        <v>0.89600000000000002</v>
      </c>
      <c r="K62" s="3">
        <v>0.504</v>
      </c>
      <c r="L62" s="3">
        <v>0.89900000000000002</v>
      </c>
      <c r="M62" s="3">
        <v>0.52</v>
      </c>
      <c r="N62" s="3">
        <v>0.65900000000000003</v>
      </c>
      <c r="O62" s="3">
        <v>6.6000000000000003E-2</v>
      </c>
      <c r="P62" s="3">
        <v>0.65900000000000003</v>
      </c>
      <c r="Q62" s="3">
        <v>0.40899999999999997</v>
      </c>
      <c r="R62" s="3">
        <v>0.91200000000000003</v>
      </c>
      <c r="S62" s="3">
        <v>0.58799999999999997</v>
      </c>
      <c r="T62" s="3">
        <v>0.93300000000000005</v>
      </c>
      <c r="U62" s="3">
        <v>0.58899999999999997</v>
      </c>
      <c r="V62" s="3">
        <v>0.21099999999999999</v>
      </c>
      <c r="W62" s="3">
        <v>0.58299999999999996</v>
      </c>
      <c r="X62" s="3">
        <v>0.6</v>
      </c>
      <c r="Y62" s="3">
        <v>0.55100000000000005</v>
      </c>
      <c r="Z62" s="3">
        <v>0.10100000000000001</v>
      </c>
      <c r="AA62" s="3">
        <v>0.54600000000000004</v>
      </c>
      <c r="AB62" s="3">
        <v>0.08</v>
      </c>
      <c r="AC62" s="3">
        <v>0.13750000000000001</v>
      </c>
      <c r="AD62" s="3">
        <v>6.9500000000000006E-2</v>
      </c>
      <c r="AE62" s="3">
        <v>0.18049999999999999</v>
      </c>
      <c r="AF62" s="3">
        <v>0.33633333300000001</v>
      </c>
      <c r="AG62" s="3">
        <v>0.37658333399999999</v>
      </c>
      <c r="AH62" s="3">
        <v>0.16</v>
      </c>
      <c r="AI62" s="3">
        <v>0.78949999999999998</v>
      </c>
      <c r="AJ62" s="3">
        <v>0.61566666699999995</v>
      </c>
      <c r="AK62" s="3">
        <v>0.72799999999999998</v>
      </c>
      <c r="AL62" s="3">
        <v>0.19666666699999999</v>
      </c>
      <c r="AM62" s="3">
        <v>0.01</v>
      </c>
      <c r="AN62" s="3">
        <v>0.201333333</v>
      </c>
      <c r="AO62" s="3">
        <v>5.8999999999999997E-2</v>
      </c>
    </row>
    <row r="63" spans="1:41" x14ac:dyDescent="0.3">
      <c r="A63" s="2" t="s">
        <v>311</v>
      </c>
      <c r="B63" s="2" t="s">
        <v>334</v>
      </c>
      <c r="C63" s="3">
        <v>0.63300000000000001</v>
      </c>
      <c r="D63" s="3">
        <v>0.878</v>
      </c>
      <c r="E63" s="3">
        <v>0.55900000000000005</v>
      </c>
      <c r="F63" s="3">
        <v>0.70099999999999996</v>
      </c>
      <c r="G63" s="3">
        <v>0.46400000000000002</v>
      </c>
      <c r="H63" s="3">
        <v>0.60199999999999998</v>
      </c>
      <c r="I63" s="3">
        <v>0.59099999999999997</v>
      </c>
      <c r="J63" s="3">
        <v>0.89900000000000002</v>
      </c>
      <c r="K63" s="3">
        <v>0.63700000000000001</v>
      </c>
      <c r="L63" s="3">
        <v>0.91100000000000003</v>
      </c>
      <c r="M63" s="3">
        <v>0.61599999999999999</v>
      </c>
      <c r="N63" s="3">
        <v>0.78800000000000003</v>
      </c>
      <c r="O63" s="3">
        <v>0.14099999999999999</v>
      </c>
      <c r="P63" s="3">
        <v>0.78800000000000003</v>
      </c>
      <c r="Q63" s="3">
        <v>0.51500000000000001</v>
      </c>
      <c r="R63" s="3">
        <v>0.92800000000000005</v>
      </c>
      <c r="S63" s="3">
        <v>0.69099999999999995</v>
      </c>
      <c r="T63" s="3">
        <v>0.92900000000000005</v>
      </c>
      <c r="U63" s="3">
        <v>0.69199999999999995</v>
      </c>
      <c r="V63" s="3">
        <v>0.21199999999999999</v>
      </c>
      <c r="W63" s="3">
        <v>0.69799999999999995</v>
      </c>
      <c r="X63" s="3">
        <v>0.56299999999999994</v>
      </c>
      <c r="Y63" s="3">
        <v>0.64600000000000002</v>
      </c>
      <c r="Z63" s="3">
        <v>0.13800000000000001</v>
      </c>
      <c r="AA63" s="3">
        <v>0.68</v>
      </c>
      <c r="AB63" s="3">
        <v>6.9000000000000006E-2</v>
      </c>
      <c r="AC63" s="3">
        <v>0.1265</v>
      </c>
      <c r="AD63" s="3">
        <v>7.4999999999999997E-2</v>
      </c>
      <c r="AE63" s="3">
        <v>0.22650000000000001</v>
      </c>
      <c r="AF63" s="3">
        <v>0.35399999999999998</v>
      </c>
      <c r="AG63" s="3">
        <v>0.33941666700000001</v>
      </c>
      <c r="AH63" s="3">
        <v>0.161</v>
      </c>
      <c r="AI63" s="3">
        <v>0.83199999999999996</v>
      </c>
      <c r="AJ63" s="3">
        <v>0.55233333299999998</v>
      </c>
      <c r="AK63" s="3">
        <v>0.70650000000000002</v>
      </c>
      <c r="AL63" s="3">
        <v>0.14933333300000001</v>
      </c>
      <c r="AM63" s="3">
        <v>0.01</v>
      </c>
      <c r="AN63" s="3">
        <v>0.182</v>
      </c>
      <c r="AO63" s="3">
        <v>3.9E-2</v>
      </c>
    </row>
    <row r="64" spans="1:41" x14ac:dyDescent="0.3">
      <c r="A64" s="2" t="s">
        <v>311</v>
      </c>
      <c r="B64" s="2" t="s">
        <v>335</v>
      </c>
      <c r="C64" s="3">
        <v>0.73199999999999998</v>
      </c>
      <c r="D64" s="3">
        <v>0.90300000000000002</v>
      </c>
      <c r="E64" s="3">
        <v>0.57099999999999995</v>
      </c>
      <c r="F64" s="3">
        <v>0.73599999999999999</v>
      </c>
      <c r="G64" s="3">
        <v>0.53200000000000003</v>
      </c>
      <c r="H64" s="3">
        <v>0.628</v>
      </c>
      <c r="I64" s="3">
        <v>0.57999999999999996</v>
      </c>
      <c r="J64" s="3">
        <v>0.876</v>
      </c>
      <c r="K64" s="3">
        <v>0.73099999999999998</v>
      </c>
      <c r="L64" s="3">
        <v>0.91</v>
      </c>
      <c r="M64" s="3">
        <v>0.67700000000000005</v>
      </c>
      <c r="N64" s="3">
        <v>0.84699999999999998</v>
      </c>
      <c r="O64" s="3">
        <v>0.19700000000000001</v>
      </c>
      <c r="P64" s="3">
        <v>0.84699999999999998</v>
      </c>
      <c r="Q64" s="3">
        <v>0.621</v>
      </c>
      <c r="R64" s="3">
        <v>0.91900000000000004</v>
      </c>
      <c r="S64" s="3">
        <v>0.75800000000000001</v>
      </c>
      <c r="T64" s="3">
        <v>0.89</v>
      </c>
      <c r="U64" s="3">
        <v>0.75800000000000001</v>
      </c>
      <c r="V64" s="3">
        <v>0.19400000000000001</v>
      </c>
      <c r="W64" s="3">
        <v>0.75700000000000001</v>
      </c>
      <c r="X64" s="3">
        <v>0.443</v>
      </c>
      <c r="Y64" s="3">
        <v>0.64700000000000002</v>
      </c>
      <c r="Z64" s="3">
        <v>0.17</v>
      </c>
      <c r="AA64" s="3">
        <v>0.74199999999999999</v>
      </c>
      <c r="AB64" s="3">
        <v>5.1999999999999998E-2</v>
      </c>
      <c r="AC64" s="3">
        <v>0.1245</v>
      </c>
      <c r="AD64" s="3">
        <v>8.1500000000000003E-2</v>
      </c>
      <c r="AE64" s="3">
        <v>0.28399999999999997</v>
      </c>
      <c r="AF64" s="3">
        <v>0.38300000000000001</v>
      </c>
      <c r="AG64" s="3">
        <v>0.29558333399999998</v>
      </c>
      <c r="AH64" s="3">
        <v>0.16700000000000001</v>
      </c>
      <c r="AI64" s="3">
        <v>0.84950000000000003</v>
      </c>
      <c r="AJ64" s="3">
        <v>0.46666666699999998</v>
      </c>
      <c r="AK64" s="3">
        <v>0.66049999999999998</v>
      </c>
      <c r="AL64" s="3">
        <v>0.12166666700000001</v>
      </c>
      <c r="AM64" s="3">
        <v>0.01</v>
      </c>
      <c r="AN64" s="3">
        <v>0.17100000000000001</v>
      </c>
      <c r="AO64" s="3">
        <v>2.5000000000000001E-2</v>
      </c>
    </row>
    <row r="65" spans="1:41" x14ac:dyDescent="0.3">
      <c r="A65" s="2" t="s">
        <v>311</v>
      </c>
      <c r="B65" s="2" t="s">
        <v>336</v>
      </c>
      <c r="C65" s="3">
        <v>0.70899999999999996</v>
      </c>
      <c r="D65" s="3">
        <v>0.90900000000000003</v>
      </c>
      <c r="E65" s="3">
        <v>0.53500000000000003</v>
      </c>
      <c r="F65" s="3">
        <v>0.76500000000000001</v>
      </c>
      <c r="G65" s="3">
        <v>0.57999999999999996</v>
      </c>
      <c r="H65" s="3">
        <v>0.67400000000000004</v>
      </c>
      <c r="I65" s="3">
        <v>0.55100000000000005</v>
      </c>
      <c r="J65" s="3">
        <v>0.81899999999999995</v>
      </c>
      <c r="K65" s="3">
        <v>0.74399999999999999</v>
      </c>
      <c r="L65" s="3">
        <v>0.91400000000000003</v>
      </c>
      <c r="M65" s="3">
        <v>0.69699999999999995</v>
      </c>
      <c r="N65" s="3">
        <v>0.89100000000000001</v>
      </c>
      <c r="O65" s="3">
        <v>0.23300000000000001</v>
      </c>
      <c r="P65" s="3">
        <v>0.89100000000000001</v>
      </c>
      <c r="Q65" s="3">
        <v>0.69199999999999995</v>
      </c>
      <c r="R65" s="3">
        <v>0.90100000000000002</v>
      </c>
      <c r="S65" s="3">
        <v>0.76100000000000001</v>
      </c>
      <c r="T65" s="3">
        <v>0.79900000000000004</v>
      </c>
      <c r="U65" s="3">
        <v>0.76100000000000001</v>
      </c>
      <c r="V65" s="3">
        <v>0.192</v>
      </c>
      <c r="W65" s="3">
        <v>0.76200000000000001</v>
      </c>
      <c r="X65" s="3">
        <v>0.30399999999999999</v>
      </c>
      <c r="Y65" s="3">
        <v>0.61299999999999999</v>
      </c>
      <c r="Z65" s="3">
        <v>0.19700000000000001</v>
      </c>
      <c r="AA65" s="3">
        <v>0.73699999999999999</v>
      </c>
      <c r="AB65" s="3">
        <v>3.4000000000000002E-2</v>
      </c>
      <c r="AC65" s="3">
        <v>0.1225</v>
      </c>
      <c r="AD65" s="3">
        <v>8.0500000000000002E-2</v>
      </c>
      <c r="AE65" s="3">
        <v>0.33650000000000002</v>
      </c>
      <c r="AF65" s="3">
        <v>0.41399999999999998</v>
      </c>
      <c r="AG65" s="3">
        <v>0.26141666699999999</v>
      </c>
      <c r="AH65" s="3">
        <v>0.17399999999999999</v>
      </c>
      <c r="AI65" s="3">
        <v>0.84850000000000003</v>
      </c>
      <c r="AJ65" s="3">
        <v>0.40033333300000001</v>
      </c>
      <c r="AK65" s="3">
        <v>0.59150000000000003</v>
      </c>
      <c r="AL65" s="3">
        <v>0.112666667</v>
      </c>
      <c r="AM65" s="3">
        <v>0.01</v>
      </c>
      <c r="AN65" s="3">
        <v>0.16466666699999999</v>
      </c>
      <c r="AO65" s="3">
        <v>1.7000000000000001E-2</v>
      </c>
    </row>
    <row r="66" spans="1:41" x14ac:dyDescent="0.3">
      <c r="A66" s="2" t="s">
        <v>311</v>
      </c>
      <c r="B66" s="2" t="s">
        <v>337</v>
      </c>
      <c r="C66" s="3">
        <v>0.56899999999999995</v>
      </c>
      <c r="D66" s="3">
        <v>0.89300000000000002</v>
      </c>
      <c r="E66" s="3">
        <v>0.47299999999999998</v>
      </c>
      <c r="F66" s="3">
        <v>0.752</v>
      </c>
      <c r="G66" s="3">
        <v>0.59499999999999997</v>
      </c>
      <c r="H66" s="3">
        <v>0.70399999999999996</v>
      </c>
      <c r="I66" s="3">
        <v>0.5</v>
      </c>
      <c r="J66" s="3">
        <v>0.68300000000000005</v>
      </c>
      <c r="K66" s="3">
        <v>0.68899999999999995</v>
      </c>
      <c r="L66" s="3">
        <v>0.92</v>
      </c>
      <c r="M66" s="3">
        <v>0.66700000000000004</v>
      </c>
      <c r="N66" s="3">
        <v>0.90300000000000002</v>
      </c>
      <c r="O66" s="3">
        <v>0.219</v>
      </c>
      <c r="P66" s="3">
        <v>0.90300000000000002</v>
      </c>
      <c r="Q66" s="3">
        <v>0.66500000000000004</v>
      </c>
      <c r="R66" s="3">
        <v>0.85</v>
      </c>
      <c r="S66" s="3">
        <v>0.70899999999999996</v>
      </c>
      <c r="T66" s="3">
        <v>0.621</v>
      </c>
      <c r="U66" s="3">
        <v>0.70899999999999996</v>
      </c>
      <c r="V66" s="3">
        <v>0.17599999999999999</v>
      </c>
      <c r="W66" s="3">
        <v>0.70799999999999996</v>
      </c>
      <c r="X66" s="3">
        <v>0.22700000000000001</v>
      </c>
      <c r="Y66" s="3">
        <v>0.55400000000000005</v>
      </c>
      <c r="Z66" s="3">
        <v>0.215</v>
      </c>
      <c r="AA66" s="3">
        <v>0.68400000000000005</v>
      </c>
      <c r="AB66" s="3">
        <v>3.6999999999999998E-2</v>
      </c>
      <c r="AC66" s="3">
        <v>0.11899999999999999</v>
      </c>
      <c r="AD66" s="3">
        <v>7.3999999999999996E-2</v>
      </c>
      <c r="AE66" s="3">
        <v>0.36799999999999999</v>
      </c>
      <c r="AF66" s="3">
        <v>0.44166666700000001</v>
      </c>
      <c r="AG66" s="3">
        <v>0.233333334</v>
      </c>
      <c r="AH66" s="3">
        <v>0.183</v>
      </c>
      <c r="AI66" s="3">
        <v>0.83599999999999997</v>
      </c>
      <c r="AJ66" s="3">
        <v>0.34766666699999998</v>
      </c>
      <c r="AK66" s="3">
        <v>0.53100000000000003</v>
      </c>
      <c r="AL66" s="3">
        <v>0.109</v>
      </c>
      <c r="AM66" s="3">
        <v>0.01</v>
      </c>
      <c r="AN66" s="3">
        <v>0.15766666700000001</v>
      </c>
      <c r="AO66" s="3">
        <v>1.0999999999999999E-2</v>
      </c>
    </row>
    <row r="67" spans="1:41" x14ac:dyDescent="0.3">
      <c r="A67" s="2" t="s">
        <v>311</v>
      </c>
      <c r="B67" s="2" t="s">
        <v>338</v>
      </c>
      <c r="C67" s="3">
        <v>0.39500000000000002</v>
      </c>
      <c r="D67" s="3">
        <v>0.83499999999999996</v>
      </c>
      <c r="E67" s="3">
        <v>0.38900000000000001</v>
      </c>
      <c r="F67" s="3">
        <v>0.68</v>
      </c>
      <c r="G67" s="3">
        <v>0.46600000000000003</v>
      </c>
      <c r="H67" s="3">
        <v>0.69399999999999995</v>
      </c>
      <c r="I67" s="3">
        <v>0.34699999999999998</v>
      </c>
      <c r="J67" s="3">
        <v>0.505</v>
      </c>
      <c r="K67" s="3">
        <v>0.56299999999999994</v>
      </c>
      <c r="L67" s="3">
        <v>0.91800000000000004</v>
      </c>
      <c r="M67" s="3">
        <v>0.56599999999999995</v>
      </c>
      <c r="N67" s="3">
        <v>0.91300000000000003</v>
      </c>
      <c r="O67" s="3">
        <v>0.157</v>
      </c>
      <c r="P67" s="3">
        <v>0.91300000000000003</v>
      </c>
      <c r="Q67" s="3">
        <v>0.56999999999999995</v>
      </c>
      <c r="R67" s="3">
        <v>0.73</v>
      </c>
      <c r="S67" s="3">
        <v>0.60199999999999998</v>
      </c>
      <c r="T67" s="3">
        <v>0.442</v>
      </c>
      <c r="U67" s="3">
        <v>0.60199999999999998</v>
      </c>
      <c r="V67" s="3">
        <v>0.14199999999999999</v>
      </c>
      <c r="W67" s="3">
        <v>0.60399999999999998</v>
      </c>
      <c r="X67" s="3">
        <v>0.19900000000000001</v>
      </c>
      <c r="Y67" s="3">
        <v>0.46500000000000002</v>
      </c>
      <c r="Z67" s="3">
        <v>0.22700000000000001</v>
      </c>
      <c r="AA67" s="3">
        <v>0.58499999999999996</v>
      </c>
      <c r="AB67" s="3">
        <v>6.2E-2</v>
      </c>
      <c r="AC67" s="3">
        <v>0.1205</v>
      </c>
      <c r="AD67" s="3">
        <v>6.9500000000000006E-2</v>
      </c>
      <c r="AE67" s="3">
        <v>0.38400000000000001</v>
      </c>
      <c r="AF67" s="3">
        <v>0.46100000000000002</v>
      </c>
      <c r="AG67" s="3">
        <v>0.20408333400000001</v>
      </c>
      <c r="AH67" s="3">
        <v>0.191</v>
      </c>
      <c r="AI67" s="3">
        <v>0.86250000000000004</v>
      </c>
      <c r="AJ67" s="3">
        <v>0.28766666699999999</v>
      </c>
      <c r="AK67" s="3">
        <v>0.48099999999999998</v>
      </c>
      <c r="AL67" s="3">
        <v>9.7666666999999999E-2</v>
      </c>
      <c r="AM67" s="3">
        <v>0.01</v>
      </c>
      <c r="AN67" s="3">
        <v>0.16</v>
      </c>
      <c r="AO67" s="3">
        <v>6.0000000000000001E-3</v>
      </c>
    </row>
    <row r="68" spans="1:41" x14ac:dyDescent="0.3">
      <c r="A68" s="2" t="s">
        <v>311</v>
      </c>
      <c r="B68" s="2" t="s">
        <v>339</v>
      </c>
      <c r="C68" s="3">
        <v>0.24</v>
      </c>
      <c r="D68" s="3">
        <v>0.69499999999999995</v>
      </c>
      <c r="E68" s="3">
        <v>0.27300000000000002</v>
      </c>
      <c r="F68" s="3">
        <v>0.56499999999999995</v>
      </c>
      <c r="G68" s="3">
        <v>0.309</v>
      </c>
      <c r="H68" s="3">
        <v>0.66300000000000003</v>
      </c>
      <c r="I68" s="3">
        <v>0.20300000000000001</v>
      </c>
      <c r="J68" s="3">
        <v>0.374</v>
      </c>
      <c r="K68" s="3">
        <v>0.36799999999999999</v>
      </c>
      <c r="L68" s="3">
        <v>0.90300000000000002</v>
      </c>
      <c r="M68" s="3">
        <v>0.376</v>
      </c>
      <c r="N68" s="3">
        <v>0.91</v>
      </c>
      <c r="O68" s="3">
        <v>0.109</v>
      </c>
      <c r="P68" s="3">
        <v>0.91</v>
      </c>
      <c r="Q68" s="3">
        <v>0.42599999999999999</v>
      </c>
      <c r="R68" s="3">
        <v>0.54600000000000004</v>
      </c>
      <c r="S68" s="3">
        <v>0.437</v>
      </c>
      <c r="T68" s="3">
        <v>0.32</v>
      </c>
      <c r="U68" s="3">
        <v>0.437</v>
      </c>
      <c r="V68" s="3">
        <v>9.6000000000000002E-2</v>
      </c>
      <c r="W68" s="3">
        <v>0.45</v>
      </c>
      <c r="X68" s="3">
        <v>0.186</v>
      </c>
      <c r="Y68" s="3">
        <v>0.34200000000000003</v>
      </c>
      <c r="Z68" s="3">
        <v>0.221</v>
      </c>
      <c r="AA68" s="3">
        <v>0.44</v>
      </c>
      <c r="AB68" s="3">
        <v>9.6000000000000002E-2</v>
      </c>
      <c r="AC68" s="3">
        <v>0.127</v>
      </c>
      <c r="AD68" s="3">
        <v>7.1499999999999994E-2</v>
      </c>
      <c r="AE68" s="3">
        <v>0.3785</v>
      </c>
      <c r="AF68" s="3">
        <v>0.46466666699999998</v>
      </c>
      <c r="AG68" s="3">
        <v>0.18433333399999999</v>
      </c>
      <c r="AH68" s="3">
        <v>0.189</v>
      </c>
      <c r="AI68" s="3">
        <v>0.85199999999999998</v>
      </c>
      <c r="AJ68" s="3">
        <v>0.241666667</v>
      </c>
      <c r="AK68" s="3">
        <v>0.42799999999999999</v>
      </c>
      <c r="AL68" s="3">
        <v>8.8666667000000005E-2</v>
      </c>
      <c r="AM68" s="3">
        <v>0.01</v>
      </c>
      <c r="AN68" s="3">
        <v>0.174666667</v>
      </c>
      <c r="AO68" s="3">
        <v>4.0000000000000001E-3</v>
      </c>
    </row>
    <row r="69" spans="1:41" x14ac:dyDescent="0.3">
      <c r="A69" s="2" t="s">
        <v>311</v>
      </c>
      <c r="B69" s="2" t="s">
        <v>340</v>
      </c>
      <c r="C69" s="3">
        <v>0.112</v>
      </c>
      <c r="D69" s="3">
        <v>0.53100000000000003</v>
      </c>
      <c r="E69" s="3">
        <v>0.15</v>
      </c>
      <c r="F69" s="3">
        <v>0.45400000000000001</v>
      </c>
      <c r="G69" s="3">
        <v>0.17699999999999999</v>
      </c>
      <c r="H69" s="3">
        <v>0.65400000000000003</v>
      </c>
      <c r="I69" s="3">
        <v>0.11</v>
      </c>
      <c r="J69" s="3">
        <v>0.23200000000000001</v>
      </c>
      <c r="K69" s="3">
        <v>0.17499999999999999</v>
      </c>
      <c r="L69" s="3">
        <v>0.88</v>
      </c>
      <c r="M69" s="3">
        <v>0.219</v>
      </c>
      <c r="N69" s="3">
        <v>0.90400000000000003</v>
      </c>
      <c r="O69" s="3">
        <v>4.8000000000000001E-2</v>
      </c>
      <c r="P69" s="3">
        <v>0.90400000000000003</v>
      </c>
      <c r="Q69" s="3">
        <v>0.221</v>
      </c>
      <c r="R69" s="3">
        <v>0.32300000000000001</v>
      </c>
      <c r="S69" s="3">
        <v>0.22600000000000001</v>
      </c>
      <c r="T69" s="3">
        <v>0.192</v>
      </c>
      <c r="U69" s="3">
        <v>0.22600000000000001</v>
      </c>
      <c r="V69" s="3">
        <v>5.3999999999999999E-2</v>
      </c>
      <c r="W69" s="3">
        <v>0.252</v>
      </c>
      <c r="X69" s="3">
        <v>0.153</v>
      </c>
      <c r="Y69" s="3">
        <v>0.19</v>
      </c>
      <c r="Z69" s="3">
        <v>0.185</v>
      </c>
      <c r="AA69" s="3">
        <v>0.25800000000000001</v>
      </c>
      <c r="AB69" s="3">
        <v>0.112</v>
      </c>
      <c r="AC69" s="3">
        <v>0.14349999999999999</v>
      </c>
      <c r="AD69" s="3">
        <v>8.6999999999999994E-2</v>
      </c>
      <c r="AE69" s="3">
        <v>0.39550000000000002</v>
      </c>
      <c r="AF69" s="3">
        <v>0.47133333300000002</v>
      </c>
      <c r="AG69" s="3">
        <v>0.17908333400000001</v>
      </c>
      <c r="AH69" s="3">
        <v>0.19</v>
      </c>
      <c r="AI69" s="3">
        <v>0.84399999999999997</v>
      </c>
      <c r="AJ69" s="3">
        <v>0.21466666700000001</v>
      </c>
      <c r="AK69" s="3">
        <v>0.3775</v>
      </c>
      <c r="AL69" s="3">
        <v>8.4333332999999996E-2</v>
      </c>
      <c r="AM69" s="3">
        <v>0.01</v>
      </c>
      <c r="AN69" s="3">
        <v>0.20733333300000001</v>
      </c>
      <c r="AO69" s="3">
        <v>6.0000000000000001E-3</v>
      </c>
    </row>
    <row r="70" spans="1:41" x14ac:dyDescent="0.3">
      <c r="A70" s="2" t="s">
        <v>311</v>
      </c>
      <c r="B70" s="2" t="s">
        <v>341</v>
      </c>
      <c r="C70" s="3">
        <v>0.02</v>
      </c>
      <c r="D70" s="3">
        <v>0.43</v>
      </c>
      <c r="E70" s="3">
        <v>3.5000000000000003E-2</v>
      </c>
      <c r="F70" s="3">
        <v>0.42899999999999999</v>
      </c>
      <c r="G70" s="3">
        <v>3.7999999999999999E-2</v>
      </c>
      <c r="H70" s="3">
        <v>0.624</v>
      </c>
      <c r="I70" s="3">
        <v>2.8000000000000001E-2</v>
      </c>
      <c r="J70" s="3">
        <v>0.183</v>
      </c>
      <c r="K70" s="3">
        <v>3.4000000000000002E-2</v>
      </c>
      <c r="L70" s="3">
        <v>0.86399999999999999</v>
      </c>
      <c r="M70" s="3">
        <v>5.5E-2</v>
      </c>
      <c r="N70" s="3">
        <v>0.91500000000000004</v>
      </c>
      <c r="O70" s="3">
        <v>8.0000000000000002E-3</v>
      </c>
      <c r="P70" s="3">
        <v>0.91500000000000004</v>
      </c>
      <c r="Q70" s="3">
        <v>4.1000000000000002E-2</v>
      </c>
      <c r="R70" s="3">
        <v>0.21099999999999999</v>
      </c>
      <c r="S70" s="3">
        <v>4.9000000000000002E-2</v>
      </c>
      <c r="T70" s="3">
        <v>0.14699999999999999</v>
      </c>
      <c r="U70" s="3">
        <v>4.9000000000000002E-2</v>
      </c>
      <c r="V70" s="3">
        <v>2.8000000000000001E-2</v>
      </c>
      <c r="W70" s="3">
        <v>6.5000000000000002E-2</v>
      </c>
      <c r="X70" s="3">
        <v>0.14099999999999999</v>
      </c>
      <c r="Y70" s="3">
        <v>4.8000000000000001E-2</v>
      </c>
      <c r="Z70" s="3">
        <v>0.14000000000000001</v>
      </c>
      <c r="AA70" s="3">
        <v>7.3999999999999996E-2</v>
      </c>
      <c r="AB70" s="3">
        <v>9.8000000000000004E-2</v>
      </c>
      <c r="AC70" s="3">
        <v>0.2</v>
      </c>
      <c r="AD70" s="3">
        <v>0.16200000000000001</v>
      </c>
      <c r="AE70" s="3">
        <v>0.50600000000000001</v>
      </c>
      <c r="AF70" s="3">
        <v>0.505</v>
      </c>
      <c r="AG70" s="3">
        <v>0.204166667</v>
      </c>
      <c r="AH70" s="3">
        <v>0.20799999999999999</v>
      </c>
      <c r="AI70" s="3">
        <v>0.85499999999999998</v>
      </c>
      <c r="AJ70" s="3">
        <v>0.20833333300000001</v>
      </c>
      <c r="AK70" s="3">
        <v>0.3705</v>
      </c>
      <c r="AL70" s="3">
        <v>7.7333333000000004E-2</v>
      </c>
      <c r="AM70" s="3">
        <v>0.01</v>
      </c>
      <c r="AN70" s="3">
        <v>0.26566666700000002</v>
      </c>
      <c r="AO70" s="3">
        <v>2.5999999999999999E-2</v>
      </c>
    </row>
    <row r="71" spans="1:41" x14ac:dyDescent="0.3">
      <c r="A71" s="2" t="s">
        <v>311</v>
      </c>
      <c r="B71" s="2" t="s">
        <v>342</v>
      </c>
      <c r="C71" s="3">
        <v>0</v>
      </c>
      <c r="D71" s="3">
        <v>0.35299999999999998</v>
      </c>
      <c r="E71" s="3">
        <v>0</v>
      </c>
      <c r="F71" s="3">
        <v>0.43</v>
      </c>
      <c r="G71" s="3">
        <v>0</v>
      </c>
      <c r="H71" s="3">
        <v>0.61199999999999999</v>
      </c>
      <c r="I71" s="3">
        <v>0</v>
      </c>
      <c r="J71" s="3">
        <v>0.17399999999999999</v>
      </c>
      <c r="K71" s="3">
        <v>0</v>
      </c>
      <c r="L71" s="3">
        <v>0.86299999999999999</v>
      </c>
      <c r="M71" s="3">
        <v>0</v>
      </c>
      <c r="N71" s="3">
        <v>0.92300000000000004</v>
      </c>
      <c r="O71" s="3">
        <v>0</v>
      </c>
      <c r="P71" s="3">
        <v>0.92300000000000004</v>
      </c>
      <c r="Q71" s="3">
        <v>0</v>
      </c>
      <c r="R71" s="3">
        <v>0.16900000000000001</v>
      </c>
      <c r="S71" s="3">
        <v>0</v>
      </c>
      <c r="T71" s="3">
        <v>0.126</v>
      </c>
      <c r="U71" s="3">
        <v>0</v>
      </c>
      <c r="V71" s="3">
        <v>1.2E-2</v>
      </c>
      <c r="W71" s="3">
        <v>0</v>
      </c>
      <c r="X71" s="3">
        <v>0.13800000000000001</v>
      </c>
      <c r="Y71" s="3">
        <v>0</v>
      </c>
      <c r="Z71" s="3">
        <v>0.11700000000000001</v>
      </c>
      <c r="AA71" s="3">
        <v>0</v>
      </c>
      <c r="AB71" s="3">
        <v>0.111</v>
      </c>
      <c r="AC71" s="3">
        <v>0.30199999999999999</v>
      </c>
      <c r="AD71" s="3">
        <v>0.311</v>
      </c>
      <c r="AE71" s="3">
        <v>0.64049999999999996</v>
      </c>
      <c r="AF71" s="3">
        <v>0.58099999999999996</v>
      </c>
      <c r="AG71" s="3">
        <v>0.2515</v>
      </c>
      <c r="AH71" s="3">
        <v>0.27700000000000002</v>
      </c>
      <c r="AI71" s="3">
        <v>0.86950000000000005</v>
      </c>
      <c r="AJ71" s="3">
        <v>0.20100000000000001</v>
      </c>
      <c r="AK71" s="3">
        <v>0.377</v>
      </c>
      <c r="AL71" s="3">
        <v>6.3E-2</v>
      </c>
      <c r="AM71" s="3">
        <v>0.01</v>
      </c>
      <c r="AN71" s="3">
        <v>0.34166666699999998</v>
      </c>
      <c r="AO71" s="3">
        <v>4.7E-2</v>
      </c>
    </row>
    <row r="72" spans="1:41" x14ac:dyDescent="0.3">
      <c r="A72" s="2" t="s">
        <v>311</v>
      </c>
      <c r="B72" s="2" t="s">
        <v>343</v>
      </c>
      <c r="C72" s="3">
        <v>0</v>
      </c>
      <c r="D72" s="3">
        <v>0.29899999999999999</v>
      </c>
      <c r="E72" s="3">
        <v>0</v>
      </c>
      <c r="F72" s="3">
        <v>0.372</v>
      </c>
      <c r="G72" s="3">
        <v>0</v>
      </c>
      <c r="H72" s="3">
        <v>0.58399999999999996</v>
      </c>
      <c r="I72" s="3">
        <v>0</v>
      </c>
      <c r="J72" s="3">
        <v>0.151</v>
      </c>
      <c r="K72" s="3">
        <v>0</v>
      </c>
      <c r="L72" s="3">
        <v>0.89800000000000002</v>
      </c>
      <c r="M72" s="3">
        <v>0</v>
      </c>
      <c r="N72" s="3">
        <v>0.92100000000000004</v>
      </c>
      <c r="O72" s="3">
        <v>0</v>
      </c>
      <c r="P72" s="3">
        <v>0.92100000000000004</v>
      </c>
      <c r="Q72" s="3">
        <v>0</v>
      </c>
      <c r="R72" s="3">
        <v>0.13600000000000001</v>
      </c>
      <c r="S72" s="3">
        <v>0</v>
      </c>
      <c r="T72" s="3">
        <v>0.10199999999999999</v>
      </c>
      <c r="U72" s="3">
        <v>0</v>
      </c>
      <c r="V72" s="3">
        <v>5.0000000000000001E-3</v>
      </c>
      <c r="W72" s="3">
        <v>0</v>
      </c>
      <c r="X72" s="3">
        <v>0.113</v>
      </c>
      <c r="Y72" s="3">
        <v>0</v>
      </c>
      <c r="Z72" s="3">
        <v>8.5999999999999993E-2</v>
      </c>
      <c r="AA72" s="3">
        <v>0</v>
      </c>
      <c r="AB72" s="3">
        <v>0.123</v>
      </c>
      <c r="AC72" s="3">
        <v>0.42849999999999999</v>
      </c>
      <c r="AD72" s="3">
        <v>0.47949999999999998</v>
      </c>
      <c r="AE72" s="3">
        <v>0.69650000000000001</v>
      </c>
      <c r="AF72" s="3">
        <v>0.64233333299999995</v>
      </c>
      <c r="AG72" s="3">
        <v>0.29658333399999998</v>
      </c>
      <c r="AH72" s="3">
        <v>0.39200000000000002</v>
      </c>
      <c r="AI72" s="3">
        <v>0.88449999999999995</v>
      </c>
      <c r="AJ72" s="3">
        <v>0.16466666699999999</v>
      </c>
      <c r="AK72" s="3">
        <v>0.34449999999999997</v>
      </c>
      <c r="AL72" s="3">
        <v>4.5333333000000003E-2</v>
      </c>
      <c r="AM72" s="3">
        <v>0.01</v>
      </c>
      <c r="AN72" s="3">
        <v>0.41699999999999998</v>
      </c>
      <c r="AO72" s="3">
        <v>7.3999999999999996E-2</v>
      </c>
    </row>
    <row r="73" spans="1:41" x14ac:dyDescent="0.3">
      <c r="A73" s="2" t="s">
        <v>311</v>
      </c>
      <c r="B73" s="2" t="s">
        <v>344</v>
      </c>
      <c r="C73" s="3">
        <v>0</v>
      </c>
      <c r="D73" s="3">
        <v>0.25700000000000001</v>
      </c>
      <c r="E73" s="3">
        <v>0</v>
      </c>
      <c r="F73" s="3">
        <v>0.30199999999999999</v>
      </c>
      <c r="G73" s="3">
        <v>0</v>
      </c>
      <c r="H73" s="3">
        <v>0.52600000000000002</v>
      </c>
      <c r="I73" s="3">
        <v>0</v>
      </c>
      <c r="J73" s="3">
        <v>0.123</v>
      </c>
      <c r="K73" s="3">
        <v>0</v>
      </c>
      <c r="L73" s="3">
        <v>0.89800000000000002</v>
      </c>
      <c r="M73" s="3">
        <v>0</v>
      </c>
      <c r="N73" s="3">
        <v>0.92200000000000004</v>
      </c>
      <c r="O73" s="3">
        <v>0</v>
      </c>
      <c r="P73" s="3">
        <v>0.92200000000000004</v>
      </c>
      <c r="Q73" s="3">
        <v>0</v>
      </c>
      <c r="R73" s="3">
        <v>0.11799999999999999</v>
      </c>
      <c r="S73" s="3">
        <v>0</v>
      </c>
      <c r="T73" s="3">
        <v>9.0999999999999998E-2</v>
      </c>
      <c r="U73" s="3">
        <v>0</v>
      </c>
      <c r="V73" s="3">
        <v>0.01</v>
      </c>
      <c r="W73" s="3">
        <v>0</v>
      </c>
      <c r="X73" s="3">
        <v>8.1000000000000003E-2</v>
      </c>
      <c r="Y73" s="3">
        <v>0</v>
      </c>
      <c r="Z73" s="3">
        <v>5.5E-2</v>
      </c>
      <c r="AA73" s="3">
        <v>0</v>
      </c>
      <c r="AB73" s="3">
        <v>0.109</v>
      </c>
      <c r="AC73" s="3">
        <v>0.54249999999999998</v>
      </c>
      <c r="AD73" s="3">
        <v>0.61899999999999999</v>
      </c>
      <c r="AE73" s="3">
        <v>0.70150000000000001</v>
      </c>
      <c r="AF73" s="3">
        <v>0.67933333299999998</v>
      </c>
      <c r="AG73" s="3">
        <v>0.33308333400000001</v>
      </c>
      <c r="AH73" s="3">
        <v>0.501</v>
      </c>
      <c r="AI73" s="3">
        <v>0.91200000000000003</v>
      </c>
      <c r="AJ73" s="3">
        <v>0.12366666699999999</v>
      </c>
      <c r="AK73" s="3">
        <v>0.27700000000000002</v>
      </c>
      <c r="AL73" s="3">
        <v>3.5333333000000001E-2</v>
      </c>
      <c r="AM73" s="3">
        <v>0.01</v>
      </c>
      <c r="AN73" s="3">
        <v>0.48599999999999999</v>
      </c>
      <c r="AO73" s="3">
        <v>0.11</v>
      </c>
    </row>
    <row r="74" spans="1:41" x14ac:dyDescent="0.3">
      <c r="A74" s="2" t="s">
        <v>311</v>
      </c>
      <c r="B74" s="2" t="s">
        <v>345</v>
      </c>
      <c r="C74" s="3">
        <v>0</v>
      </c>
      <c r="D74" s="3">
        <v>0.23699999999999999</v>
      </c>
      <c r="E74" s="3">
        <v>0</v>
      </c>
      <c r="F74" s="3">
        <v>0.23200000000000001</v>
      </c>
      <c r="G74" s="3">
        <v>0</v>
      </c>
      <c r="H74" s="3">
        <v>0.44</v>
      </c>
      <c r="I74" s="3">
        <v>0</v>
      </c>
      <c r="J74" s="3">
        <v>0.115</v>
      </c>
      <c r="K74" s="3">
        <v>0</v>
      </c>
      <c r="L74" s="3">
        <v>0.871</v>
      </c>
      <c r="M74" s="3">
        <v>0</v>
      </c>
      <c r="N74" s="3">
        <v>0.92500000000000004</v>
      </c>
      <c r="O74" s="3">
        <v>0</v>
      </c>
      <c r="P74" s="3">
        <v>0.92500000000000004</v>
      </c>
      <c r="Q74" s="3">
        <v>0</v>
      </c>
      <c r="R74" s="3">
        <v>0.11700000000000001</v>
      </c>
      <c r="S74" s="3">
        <v>0</v>
      </c>
      <c r="T74" s="3">
        <v>0.108</v>
      </c>
      <c r="U74" s="3">
        <v>0</v>
      </c>
      <c r="V74" s="3">
        <v>3.5000000000000003E-2</v>
      </c>
      <c r="W74" s="3">
        <v>0</v>
      </c>
      <c r="X74" s="3">
        <v>4.5999999999999999E-2</v>
      </c>
      <c r="Y74" s="3">
        <v>0</v>
      </c>
      <c r="Z74" s="3">
        <v>0.03</v>
      </c>
      <c r="AA74" s="3">
        <v>0</v>
      </c>
      <c r="AB74" s="3">
        <v>8.5999999999999993E-2</v>
      </c>
      <c r="AC74" s="3">
        <v>0.63200000000000001</v>
      </c>
      <c r="AD74" s="3">
        <v>0.70950000000000002</v>
      </c>
      <c r="AE74" s="3">
        <v>0.70150000000000001</v>
      </c>
      <c r="AF74" s="3">
        <v>0.71033333300000001</v>
      </c>
      <c r="AG74" s="3">
        <v>0.370166667</v>
      </c>
      <c r="AH74" s="3">
        <v>0.59599999999999997</v>
      </c>
      <c r="AI74" s="3">
        <v>0.93400000000000005</v>
      </c>
      <c r="AJ74" s="3">
        <v>0.108333333</v>
      </c>
      <c r="AK74" s="3">
        <v>0.2165</v>
      </c>
      <c r="AL74" s="3">
        <v>4.7666667000000003E-2</v>
      </c>
      <c r="AM74" s="3">
        <v>0.01</v>
      </c>
      <c r="AN74" s="3">
        <v>0.55000000000000004</v>
      </c>
      <c r="AO74" s="3">
        <v>0.157</v>
      </c>
    </row>
    <row r="75" spans="1:41" x14ac:dyDescent="0.3">
      <c r="A75" s="2" t="s">
        <v>311</v>
      </c>
      <c r="B75" s="2" t="s">
        <v>346</v>
      </c>
      <c r="C75" s="3">
        <v>0</v>
      </c>
      <c r="D75" s="3">
        <v>0.224</v>
      </c>
      <c r="E75" s="3">
        <v>0</v>
      </c>
      <c r="F75" s="3">
        <v>0.17299999999999999</v>
      </c>
      <c r="G75" s="3">
        <v>0</v>
      </c>
      <c r="H75" s="3">
        <v>0.34799999999999998</v>
      </c>
      <c r="I75" s="3">
        <v>0</v>
      </c>
      <c r="J75" s="3">
        <v>0.11799999999999999</v>
      </c>
      <c r="K75" s="3">
        <v>0</v>
      </c>
      <c r="L75" s="3">
        <v>0.83399999999999996</v>
      </c>
      <c r="M75" s="3">
        <v>0</v>
      </c>
      <c r="N75" s="3">
        <v>0.92700000000000005</v>
      </c>
      <c r="O75" s="3">
        <v>0</v>
      </c>
      <c r="P75" s="3">
        <v>0.92700000000000005</v>
      </c>
      <c r="Q75" s="3">
        <v>0</v>
      </c>
      <c r="R75" s="3">
        <v>0.127</v>
      </c>
      <c r="S75" s="3">
        <v>0</v>
      </c>
      <c r="T75" s="3">
        <v>0.12</v>
      </c>
      <c r="U75" s="3">
        <v>0</v>
      </c>
      <c r="V75" s="3">
        <v>8.7999999999999995E-2</v>
      </c>
      <c r="W75" s="3">
        <v>0</v>
      </c>
      <c r="X75" s="3">
        <v>1.7000000000000001E-2</v>
      </c>
      <c r="Y75" s="3">
        <v>0</v>
      </c>
      <c r="Z75" s="3">
        <v>1.4999999999999999E-2</v>
      </c>
      <c r="AA75" s="3">
        <v>0</v>
      </c>
      <c r="AB75" s="3">
        <v>6.2E-2</v>
      </c>
      <c r="AC75" s="3">
        <v>0.69550000000000001</v>
      </c>
      <c r="AD75" s="3">
        <v>0.752</v>
      </c>
      <c r="AE75" s="3">
        <v>0.70050000000000001</v>
      </c>
      <c r="AF75" s="3">
        <v>0.73699999999999999</v>
      </c>
      <c r="AG75" s="3">
        <v>0.40725</v>
      </c>
      <c r="AH75" s="3">
        <v>0.67100000000000004</v>
      </c>
      <c r="AI75" s="3">
        <v>0.95150000000000001</v>
      </c>
      <c r="AJ75" s="3">
        <v>0.11899999999999999</v>
      </c>
      <c r="AK75" s="3">
        <v>0.16750000000000001</v>
      </c>
      <c r="AL75" s="3">
        <v>7.5666667000000007E-2</v>
      </c>
      <c r="AM75" s="3">
        <v>0.01</v>
      </c>
      <c r="AN75" s="3">
        <v>0.60699999999999998</v>
      </c>
      <c r="AO75" s="3">
        <v>0.218</v>
      </c>
    </row>
    <row r="76" spans="1:41" x14ac:dyDescent="0.3">
      <c r="A76" s="2" t="s">
        <v>311</v>
      </c>
      <c r="B76" s="2" t="s">
        <v>347</v>
      </c>
      <c r="C76" s="3">
        <v>0</v>
      </c>
      <c r="D76" s="3">
        <v>0.20699999999999999</v>
      </c>
      <c r="E76" s="3">
        <v>0</v>
      </c>
      <c r="F76" s="3">
        <v>0.124</v>
      </c>
      <c r="G76" s="3">
        <v>0</v>
      </c>
      <c r="H76" s="3">
        <v>0.27700000000000002</v>
      </c>
      <c r="I76" s="3">
        <v>0</v>
      </c>
      <c r="J76" s="3">
        <v>0.109</v>
      </c>
      <c r="K76" s="3">
        <v>0</v>
      </c>
      <c r="L76" s="3">
        <v>0.79200000000000004</v>
      </c>
      <c r="M76" s="3">
        <v>0</v>
      </c>
      <c r="N76" s="3">
        <v>0.92900000000000005</v>
      </c>
      <c r="O76" s="3">
        <v>0</v>
      </c>
      <c r="P76" s="3">
        <v>0.92900000000000005</v>
      </c>
      <c r="Q76" s="3">
        <v>0</v>
      </c>
      <c r="R76" s="3">
        <v>0.161</v>
      </c>
      <c r="S76" s="3">
        <v>0</v>
      </c>
      <c r="T76" s="3">
        <v>0.111</v>
      </c>
      <c r="U76" s="3">
        <v>0</v>
      </c>
      <c r="V76" s="3">
        <v>0.17199999999999999</v>
      </c>
      <c r="W76" s="3">
        <v>0</v>
      </c>
      <c r="X76" s="3">
        <v>8.0000000000000002E-3</v>
      </c>
      <c r="Y76" s="3">
        <v>0</v>
      </c>
      <c r="Z76" s="3">
        <v>1.4999999999999999E-2</v>
      </c>
      <c r="AA76" s="3">
        <v>0</v>
      </c>
      <c r="AB76" s="3">
        <v>4.4999999999999998E-2</v>
      </c>
      <c r="AC76" s="3">
        <v>0.72799999999999998</v>
      </c>
      <c r="AD76" s="3">
        <v>0.76500000000000001</v>
      </c>
      <c r="AE76" s="3">
        <v>0.71</v>
      </c>
      <c r="AF76" s="3">
        <v>0.75333333300000005</v>
      </c>
      <c r="AG76" s="3">
        <v>0.439</v>
      </c>
      <c r="AH76" s="3">
        <v>0.70599999999999996</v>
      </c>
      <c r="AI76" s="3">
        <v>0.96350000000000002</v>
      </c>
      <c r="AJ76" s="3">
        <v>0.15</v>
      </c>
      <c r="AK76" s="3">
        <v>0.13400000000000001</v>
      </c>
      <c r="AL76" s="3">
        <v>0.100333333</v>
      </c>
      <c r="AM76" s="3">
        <v>0.01</v>
      </c>
      <c r="AN76" s="3">
        <v>0.64866666699999997</v>
      </c>
      <c r="AO76" s="3">
        <v>0.30299999999999999</v>
      </c>
    </row>
    <row r="77" spans="1:41" x14ac:dyDescent="0.3">
      <c r="A77" s="2" t="s">
        <v>312</v>
      </c>
      <c r="B77" s="2" t="s">
        <v>324</v>
      </c>
      <c r="C77" s="3">
        <v>0</v>
      </c>
      <c r="D77" s="3">
        <v>0.39900000000000002</v>
      </c>
      <c r="E77" s="3">
        <v>0</v>
      </c>
      <c r="F77" s="3">
        <v>0.33800000000000002</v>
      </c>
      <c r="G77" s="3">
        <v>0</v>
      </c>
      <c r="H77" s="3">
        <v>0.41899999999999998</v>
      </c>
      <c r="I77" s="3">
        <v>0</v>
      </c>
      <c r="J77" s="3">
        <v>0.39500000000000002</v>
      </c>
      <c r="K77" s="3">
        <v>0</v>
      </c>
      <c r="L77" s="3">
        <v>0.438</v>
      </c>
      <c r="M77" s="3">
        <v>0</v>
      </c>
      <c r="N77" s="3">
        <v>0.60199999999999998</v>
      </c>
      <c r="O77" s="3">
        <v>0</v>
      </c>
      <c r="P77" s="3">
        <v>0.60199999999999998</v>
      </c>
      <c r="Q77" s="3">
        <v>0</v>
      </c>
      <c r="R77" s="3">
        <v>0.38</v>
      </c>
      <c r="S77" s="3">
        <v>0</v>
      </c>
      <c r="T77" s="3">
        <v>0.436</v>
      </c>
      <c r="U77" s="3">
        <v>0</v>
      </c>
      <c r="V77" s="3">
        <v>0.52200000000000002</v>
      </c>
      <c r="W77" s="3">
        <v>0</v>
      </c>
      <c r="X77" s="3">
        <v>0.36599999999999999</v>
      </c>
      <c r="Y77" s="3">
        <v>0</v>
      </c>
      <c r="Z77" s="3">
        <v>0.45400000000000001</v>
      </c>
      <c r="AA77" s="3">
        <v>0</v>
      </c>
      <c r="AB77" s="3">
        <v>0.38</v>
      </c>
      <c r="AC77" s="3">
        <v>0.79900000000000004</v>
      </c>
      <c r="AD77" s="3">
        <v>0.8175</v>
      </c>
      <c r="AE77" s="3">
        <v>0.63800000000000001</v>
      </c>
      <c r="AF77" s="3">
        <v>0.76866666699999997</v>
      </c>
      <c r="AG77" s="3">
        <v>0.81399999999999995</v>
      </c>
      <c r="AH77" s="3">
        <v>0.81799999999999995</v>
      </c>
      <c r="AI77" s="3">
        <v>0.52349999999999997</v>
      </c>
      <c r="AJ77" s="3">
        <v>0.82899999999999996</v>
      </c>
      <c r="AK77" s="3">
        <v>0.85799999999999998</v>
      </c>
      <c r="AL77" s="3">
        <v>0.92</v>
      </c>
      <c r="AM77" s="3">
        <v>0.01</v>
      </c>
      <c r="AN77" s="3">
        <v>0.78933333299999997</v>
      </c>
      <c r="AO77" s="3">
        <v>0.70099999999999996</v>
      </c>
    </row>
    <row r="78" spans="1:41" x14ac:dyDescent="0.3">
      <c r="A78" s="2" t="s">
        <v>312</v>
      </c>
      <c r="B78" s="2" t="s">
        <v>325</v>
      </c>
      <c r="C78" s="3">
        <v>0</v>
      </c>
      <c r="D78" s="3">
        <v>0.41</v>
      </c>
      <c r="E78" s="3">
        <v>0</v>
      </c>
      <c r="F78" s="3">
        <v>0.307</v>
      </c>
      <c r="G78" s="3">
        <v>0</v>
      </c>
      <c r="H78" s="3">
        <v>0.374</v>
      </c>
      <c r="I78" s="3">
        <v>0</v>
      </c>
      <c r="J78" s="3">
        <v>0.378</v>
      </c>
      <c r="K78" s="3">
        <v>0</v>
      </c>
      <c r="L78" s="3">
        <v>0.432</v>
      </c>
      <c r="M78" s="3">
        <v>0</v>
      </c>
      <c r="N78" s="3">
        <v>0.60899999999999999</v>
      </c>
      <c r="O78" s="3">
        <v>0</v>
      </c>
      <c r="P78" s="3">
        <v>0.60899999999999999</v>
      </c>
      <c r="Q78" s="3">
        <v>0</v>
      </c>
      <c r="R78" s="3">
        <v>0.37</v>
      </c>
      <c r="S78" s="3">
        <v>0</v>
      </c>
      <c r="T78" s="3">
        <v>0.42</v>
      </c>
      <c r="U78" s="3">
        <v>0</v>
      </c>
      <c r="V78" s="3">
        <v>0.52700000000000002</v>
      </c>
      <c r="W78" s="3">
        <v>0</v>
      </c>
      <c r="X78" s="3">
        <v>0.38600000000000001</v>
      </c>
      <c r="Y78" s="3">
        <v>0</v>
      </c>
      <c r="Z78" s="3">
        <v>0.42899999999999999</v>
      </c>
      <c r="AA78" s="3">
        <v>0</v>
      </c>
      <c r="AB78" s="3">
        <v>0.36699999999999999</v>
      </c>
      <c r="AC78" s="3">
        <v>0.80200000000000005</v>
      </c>
      <c r="AD78" s="3">
        <v>0.8125</v>
      </c>
      <c r="AE78" s="3">
        <v>0.65600000000000003</v>
      </c>
      <c r="AF78" s="3">
        <v>0.78166666699999998</v>
      </c>
      <c r="AG78" s="3">
        <v>0.81933333399999997</v>
      </c>
      <c r="AH78" s="3">
        <v>0.81499999999999995</v>
      </c>
      <c r="AI78" s="3">
        <v>0.55449999999999999</v>
      </c>
      <c r="AJ78" s="3">
        <v>0.83666666700000003</v>
      </c>
      <c r="AK78" s="3">
        <v>0.86099999999999999</v>
      </c>
      <c r="AL78" s="3">
        <v>0.91033333299999997</v>
      </c>
      <c r="AM78" s="3">
        <v>0.01</v>
      </c>
      <c r="AN78" s="3">
        <v>0.79700000000000004</v>
      </c>
      <c r="AO78" s="3">
        <v>0.755</v>
      </c>
    </row>
    <row r="79" spans="1:41" x14ac:dyDescent="0.3">
      <c r="A79" s="2" t="s">
        <v>312</v>
      </c>
      <c r="B79" s="2" t="s">
        <v>326</v>
      </c>
      <c r="C79" s="3">
        <v>0</v>
      </c>
      <c r="D79" s="3">
        <v>0.40600000000000003</v>
      </c>
      <c r="E79" s="3">
        <v>0</v>
      </c>
      <c r="F79" s="3">
        <v>0.311</v>
      </c>
      <c r="G79" s="3">
        <v>0</v>
      </c>
      <c r="H79" s="3">
        <v>0.36299999999999999</v>
      </c>
      <c r="I79" s="3">
        <v>0</v>
      </c>
      <c r="J79" s="3">
        <v>0.39</v>
      </c>
      <c r="K79" s="3">
        <v>0</v>
      </c>
      <c r="L79" s="3">
        <v>0.44900000000000001</v>
      </c>
      <c r="M79" s="3">
        <v>0</v>
      </c>
      <c r="N79" s="3">
        <v>0.60699999999999998</v>
      </c>
      <c r="O79" s="3">
        <v>0</v>
      </c>
      <c r="P79" s="3">
        <v>0.60699999999999998</v>
      </c>
      <c r="Q79" s="3">
        <v>0</v>
      </c>
      <c r="R79" s="3">
        <v>0.35699999999999998</v>
      </c>
      <c r="S79" s="3">
        <v>0</v>
      </c>
      <c r="T79" s="3">
        <v>0.42499999999999999</v>
      </c>
      <c r="U79" s="3">
        <v>0</v>
      </c>
      <c r="V79" s="3">
        <v>0.51400000000000001</v>
      </c>
      <c r="W79" s="3">
        <v>0</v>
      </c>
      <c r="X79" s="3">
        <v>0.40300000000000002</v>
      </c>
      <c r="Y79" s="3">
        <v>0</v>
      </c>
      <c r="Z79" s="3">
        <v>0.40100000000000002</v>
      </c>
      <c r="AA79" s="3">
        <v>0</v>
      </c>
      <c r="AB79" s="3">
        <v>0.35199999999999998</v>
      </c>
      <c r="AC79" s="3">
        <v>0.84599999999999997</v>
      </c>
      <c r="AD79" s="3">
        <v>0.82</v>
      </c>
      <c r="AE79" s="3">
        <v>0.65700000000000003</v>
      </c>
      <c r="AF79" s="3">
        <v>0.78200000000000003</v>
      </c>
      <c r="AG79" s="3">
        <v>0.84533333399999999</v>
      </c>
      <c r="AH79" s="3">
        <v>0.81</v>
      </c>
      <c r="AI79" s="3">
        <v>0.58099999999999996</v>
      </c>
      <c r="AJ79" s="3">
        <v>0.84466666700000004</v>
      </c>
      <c r="AK79" s="3">
        <v>0.875</v>
      </c>
      <c r="AL79" s="3">
        <v>0.89066666699999997</v>
      </c>
      <c r="AM79" s="3">
        <v>0.01</v>
      </c>
      <c r="AN79" s="3">
        <v>0.820333333</v>
      </c>
      <c r="AO79" s="3">
        <v>0.81599999999999995</v>
      </c>
    </row>
    <row r="80" spans="1:41" x14ac:dyDescent="0.3">
      <c r="A80" s="2" t="s">
        <v>312</v>
      </c>
      <c r="B80" s="2" t="s">
        <v>327</v>
      </c>
      <c r="C80" s="3">
        <v>0</v>
      </c>
      <c r="D80" s="3">
        <v>0.41899999999999998</v>
      </c>
      <c r="E80" s="3">
        <v>0</v>
      </c>
      <c r="F80" s="3">
        <v>0.35499999999999998</v>
      </c>
      <c r="G80" s="3">
        <v>0</v>
      </c>
      <c r="H80" s="3">
        <v>0.39</v>
      </c>
      <c r="I80" s="3">
        <v>0</v>
      </c>
      <c r="J80" s="3">
        <v>0.42299999999999999</v>
      </c>
      <c r="K80" s="3">
        <v>0</v>
      </c>
      <c r="L80" s="3">
        <v>0.47899999999999998</v>
      </c>
      <c r="M80" s="3">
        <v>0</v>
      </c>
      <c r="N80" s="3">
        <v>0.59299999999999997</v>
      </c>
      <c r="O80" s="3">
        <v>0</v>
      </c>
      <c r="P80" s="3">
        <v>0.59299999999999997</v>
      </c>
      <c r="Q80" s="3">
        <v>0</v>
      </c>
      <c r="R80" s="3">
        <v>0.35699999999999998</v>
      </c>
      <c r="S80" s="3">
        <v>0</v>
      </c>
      <c r="T80" s="3">
        <v>0.45</v>
      </c>
      <c r="U80" s="3">
        <v>0</v>
      </c>
      <c r="V80" s="3">
        <v>0.495</v>
      </c>
      <c r="W80" s="3">
        <v>0</v>
      </c>
      <c r="X80" s="3">
        <v>0.39800000000000002</v>
      </c>
      <c r="Y80" s="3">
        <v>0</v>
      </c>
      <c r="Z80" s="3">
        <v>0.39500000000000002</v>
      </c>
      <c r="AA80" s="3">
        <v>0</v>
      </c>
      <c r="AB80" s="3">
        <v>0.34599999999999997</v>
      </c>
      <c r="AC80" s="3">
        <v>0.85299999999999998</v>
      </c>
      <c r="AD80" s="3">
        <v>0.79100000000000004</v>
      </c>
      <c r="AE80" s="3">
        <v>0.66800000000000004</v>
      </c>
      <c r="AF80" s="3">
        <v>0.79533333299999998</v>
      </c>
      <c r="AG80" s="3">
        <v>0.84866666700000004</v>
      </c>
      <c r="AH80" s="3">
        <v>0.82899999999999996</v>
      </c>
      <c r="AI80" s="3">
        <v>0.59</v>
      </c>
      <c r="AJ80" s="3">
        <v>0.84433333300000002</v>
      </c>
      <c r="AK80" s="3">
        <v>0.88849999999999996</v>
      </c>
      <c r="AL80" s="3">
        <v>0.86566666699999995</v>
      </c>
      <c r="AM80" s="3">
        <v>0.01</v>
      </c>
      <c r="AN80" s="3">
        <v>0.823333333</v>
      </c>
      <c r="AO80" s="3">
        <v>0.85399999999999998</v>
      </c>
    </row>
    <row r="81" spans="1:41" x14ac:dyDescent="0.3">
      <c r="A81" s="2" t="s">
        <v>312</v>
      </c>
      <c r="B81" s="2" t="s">
        <v>328</v>
      </c>
      <c r="C81" s="3">
        <v>0</v>
      </c>
      <c r="D81" s="3">
        <v>0.44900000000000001</v>
      </c>
      <c r="E81" s="3">
        <v>0</v>
      </c>
      <c r="F81" s="3">
        <v>0.41399999999999998</v>
      </c>
      <c r="G81" s="3">
        <v>0</v>
      </c>
      <c r="H81" s="3">
        <v>0.435</v>
      </c>
      <c r="I81" s="3">
        <v>0</v>
      </c>
      <c r="J81" s="3">
        <v>0.45</v>
      </c>
      <c r="K81" s="3">
        <v>0</v>
      </c>
      <c r="L81" s="3">
        <v>0.50700000000000001</v>
      </c>
      <c r="M81" s="3">
        <v>0</v>
      </c>
      <c r="N81" s="3">
        <v>0.58299999999999996</v>
      </c>
      <c r="O81" s="3">
        <v>0</v>
      </c>
      <c r="P81" s="3">
        <v>0.58299999999999996</v>
      </c>
      <c r="Q81" s="3">
        <v>0</v>
      </c>
      <c r="R81" s="3">
        <v>0.372</v>
      </c>
      <c r="S81" s="3">
        <v>0</v>
      </c>
      <c r="T81" s="3">
        <v>0.46600000000000003</v>
      </c>
      <c r="U81" s="3">
        <v>0</v>
      </c>
      <c r="V81" s="3">
        <v>0.48299999999999998</v>
      </c>
      <c r="W81" s="3">
        <v>0</v>
      </c>
      <c r="X81" s="3">
        <v>0.39</v>
      </c>
      <c r="Y81" s="3">
        <v>0</v>
      </c>
      <c r="Z81" s="3">
        <v>0.40300000000000002</v>
      </c>
      <c r="AA81" s="3">
        <v>0</v>
      </c>
      <c r="AB81" s="3">
        <v>0.33300000000000002</v>
      </c>
      <c r="AC81" s="3">
        <v>0.83399999999999996</v>
      </c>
      <c r="AD81" s="3">
        <v>0.75849999999999995</v>
      </c>
      <c r="AE81" s="3">
        <v>0.68799999999999994</v>
      </c>
      <c r="AF81" s="3">
        <v>0.81699999999999995</v>
      </c>
      <c r="AG81" s="3">
        <v>0.84016666699999998</v>
      </c>
      <c r="AH81" s="3">
        <v>0.84399999999999997</v>
      </c>
      <c r="AI81" s="3">
        <v>0.59799999999999998</v>
      </c>
      <c r="AJ81" s="3">
        <v>0.84633333300000002</v>
      </c>
      <c r="AK81" s="3">
        <v>0.90400000000000003</v>
      </c>
      <c r="AL81" s="3">
        <v>0.85799999999999998</v>
      </c>
      <c r="AM81" s="3">
        <v>0.01</v>
      </c>
      <c r="AN81" s="3">
        <v>0.80700000000000005</v>
      </c>
      <c r="AO81" s="3">
        <v>0.86599999999999999</v>
      </c>
    </row>
    <row r="82" spans="1:41" x14ac:dyDescent="0.3">
      <c r="A82" s="2" t="s">
        <v>312</v>
      </c>
      <c r="B82" s="2" t="s">
        <v>329</v>
      </c>
      <c r="C82" s="3">
        <v>0</v>
      </c>
      <c r="D82" s="3">
        <v>0.47299999999999998</v>
      </c>
      <c r="E82" s="3">
        <v>0</v>
      </c>
      <c r="F82" s="3">
        <v>0.45600000000000002</v>
      </c>
      <c r="G82" s="3">
        <v>0</v>
      </c>
      <c r="H82" s="3">
        <v>0.47799999999999998</v>
      </c>
      <c r="I82" s="3">
        <v>0</v>
      </c>
      <c r="J82" s="3">
        <v>0.47299999999999998</v>
      </c>
      <c r="K82" s="3">
        <v>0</v>
      </c>
      <c r="L82" s="3">
        <v>0.52300000000000002</v>
      </c>
      <c r="M82" s="3">
        <v>0</v>
      </c>
      <c r="N82" s="3">
        <v>0.56299999999999994</v>
      </c>
      <c r="O82" s="3">
        <v>0</v>
      </c>
      <c r="P82" s="3">
        <v>0.56299999999999994</v>
      </c>
      <c r="Q82" s="3">
        <v>0</v>
      </c>
      <c r="R82" s="3">
        <v>0.38700000000000001</v>
      </c>
      <c r="S82" s="3">
        <v>0</v>
      </c>
      <c r="T82" s="3">
        <v>0.47599999999999998</v>
      </c>
      <c r="U82" s="3">
        <v>0</v>
      </c>
      <c r="V82" s="3">
        <v>0.45300000000000001</v>
      </c>
      <c r="W82" s="3">
        <v>0</v>
      </c>
      <c r="X82" s="3">
        <v>0.38500000000000001</v>
      </c>
      <c r="Y82" s="3">
        <v>0</v>
      </c>
      <c r="Z82" s="3">
        <v>0.38500000000000001</v>
      </c>
      <c r="AA82" s="3">
        <v>0</v>
      </c>
      <c r="AB82" s="3">
        <v>0.30299999999999999</v>
      </c>
      <c r="AC82" s="3">
        <v>0.79549999999999998</v>
      </c>
      <c r="AD82" s="3">
        <v>0.72299999999999998</v>
      </c>
      <c r="AE82" s="3">
        <v>0.72550000000000003</v>
      </c>
      <c r="AF82" s="3">
        <v>0.83266666700000003</v>
      </c>
      <c r="AG82" s="3">
        <v>0.83125000000000004</v>
      </c>
      <c r="AH82" s="3">
        <v>0.84699999999999998</v>
      </c>
      <c r="AI82" s="3">
        <v>0.60350000000000004</v>
      </c>
      <c r="AJ82" s="3">
        <v>0.86699999999999999</v>
      </c>
      <c r="AK82" s="3">
        <v>0.91549999999999998</v>
      </c>
      <c r="AL82" s="3">
        <v>0.85</v>
      </c>
      <c r="AM82" s="3">
        <v>0.01</v>
      </c>
      <c r="AN82" s="3">
        <v>0.78200000000000003</v>
      </c>
      <c r="AO82" s="3">
        <v>0.85899999999999999</v>
      </c>
    </row>
    <row r="83" spans="1:41" x14ac:dyDescent="0.3">
      <c r="A83" s="2" t="s">
        <v>312</v>
      </c>
      <c r="B83" s="2" t="s">
        <v>330</v>
      </c>
      <c r="C83" s="3">
        <v>1.2999999999999999E-2</v>
      </c>
      <c r="D83" s="3">
        <v>0.46700000000000003</v>
      </c>
      <c r="E83" s="3">
        <v>2.9000000000000001E-2</v>
      </c>
      <c r="F83" s="3">
        <v>0.44900000000000001</v>
      </c>
      <c r="G83" s="3">
        <v>2.3E-2</v>
      </c>
      <c r="H83" s="3">
        <v>0.48</v>
      </c>
      <c r="I83" s="3">
        <v>8.0000000000000002E-3</v>
      </c>
      <c r="J83" s="3">
        <v>0.45400000000000001</v>
      </c>
      <c r="K83" s="3">
        <v>8.9999999999999993E-3</v>
      </c>
      <c r="L83" s="3">
        <v>0.53900000000000003</v>
      </c>
      <c r="M83" s="3">
        <v>0.01</v>
      </c>
      <c r="N83" s="3">
        <v>0.54200000000000004</v>
      </c>
      <c r="O83" s="3">
        <v>2E-3</v>
      </c>
      <c r="P83" s="3">
        <v>0.54200000000000004</v>
      </c>
      <c r="Q83" s="3">
        <v>1.0999999999999999E-2</v>
      </c>
      <c r="R83" s="3">
        <v>0.38400000000000001</v>
      </c>
      <c r="S83" s="3">
        <v>1.0999999999999999E-2</v>
      </c>
      <c r="T83" s="3">
        <v>0.46600000000000003</v>
      </c>
      <c r="U83" s="3">
        <v>1.0999999999999999E-2</v>
      </c>
      <c r="V83" s="3">
        <v>0.41299999999999998</v>
      </c>
      <c r="W83" s="3">
        <v>6.0000000000000001E-3</v>
      </c>
      <c r="X83" s="3">
        <v>0.35899999999999999</v>
      </c>
      <c r="Y83" s="3">
        <v>2.3E-2</v>
      </c>
      <c r="Z83" s="3">
        <v>0.34499999999999997</v>
      </c>
      <c r="AA83" s="3">
        <v>8.9999999999999993E-3</v>
      </c>
      <c r="AB83" s="3">
        <v>0.27</v>
      </c>
      <c r="AC83" s="3">
        <v>0.76700000000000002</v>
      </c>
      <c r="AD83" s="3">
        <v>0.69899999999999995</v>
      </c>
      <c r="AE83" s="3">
        <v>0.73750000000000004</v>
      </c>
      <c r="AF83" s="3">
        <v>0.83733333300000001</v>
      </c>
      <c r="AG83" s="3">
        <v>0.83183333400000004</v>
      </c>
      <c r="AH83" s="3">
        <v>0.84599999999999997</v>
      </c>
      <c r="AI83" s="3">
        <v>0.60299999999999998</v>
      </c>
      <c r="AJ83" s="3">
        <v>0.89666666699999997</v>
      </c>
      <c r="AK83" s="3">
        <v>0.92149999999999999</v>
      </c>
      <c r="AL83" s="3">
        <v>0.83066666700000003</v>
      </c>
      <c r="AM83" s="3">
        <v>0.01</v>
      </c>
      <c r="AN83" s="3">
        <v>0.75700000000000001</v>
      </c>
      <c r="AO83" s="3">
        <v>0.84299999999999997</v>
      </c>
    </row>
    <row r="84" spans="1:41" x14ac:dyDescent="0.3">
      <c r="A84" s="2" t="s">
        <v>312</v>
      </c>
      <c r="B84" s="2" t="s">
        <v>331</v>
      </c>
      <c r="C84" s="3">
        <v>0.10199999999999999</v>
      </c>
      <c r="D84" s="3">
        <v>0.34100000000000003</v>
      </c>
      <c r="E84" s="3">
        <v>0.189</v>
      </c>
      <c r="F84" s="3">
        <v>0.31900000000000001</v>
      </c>
      <c r="G84" s="3">
        <v>0.13300000000000001</v>
      </c>
      <c r="H84" s="3">
        <v>0.38100000000000001</v>
      </c>
      <c r="I84" s="3">
        <v>7.0999999999999994E-2</v>
      </c>
      <c r="J84" s="3">
        <v>0.28899999999999998</v>
      </c>
      <c r="K84" s="3">
        <v>9.5000000000000001E-2</v>
      </c>
      <c r="L84" s="3">
        <v>0.55900000000000005</v>
      </c>
      <c r="M84" s="3">
        <v>0.10100000000000001</v>
      </c>
      <c r="N84" s="3">
        <v>0.46700000000000003</v>
      </c>
      <c r="O84" s="3">
        <v>5.0999999999999997E-2</v>
      </c>
      <c r="P84" s="3">
        <v>0.46700000000000003</v>
      </c>
      <c r="Q84" s="3">
        <v>7.9000000000000001E-2</v>
      </c>
      <c r="R84" s="3">
        <v>0.30299999999999999</v>
      </c>
      <c r="S84" s="3">
        <v>8.2000000000000003E-2</v>
      </c>
      <c r="T84" s="3">
        <v>0.34799999999999998</v>
      </c>
      <c r="U84" s="3">
        <v>8.1000000000000003E-2</v>
      </c>
      <c r="V84" s="3">
        <v>0.30199999999999999</v>
      </c>
      <c r="W84" s="3">
        <v>6.7000000000000004E-2</v>
      </c>
      <c r="X84" s="3">
        <v>0.26400000000000001</v>
      </c>
      <c r="Y84" s="3">
        <v>0.182</v>
      </c>
      <c r="Z84" s="3">
        <v>0.26800000000000002</v>
      </c>
      <c r="AA84" s="3">
        <v>0.123</v>
      </c>
      <c r="AB84" s="3">
        <v>0.23400000000000001</v>
      </c>
      <c r="AC84" s="3">
        <v>0.72850000000000004</v>
      </c>
      <c r="AD84" s="3">
        <v>0.63</v>
      </c>
      <c r="AE84" s="3">
        <v>0.72150000000000003</v>
      </c>
      <c r="AF84" s="3">
        <v>0.83233333300000001</v>
      </c>
      <c r="AG84" s="3">
        <v>0.81141666700000004</v>
      </c>
      <c r="AH84" s="3">
        <v>0.83899999999999997</v>
      </c>
      <c r="AI84" s="3">
        <v>0.56999999999999995</v>
      </c>
      <c r="AJ84" s="3">
        <v>0.89433333299999995</v>
      </c>
      <c r="AK84" s="3">
        <v>0.89</v>
      </c>
      <c r="AL84" s="3">
        <v>0.79466666699999999</v>
      </c>
      <c r="AM84" s="3">
        <v>0.01</v>
      </c>
      <c r="AN84" s="3">
        <v>0.72</v>
      </c>
      <c r="AO84" s="3">
        <v>0.80700000000000005</v>
      </c>
    </row>
    <row r="85" spans="1:41" x14ac:dyDescent="0.3">
      <c r="A85" s="2" t="s">
        <v>312</v>
      </c>
      <c r="B85" s="2" t="s">
        <v>332</v>
      </c>
      <c r="C85" s="3">
        <v>0.32900000000000001</v>
      </c>
      <c r="D85" s="3">
        <v>0.34899999999999998</v>
      </c>
      <c r="E85" s="3">
        <v>0.38</v>
      </c>
      <c r="F85" s="3">
        <v>0.27300000000000002</v>
      </c>
      <c r="G85" s="3">
        <v>0.28100000000000003</v>
      </c>
      <c r="H85" s="3">
        <v>0.34799999999999998</v>
      </c>
      <c r="I85" s="3">
        <v>0.14599999999999999</v>
      </c>
      <c r="J85" s="3">
        <v>0.26400000000000001</v>
      </c>
      <c r="K85" s="3">
        <v>0.248</v>
      </c>
      <c r="L85" s="3">
        <v>0.58599999999999997</v>
      </c>
      <c r="M85" s="3">
        <v>0.252</v>
      </c>
      <c r="N85" s="3">
        <v>0.38800000000000001</v>
      </c>
      <c r="O85" s="3">
        <v>0.124</v>
      </c>
      <c r="P85" s="3">
        <v>0.38800000000000001</v>
      </c>
      <c r="Q85" s="3">
        <v>0.17</v>
      </c>
      <c r="R85" s="3">
        <v>0.251</v>
      </c>
      <c r="S85" s="3">
        <v>0.189</v>
      </c>
      <c r="T85" s="3">
        <v>0.3</v>
      </c>
      <c r="U85" s="3">
        <v>0.19</v>
      </c>
      <c r="V85" s="3">
        <v>0.218</v>
      </c>
      <c r="W85" s="3">
        <v>0.20300000000000001</v>
      </c>
      <c r="X85" s="3">
        <v>0.22900000000000001</v>
      </c>
      <c r="Y85" s="3">
        <v>0.37</v>
      </c>
      <c r="Z85" s="3">
        <v>0.21</v>
      </c>
      <c r="AA85" s="3">
        <v>0.33</v>
      </c>
      <c r="AB85" s="3">
        <v>0.222</v>
      </c>
      <c r="AC85" s="3">
        <v>0.75549999999999995</v>
      </c>
      <c r="AD85" s="3">
        <v>0.71099999999999997</v>
      </c>
      <c r="AE85" s="3">
        <v>0.78500000000000003</v>
      </c>
      <c r="AF85" s="3">
        <v>0.86033333300000003</v>
      </c>
      <c r="AG85" s="3">
        <v>0.81825000000000003</v>
      </c>
      <c r="AH85" s="3">
        <v>0.84699999999999998</v>
      </c>
      <c r="AI85" s="3">
        <v>0.56850000000000001</v>
      </c>
      <c r="AJ85" s="3">
        <v>0.88100000000000001</v>
      </c>
      <c r="AK85" s="3">
        <v>0.88200000000000001</v>
      </c>
      <c r="AL85" s="3">
        <v>0.76200000000000001</v>
      </c>
      <c r="AM85" s="3">
        <v>0.01</v>
      </c>
      <c r="AN85" s="3">
        <v>0.72399999999999998</v>
      </c>
      <c r="AO85" s="3">
        <v>0.80900000000000005</v>
      </c>
    </row>
    <row r="86" spans="1:41" x14ac:dyDescent="0.3">
      <c r="A86" s="2" t="s">
        <v>312</v>
      </c>
      <c r="B86" s="2" t="s">
        <v>333</v>
      </c>
      <c r="C86" s="3">
        <v>0.51200000000000001</v>
      </c>
      <c r="D86" s="3">
        <v>0.40300000000000002</v>
      </c>
      <c r="E86" s="3">
        <v>0.52300000000000002</v>
      </c>
      <c r="F86" s="3">
        <v>0.39400000000000002</v>
      </c>
      <c r="G86" s="3">
        <v>0.38900000000000001</v>
      </c>
      <c r="H86" s="3">
        <v>0.46300000000000002</v>
      </c>
      <c r="I86" s="3">
        <v>0.25700000000000001</v>
      </c>
      <c r="J86" s="3">
        <v>0.34</v>
      </c>
      <c r="K86" s="3">
        <v>0.443</v>
      </c>
      <c r="L86" s="3">
        <v>0.60899999999999999</v>
      </c>
      <c r="M86" s="3">
        <v>0.42799999999999999</v>
      </c>
      <c r="N86" s="3">
        <v>0.439</v>
      </c>
      <c r="O86" s="3">
        <v>0.248</v>
      </c>
      <c r="P86" s="3">
        <v>0.439</v>
      </c>
      <c r="Q86" s="3">
        <v>0.26</v>
      </c>
      <c r="R86" s="3">
        <v>0.25600000000000001</v>
      </c>
      <c r="S86" s="3">
        <v>0.38300000000000001</v>
      </c>
      <c r="T86" s="3">
        <v>0.33500000000000002</v>
      </c>
      <c r="U86" s="3">
        <v>0.38600000000000001</v>
      </c>
      <c r="V86" s="3">
        <v>0.20100000000000001</v>
      </c>
      <c r="W86" s="3">
        <v>0.48</v>
      </c>
      <c r="X86" s="3">
        <v>0.29499999999999998</v>
      </c>
      <c r="Y86" s="3">
        <v>0.52</v>
      </c>
      <c r="Z86" s="3">
        <v>0.19700000000000001</v>
      </c>
      <c r="AA86" s="3">
        <v>0.495</v>
      </c>
      <c r="AB86" s="3">
        <v>0.23499999999999999</v>
      </c>
      <c r="AC86" s="3">
        <v>0.80700000000000005</v>
      </c>
      <c r="AD86" s="3">
        <v>0.79600000000000004</v>
      </c>
      <c r="AE86" s="3">
        <v>0.8175</v>
      </c>
      <c r="AF86" s="3">
        <v>0.87433333300000005</v>
      </c>
      <c r="AG86" s="3">
        <v>0.83050000000000002</v>
      </c>
      <c r="AH86" s="3">
        <v>0.86499999999999999</v>
      </c>
      <c r="AI86" s="3">
        <v>0.65049999999999997</v>
      </c>
      <c r="AJ86" s="3">
        <v>0.85399999999999998</v>
      </c>
      <c r="AK86" s="3">
        <v>0.82199999999999995</v>
      </c>
      <c r="AL86" s="3">
        <v>0.75666666699999996</v>
      </c>
      <c r="AM86" s="3">
        <v>0.01</v>
      </c>
      <c r="AN86" s="3">
        <v>0.746</v>
      </c>
      <c r="AO86" s="3">
        <v>0.80800000000000005</v>
      </c>
    </row>
    <row r="87" spans="1:41" x14ac:dyDescent="0.3">
      <c r="A87" s="2" t="s">
        <v>312</v>
      </c>
      <c r="B87" s="2" t="s">
        <v>334</v>
      </c>
      <c r="C87" s="3">
        <v>0.62</v>
      </c>
      <c r="D87" s="3">
        <v>0.41</v>
      </c>
      <c r="E87" s="3">
        <v>0.60699999999999998</v>
      </c>
      <c r="F87" s="3">
        <v>0.44500000000000001</v>
      </c>
      <c r="G87" s="3">
        <v>0.51200000000000001</v>
      </c>
      <c r="H87" s="3">
        <v>0.52400000000000002</v>
      </c>
      <c r="I87" s="3">
        <v>0.51800000000000002</v>
      </c>
      <c r="J87" s="3">
        <v>0.36799999999999999</v>
      </c>
      <c r="K87" s="3">
        <v>0.61499999999999999</v>
      </c>
      <c r="L87" s="3">
        <v>0.61699999999999999</v>
      </c>
      <c r="M87" s="3">
        <v>0.59499999999999997</v>
      </c>
      <c r="N87" s="3">
        <v>0.437</v>
      </c>
      <c r="O87" s="3">
        <v>0.36099999999999999</v>
      </c>
      <c r="P87" s="3">
        <v>0.437</v>
      </c>
      <c r="Q87" s="3">
        <v>0.40200000000000002</v>
      </c>
      <c r="R87" s="3">
        <v>0.27100000000000002</v>
      </c>
      <c r="S87" s="3">
        <v>0.60699999999999998</v>
      </c>
      <c r="T87" s="3">
        <v>0.36699999999999999</v>
      </c>
      <c r="U87" s="3">
        <v>0.60799999999999998</v>
      </c>
      <c r="V87" s="3">
        <v>0.19800000000000001</v>
      </c>
      <c r="W87" s="3">
        <v>0.52100000000000002</v>
      </c>
      <c r="X87" s="3">
        <v>0.34499999999999997</v>
      </c>
      <c r="Y87" s="3">
        <v>0.60599999999999998</v>
      </c>
      <c r="Z87" s="3">
        <v>0.20300000000000001</v>
      </c>
      <c r="AA87" s="3">
        <v>0.58899999999999997</v>
      </c>
      <c r="AB87" s="3">
        <v>0.26300000000000001</v>
      </c>
      <c r="AC87" s="3">
        <v>0.82950000000000002</v>
      </c>
      <c r="AD87" s="3">
        <v>0.79649999999999999</v>
      </c>
      <c r="AE87" s="3">
        <v>0.8145</v>
      </c>
      <c r="AF87" s="3">
        <v>0.87966666699999996</v>
      </c>
      <c r="AG87" s="3">
        <v>0.82158333400000005</v>
      </c>
      <c r="AH87" s="3">
        <v>0.86899999999999999</v>
      </c>
      <c r="AI87" s="3">
        <v>0.70199999999999996</v>
      </c>
      <c r="AJ87" s="3">
        <v>0.81366666700000001</v>
      </c>
      <c r="AK87" s="3">
        <v>0.746</v>
      </c>
      <c r="AL87" s="3">
        <v>0.76300000000000001</v>
      </c>
      <c r="AM87" s="3">
        <v>0.01</v>
      </c>
      <c r="AN87" s="3">
        <v>0.76133333299999995</v>
      </c>
      <c r="AO87" s="3">
        <v>0.80400000000000005</v>
      </c>
    </row>
    <row r="88" spans="1:41" x14ac:dyDescent="0.3">
      <c r="A88" s="2" t="s">
        <v>312</v>
      </c>
      <c r="B88" s="2" t="s">
        <v>335</v>
      </c>
      <c r="C88" s="3">
        <v>0.65100000000000002</v>
      </c>
      <c r="D88" s="3">
        <v>0.42299999999999999</v>
      </c>
      <c r="E88" s="3">
        <v>0.63500000000000001</v>
      </c>
      <c r="F88" s="3">
        <v>0.45900000000000002</v>
      </c>
      <c r="G88" s="3">
        <v>0.61699999999999999</v>
      </c>
      <c r="H88" s="3">
        <v>0.55700000000000005</v>
      </c>
      <c r="I88" s="3">
        <v>0.63800000000000001</v>
      </c>
      <c r="J88" s="3">
        <v>0.38700000000000001</v>
      </c>
      <c r="K88" s="3">
        <v>0.65600000000000003</v>
      </c>
      <c r="L88" s="3">
        <v>0.61299999999999999</v>
      </c>
      <c r="M88" s="3">
        <v>0.66</v>
      </c>
      <c r="N88" s="3">
        <v>0.44900000000000001</v>
      </c>
      <c r="O88" s="3">
        <v>0.26100000000000001</v>
      </c>
      <c r="P88" s="3">
        <v>0.44900000000000001</v>
      </c>
      <c r="Q88" s="3">
        <v>0.61199999999999999</v>
      </c>
      <c r="R88" s="3">
        <v>0.30199999999999999</v>
      </c>
      <c r="S88" s="3">
        <v>0.66200000000000003</v>
      </c>
      <c r="T88" s="3">
        <v>0.4</v>
      </c>
      <c r="U88" s="3">
        <v>0.66100000000000003</v>
      </c>
      <c r="V88" s="3">
        <v>0.215</v>
      </c>
      <c r="W88" s="3">
        <v>0.60899999999999999</v>
      </c>
      <c r="X88" s="3">
        <v>0.37</v>
      </c>
      <c r="Y88" s="3">
        <v>0.64700000000000002</v>
      </c>
      <c r="Z88" s="3">
        <v>0.20499999999999999</v>
      </c>
      <c r="AA88" s="3">
        <v>0.63700000000000001</v>
      </c>
      <c r="AB88" s="3">
        <v>0.19600000000000001</v>
      </c>
      <c r="AC88" s="3">
        <v>0.82950000000000002</v>
      </c>
      <c r="AD88" s="3">
        <v>0.78200000000000003</v>
      </c>
      <c r="AE88" s="3">
        <v>0.80600000000000005</v>
      </c>
      <c r="AF88" s="3">
        <v>0.89366666699999997</v>
      </c>
      <c r="AG88" s="3">
        <v>0.80358333400000004</v>
      </c>
      <c r="AH88" s="3">
        <v>0.879</v>
      </c>
      <c r="AI88" s="3">
        <v>0.747</v>
      </c>
      <c r="AJ88" s="3">
        <v>0.77766666699999998</v>
      </c>
      <c r="AK88" s="3">
        <v>0.73299999999999998</v>
      </c>
      <c r="AL88" s="3">
        <v>0.77900000000000003</v>
      </c>
      <c r="AM88" s="3">
        <v>0.01</v>
      </c>
      <c r="AN88" s="3">
        <v>0.76666666699999997</v>
      </c>
      <c r="AO88" s="3">
        <v>0.81599999999999995</v>
      </c>
    </row>
    <row r="89" spans="1:41" x14ac:dyDescent="0.3">
      <c r="A89" s="2" t="s">
        <v>312</v>
      </c>
      <c r="B89" s="2" t="s">
        <v>336</v>
      </c>
      <c r="C89" s="3">
        <v>0.64400000000000002</v>
      </c>
      <c r="D89" s="3">
        <v>0.436</v>
      </c>
      <c r="E89" s="3">
        <v>0.63100000000000001</v>
      </c>
      <c r="F89" s="3">
        <v>0.45600000000000002</v>
      </c>
      <c r="G89" s="3">
        <v>0.65100000000000002</v>
      </c>
      <c r="H89" s="3">
        <v>0.56899999999999995</v>
      </c>
      <c r="I89" s="3">
        <v>0.64100000000000001</v>
      </c>
      <c r="J89" s="3">
        <v>0.39500000000000002</v>
      </c>
      <c r="K89" s="3">
        <v>0.65100000000000002</v>
      </c>
      <c r="L89" s="3">
        <v>0.59699999999999998</v>
      </c>
      <c r="M89" s="3">
        <v>0.65400000000000003</v>
      </c>
      <c r="N89" s="3">
        <v>0.39200000000000002</v>
      </c>
      <c r="O89" s="3">
        <v>0.14199999999999999</v>
      </c>
      <c r="P89" s="3">
        <v>0.39200000000000002</v>
      </c>
      <c r="Q89" s="3">
        <v>0.65500000000000003</v>
      </c>
      <c r="R89" s="3">
        <v>0.32200000000000001</v>
      </c>
      <c r="S89" s="3">
        <v>0.65500000000000003</v>
      </c>
      <c r="T89" s="3">
        <v>0.42099999999999999</v>
      </c>
      <c r="U89" s="3">
        <v>0.65400000000000003</v>
      </c>
      <c r="V89" s="3">
        <v>0.24199999999999999</v>
      </c>
      <c r="W89" s="3">
        <v>0.55900000000000005</v>
      </c>
      <c r="X89" s="3">
        <v>0.35399999999999998</v>
      </c>
      <c r="Y89" s="3">
        <v>0.626</v>
      </c>
      <c r="Z89" s="3">
        <v>0.20899999999999999</v>
      </c>
      <c r="AA89" s="3">
        <v>0.61499999999999999</v>
      </c>
      <c r="AB89" s="3">
        <v>0.182</v>
      </c>
      <c r="AC89" s="3">
        <v>0.82450000000000001</v>
      </c>
      <c r="AD89" s="3">
        <v>0.77800000000000002</v>
      </c>
      <c r="AE89" s="3">
        <v>0.80900000000000005</v>
      </c>
      <c r="AF89" s="3">
        <v>0.90933333299999997</v>
      </c>
      <c r="AG89" s="3">
        <v>0.78408333399999997</v>
      </c>
      <c r="AH89" s="3">
        <v>0.89</v>
      </c>
      <c r="AI89" s="3">
        <v>0.77049999999999996</v>
      </c>
      <c r="AJ89" s="3">
        <v>0.74366666699999995</v>
      </c>
      <c r="AK89" s="3">
        <v>0.76649999999999996</v>
      </c>
      <c r="AL89" s="3">
        <v>0.79900000000000004</v>
      </c>
      <c r="AM89" s="3">
        <v>0.01</v>
      </c>
      <c r="AN89" s="3">
        <v>0.77133333299999995</v>
      </c>
      <c r="AO89" s="3">
        <v>0.83399999999999996</v>
      </c>
    </row>
    <row r="90" spans="1:41" x14ac:dyDescent="0.3">
      <c r="A90" s="2" t="s">
        <v>312</v>
      </c>
      <c r="B90" s="2" t="s">
        <v>337</v>
      </c>
      <c r="C90" s="3">
        <v>0.55200000000000005</v>
      </c>
      <c r="D90" s="3">
        <v>0.439</v>
      </c>
      <c r="E90" s="3">
        <v>0.58299999999999996</v>
      </c>
      <c r="F90" s="3">
        <v>0.442</v>
      </c>
      <c r="G90" s="3">
        <v>0.60699999999999998</v>
      </c>
      <c r="H90" s="3">
        <v>0.56599999999999995</v>
      </c>
      <c r="I90" s="3">
        <v>0.59099999999999997</v>
      </c>
      <c r="J90" s="3">
        <v>0.39300000000000002</v>
      </c>
      <c r="K90" s="3">
        <v>0.51</v>
      </c>
      <c r="L90" s="3">
        <v>0.59399999999999997</v>
      </c>
      <c r="M90" s="3">
        <v>0.59599999999999997</v>
      </c>
      <c r="N90" s="3">
        <v>0.30199999999999999</v>
      </c>
      <c r="O90" s="3">
        <v>0.127</v>
      </c>
      <c r="P90" s="3">
        <v>0.30199999999999999</v>
      </c>
      <c r="Q90" s="3">
        <v>0.58899999999999997</v>
      </c>
      <c r="R90" s="3">
        <v>0.31900000000000001</v>
      </c>
      <c r="S90" s="3">
        <v>0.48799999999999999</v>
      </c>
      <c r="T90" s="3">
        <v>0.40899999999999997</v>
      </c>
      <c r="U90" s="3">
        <v>0.48499999999999999</v>
      </c>
      <c r="V90" s="3">
        <v>0.25</v>
      </c>
      <c r="W90" s="3">
        <v>0.36699999999999999</v>
      </c>
      <c r="X90" s="3">
        <v>0.32100000000000001</v>
      </c>
      <c r="Y90" s="3">
        <v>0.55600000000000005</v>
      </c>
      <c r="Z90" s="3">
        <v>0.20200000000000001</v>
      </c>
      <c r="AA90" s="3">
        <v>0.50600000000000001</v>
      </c>
      <c r="AB90" s="3">
        <v>0.20699999999999999</v>
      </c>
      <c r="AC90" s="3">
        <v>0.82950000000000002</v>
      </c>
      <c r="AD90" s="3">
        <v>0.78549999999999998</v>
      </c>
      <c r="AE90" s="3">
        <v>0.82599999999999996</v>
      </c>
      <c r="AF90" s="3">
        <v>0.92600000000000005</v>
      </c>
      <c r="AG90" s="3">
        <v>0.77875000000000005</v>
      </c>
      <c r="AH90" s="3">
        <v>0.90600000000000003</v>
      </c>
      <c r="AI90" s="3">
        <v>0.79900000000000004</v>
      </c>
      <c r="AJ90" s="3">
        <v>0.72799999999999998</v>
      </c>
      <c r="AK90" s="3">
        <v>0.80549999999999999</v>
      </c>
      <c r="AL90" s="3">
        <v>0.81666666700000001</v>
      </c>
      <c r="AM90" s="3">
        <v>0.01</v>
      </c>
      <c r="AN90" s="3">
        <v>0.77333333299999996</v>
      </c>
      <c r="AO90" s="3">
        <v>0.85299999999999998</v>
      </c>
    </row>
    <row r="91" spans="1:41" x14ac:dyDescent="0.3">
      <c r="A91" s="2" t="s">
        <v>312</v>
      </c>
      <c r="B91" s="2" t="s">
        <v>338</v>
      </c>
      <c r="C91" s="3">
        <v>0.374</v>
      </c>
      <c r="D91" s="3">
        <v>0.42899999999999999</v>
      </c>
      <c r="E91" s="3">
        <v>0.48499999999999999</v>
      </c>
      <c r="F91" s="3">
        <v>0.41299999999999998</v>
      </c>
      <c r="G91" s="3">
        <v>0.51100000000000001</v>
      </c>
      <c r="H91" s="3">
        <v>0.54300000000000004</v>
      </c>
      <c r="I91" s="3">
        <v>0.48</v>
      </c>
      <c r="J91" s="3">
        <v>0.373</v>
      </c>
      <c r="K91" s="3">
        <v>0.33400000000000002</v>
      </c>
      <c r="L91" s="3">
        <v>0.627</v>
      </c>
      <c r="M91" s="3">
        <v>0.499</v>
      </c>
      <c r="N91" s="3">
        <v>0.248</v>
      </c>
      <c r="O91" s="3">
        <v>9.7000000000000003E-2</v>
      </c>
      <c r="P91" s="3">
        <v>0.248</v>
      </c>
      <c r="Q91" s="3">
        <v>0.439</v>
      </c>
      <c r="R91" s="3">
        <v>0.28999999999999998</v>
      </c>
      <c r="S91" s="3">
        <v>0.312</v>
      </c>
      <c r="T91" s="3">
        <v>0.35599999999999998</v>
      </c>
      <c r="U91" s="3">
        <v>0.313</v>
      </c>
      <c r="V91" s="3">
        <v>0.23</v>
      </c>
      <c r="W91" s="3">
        <v>0.32600000000000001</v>
      </c>
      <c r="X91" s="3">
        <v>0.27700000000000002</v>
      </c>
      <c r="Y91" s="3">
        <v>0.47799999999999998</v>
      </c>
      <c r="Z91" s="3">
        <v>0.16500000000000001</v>
      </c>
      <c r="AA91" s="3">
        <v>0.46500000000000002</v>
      </c>
      <c r="AB91" s="3">
        <v>0.17299999999999999</v>
      </c>
      <c r="AC91" s="3">
        <v>0.83350000000000002</v>
      </c>
      <c r="AD91" s="3">
        <v>0.79300000000000004</v>
      </c>
      <c r="AE91" s="3">
        <v>0.84850000000000003</v>
      </c>
      <c r="AF91" s="3">
        <v>0.93533333299999999</v>
      </c>
      <c r="AG91" s="3">
        <v>0.77991666699999995</v>
      </c>
      <c r="AH91" s="3">
        <v>0.91600000000000004</v>
      </c>
      <c r="AI91" s="3">
        <v>0.83099999999999996</v>
      </c>
      <c r="AJ91" s="3">
        <v>0.72633333300000003</v>
      </c>
      <c r="AK91" s="3">
        <v>0.82499999999999996</v>
      </c>
      <c r="AL91" s="3">
        <v>0.81499999999999995</v>
      </c>
      <c r="AM91" s="3">
        <v>0.01</v>
      </c>
      <c r="AN91" s="3">
        <v>0.76300000000000001</v>
      </c>
      <c r="AO91" s="3">
        <v>0.86199999999999999</v>
      </c>
    </row>
    <row r="92" spans="1:41" x14ac:dyDescent="0.3">
      <c r="A92" s="2" t="s">
        <v>312</v>
      </c>
      <c r="B92" s="2" t="s">
        <v>339</v>
      </c>
      <c r="C92" s="3">
        <v>0.23499999999999999</v>
      </c>
      <c r="D92" s="3">
        <v>0.38400000000000001</v>
      </c>
      <c r="E92" s="3">
        <v>0.35199999999999998</v>
      </c>
      <c r="F92" s="3">
        <v>0.41</v>
      </c>
      <c r="G92" s="3">
        <v>0.36799999999999999</v>
      </c>
      <c r="H92" s="3">
        <v>0.497</v>
      </c>
      <c r="I92" s="3">
        <v>0.27300000000000002</v>
      </c>
      <c r="J92" s="3">
        <v>0.309</v>
      </c>
      <c r="K92" s="3">
        <v>0.24199999999999999</v>
      </c>
      <c r="L92" s="3">
        <v>0.69</v>
      </c>
      <c r="M92" s="3">
        <v>0.35399999999999998</v>
      </c>
      <c r="N92" s="3">
        <v>0.22700000000000001</v>
      </c>
      <c r="O92" s="3">
        <v>0.1</v>
      </c>
      <c r="P92" s="3">
        <v>0.22700000000000001</v>
      </c>
      <c r="Q92" s="3">
        <v>0.24199999999999999</v>
      </c>
      <c r="R92" s="3">
        <v>0.23499999999999999</v>
      </c>
      <c r="S92" s="3">
        <v>0.23699999999999999</v>
      </c>
      <c r="T92" s="3">
        <v>0.28100000000000003</v>
      </c>
      <c r="U92" s="3">
        <v>0.23899999999999999</v>
      </c>
      <c r="V92" s="3">
        <v>0.20200000000000001</v>
      </c>
      <c r="W92" s="3">
        <v>0.318</v>
      </c>
      <c r="X92" s="3">
        <v>0.23799999999999999</v>
      </c>
      <c r="Y92" s="3">
        <v>0.36199999999999999</v>
      </c>
      <c r="Z92" s="3">
        <v>0.112</v>
      </c>
      <c r="AA92" s="3">
        <v>0.36199999999999999</v>
      </c>
      <c r="AB92" s="3">
        <v>0.129</v>
      </c>
      <c r="AC92" s="3">
        <v>0.82499999999999996</v>
      </c>
      <c r="AD92" s="3">
        <v>0.79</v>
      </c>
      <c r="AE92" s="3">
        <v>0.86299999999999999</v>
      </c>
      <c r="AF92" s="3">
        <v>0.93533333299999999</v>
      </c>
      <c r="AG92" s="3">
        <v>0.78166666699999998</v>
      </c>
      <c r="AH92" s="3">
        <v>0.91300000000000003</v>
      </c>
      <c r="AI92" s="3">
        <v>0.83799999999999997</v>
      </c>
      <c r="AJ92" s="3">
        <v>0.73833333300000004</v>
      </c>
      <c r="AK92" s="3">
        <v>0.83299999999999996</v>
      </c>
      <c r="AL92" s="3">
        <v>0.79900000000000004</v>
      </c>
      <c r="AM92" s="3">
        <v>0.01</v>
      </c>
      <c r="AN92" s="3">
        <v>0.73833333300000004</v>
      </c>
      <c r="AO92" s="3">
        <v>0.85699999999999998</v>
      </c>
    </row>
    <row r="93" spans="1:41" x14ac:dyDescent="0.3">
      <c r="A93" s="2" t="s">
        <v>312</v>
      </c>
      <c r="B93" s="2" t="s">
        <v>340</v>
      </c>
      <c r="C93" s="3">
        <v>0.11700000000000001</v>
      </c>
      <c r="D93" s="3">
        <v>0.34499999999999997</v>
      </c>
      <c r="E93" s="3">
        <v>0.185</v>
      </c>
      <c r="F93" s="3">
        <v>0.42399999999999999</v>
      </c>
      <c r="G93" s="3">
        <v>0.189</v>
      </c>
      <c r="H93" s="3">
        <v>0.47</v>
      </c>
      <c r="I93" s="3">
        <v>0.11700000000000001</v>
      </c>
      <c r="J93" s="3">
        <v>0.23899999999999999</v>
      </c>
      <c r="K93" s="3">
        <v>0.11</v>
      </c>
      <c r="L93" s="3">
        <v>0.73099999999999998</v>
      </c>
      <c r="M93" s="3">
        <v>0.13</v>
      </c>
      <c r="N93" s="3">
        <v>0.222</v>
      </c>
      <c r="O93" s="3">
        <v>7.8E-2</v>
      </c>
      <c r="P93" s="3">
        <v>0.222</v>
      </c>
      <c r="Q93" s="3">
        <v>0.105</v>
      </c>
      <c r="R93" s="3">
        <v>0.215</v>
      </c>
      <c r="S93" s="3">
        <v>0.123</v>
      </c>
      <c r="T93" s="3">
        <v>0.20300000000000001</v>
      </c>
      <c r="U93" s="3">
        <v>0.125</v>
      </c>
      <c r="V93" s="3">
        <v>0.16200000000000001</v>
      </c>
      <c r="W93" s="3">
        <v>0.19500000000000001</v>
      </c>
      <c r="X93" s="3">
        <v>0.23599999999999999</v>
      </c>
      <c r="Y93" s="3">
        <v>0.191</v>
      </c>
      <c r="Z93" s="3">
        <v>7.8E-2</v>
      </c>
      <c r="AA93" s="3">
        <v>0.20200000000000001</v>
      </c>
      <c r="AB93" s="3">
        <v>0.104</v>
      </c>
      <c r="AC93" s="3">
        <v>0.78900000000000003</v>
      </c>
      <c r="AD93" s="3">
        <v>0.76300000000000001</v>
      </c>
      <c r="AE93" s="3">
        <v>0.85499999999999998</v>
      </c>
      <c r="AF93" s="3">
        <v>0.92433333299999998</v>
      </c>
      <c r="AG93" s="3">
        <v>0.76483333399999998</v>
      </c>
      <c r="AH93" s="3">
        <v>0.88600000000000001</v>
      </c>
      <c r="AI93" s="3">
        <v>0.84399999999999997</v>
      </c>
      <c r="AJ93" s="3">
        <v>0.74066666699999995</v>
      </c>
      <c r="AK93" s="3">
        <v>0.8175</v>
      </c>
      <c r="AL93" s="3">
        <v>0.77033333299999995</v>
      </c>
      <c r="AM93" s="3">
        <v>0.01</v>
      </c>
      <c r="AN93" s="3">
        <v>0.699333333</v>
      </c>
      <c r="AO93" s="3">
        <v>0.82899999999999996</v>
      </c>
    </row>
    <row r="94" spans="1:41" x14ac:dyDescent="0.3">
      <c r="A94" s="2" t="s">
        <v>312</v>
      </c>
      <c r="B94" s="2" t="s">
        <v>341</v>
      </c>
      <c r="C94" s="3">
        <v>2.1999999999999999E-2</v>
      </c>
      <c r="D94" s="3">
        <v>0.38300000000000001</v>
      </c>
      <c r="E94" s="3">
        <v>3.9E-2</v>
      </c>
      <c r="F94" s="3">
        <v>0.47599999999999998</v>
      </c>
      <c r="G94" s="3">
        <v>3.5999999999999997E-2</v>
      </c>
      <c r="H94" s="3">
        <v>0.505</v>
      </c>
      <c r="I94" s="3">
        <v>3.2000000000000001E-2</v>
      </c>
      <c r="J94" s="3">
        <v>0.25700000000000001</v>
      </c>
      <c r="K94" s="3">
        <v>2.7E-2</v>
      </c>
      <c r="L94" s="3">
        <v>0.73599999999999999</v>
      </c>
      <c r="M94" s="3">
        <v>4.1000000000000002E-2</v>
      </c>
      <c r="N94" s="3">
        <v>0.23100000000000001</v>
      </c>
      <c r="O94" s="3">
        <v>3.6999999999999998E-2</v>
      </c>
      <c r="P94" s="3">
        <v>0.23100000000000001</v>
      </c>
      <c r="Q94" s="3">
        <v>0.02</v>
      </c>
      <c r="R94" s="3">
        <v>0.27900000000000003</v>
      </c>
      <c r="S94" s="3">
        <v>3.1E-2</v>
      </c>
      <c r="T94" s="3">
        <v>0.19700000000000001</v>
      </c>
      <c r="U94" s="3">
        <v>3.1E-2</v>
      </c>
      <c r="V94" s="3">
        <v>0.154</v>
      </c>
      <c r="W94" s="3">
        <v>4.7E-2</v>
      </c>
      <c r="X94" s="3">
        <v>0.25600000000000001</v>
      </c>
      <c r="Y94" s="3">
        <v>4.7E-2</v>
      </c>
      <c r="Z94" s="3">
        <v>0.06</v>
      </c>
      <c r="AA94" s="3">
        <v>5.7000000000000002E-2</v>
      </c>
      <c r="AB94" s="3">
        <v>8.2000000000000003E-2</v>
      </c>
      <c r="AC94" s="3">
        <v>0.76249999999999996</v>
      </c>
      <c r="AD94" s="3">
        <v>0.73899999999999999</v>
      </c>
      <c r="AE94" s="3">
        <v>0.82050000000000001</v>
      </c>
      <c r="AF94" s="3">
        <v>0.91133333299999997</v>
      </c>
      <c r="AG94" s="3">
        <v>0.74941666699999998</v>
      </c>
      <c r="AH94" s="3">
        <v>0.86699999999999999</v>
      </c>
      <c r="AI94" s="3">
        <v>0.85</v>
      </c>
      <c r="AJ94" s="3">
        <v>0.73633333300000003</v>
      </c>
      <c r="AK94" s="3">
        <v>0.8095</v>
      </c>
      <c r="AL94" s="3">
        <v>0.74166666699999995</v>
      </c>
      <c r="AM94" s="3">
        <v>0.01</v>
      </c>
      <c r="AN94" s="3">
        <v>0.67433333299999998</v>
      </c>
      <c r="AO94" s="3">
        <v>0.78500000000000003</v>
      </c>
    </row>
    <row r="95" spans="1:41" x14ac:dyDescent="0.3">
      <c r="A95" s="2" t="s">
        <v>312</v>
      </c>
      <c r="B95" s="2" t="s">
        <v>342</v>
      </c>
      <c r="C95" s="3">
        <v>0</v>
      </c>
      <c r="D95" s="3">
        <v>0.439</v>
      </c>
      <c r="E95" s="3">
        <v>0</v>
      </c>
      <c r="F95" s="3">
        <v>0.497</v>
      </c>
      <c r="G95" s="3">
        <v>0</v>
      </c>
      <c r="H95" s="3">
        <v>0.52400000000000002</v>
      </c>
      <c r="I95" s="3">
        <v>0</v>
      </c>
      <c r="J95" s="3">
        <v>0.3</v>
      </c>
      <c r="K95" s="3">
        <v>0</v>
      </c>
      <c r="L95" s="3">
        <v>0.73299999999999998</v>
      </c>
      <c r="M95" s="3">
        <v>0</v>
      </c>
      <c r="N95" s="3">
        <v>0.24</v>
      </c>
      <c r="O95" s="3">
        <v>0</v>
      </c>
      <c r="P95" s="3">
        <v>0.24</v>
      </c>
      <c r="Q95" s="3">
        <v>0</v>
      </c>
      <c r="R95" s="3">
        <v>0.376</v>
      </c>
      <c r="S95" s="3">
        <v>0</v>
      </c>
      <c r="T95" s="3">
        <v>0.24299999999999999</v>
      </c>
      <c r="U95" s="3">
        <v>0</v>
      </c>
      <c r="V95" s="3">
        <v>0.14199999999999999</v>
      </c>
      <c r="W95" s="3">
        <v>0</v>
      </c>
      <c r="X95" s="3">
        <v>0.28100000000000003</v>
      </c>
      <c r="Y95" s="3">
        <v>0</v>
      </c>
      <c r="Z95" s="3">
        <v>4.8000000000000001E-2</v>
      </c>
      <c r="AA95" s="3">
        <v>0</v>
      </c>
      <c r="AB95" s="3">
        <v>4.5999999999999999E-2</v>
      </c>
      <c r="AC95" s="3">
        <v>0.76500000000000001</v>
      </c>
      <c r="AD95" s="3">
        <v>0.72750000000000004</v>
      </c>
      <c r="AE95" s="3">
        <v>0.79800000000000004</v>
      </c>
      <c r="AF95" s="3">
        <v>0.90800000000000003</v>
      </c>
      <c r="AG95" s="3">
        <v>0.75349999999999995</v>
      </c>
      <c r="AH95" s="3">
        <v>0.87</v>
      </c>
      <c r="AI95" s="3">
        <v>0.85099999999999998</v>
      </c>
      <c r="AJ95" s="3">
        <v>0.74199999999999999</v>
      </c>
      <c r="AK95" s="3">
        <v>0.8105</v>
      </c>
      <c r="AL95" s="3">
        <v>0.73299999999999998</v>
      </c>
      <c r="AM95" s="3">
        <v>0.01</v>
      </c>
      <c r="AN95" s="3">
        <v>0.681666667</v>
      </c>
      <c r="AO95" s="3">
        <v>0.77500000000000002</v>
      </c>
    </row>
    <row r="96" spans="1:41" x14ac:dyDescent="0.3">
      <c r="A96" s="2" t="s">
        <v>312</v>
      </c>
      <c r="B96" s="2" t="s">
        <v>343</v>
      </c>
      <c r="C96" s="3">
        <v>0</v>
      </c>
      <c r="D96" s="3">
        <v>0.442</v>
      </c>
      <c r="E96" s="3">
        <v>0</v>
      </c>
      <c r="F96" s="3">
        <v>0.45600000000000002</v>
      </c>
      <c r="G96" s="3">
        <v>0</v>
      </c>
      <c r="H96" s="3">
        <v>0.51200000000000001</v>
      </c>
      <c r="I96" s="3">
        <v>0</v>
      </c>
      <c r="J96" s="3">
        <v>0.311</v>
      </c>
      <c r="K96" s="3">
        <v>0</v>
      </c>
      <c r="L96" s="3">
        <v>0.75800000000000001</v>
      </c>
      <c r="M96" s="3">
        <v>0</v>
      </c>
      <c r="N96" s="3">
        <v>0.23300000000000001</v>
      </c>
      <c r="O96" s="3">
        <v>0</v>
      </c>
      <c r="P96" s="3">
        <v>0.23300000000000001</v>
      </c>
      <c r="Q96" s="3">
        <v>0</v>
      </c>
      <c r="R96" s="3">
        <v>0.44800000000000001</v>
      </c>
      <c r="S96" s="3">
        <v>0</v>
      </c>
      <c r="T96" s="3">
        <v>0.27900000000000003</v>
      </c>
      <c r="U96" s="3">
        <v>0</v>
      </c>
      <c r="V96" s="3">
        <v>0.107</v>
      </c>
      <c r="W96" s="3">
        <v>0</v>
      </c>
      <c r="X96" s="3">
        <v>0.28499999999999998</v>
      </c>
      <c r="Y96" s="3">
        <v>0</v>
      </c>
      <c r="Z96" s="3">
        <v>4.2999999999999997E-2</v>
      </c>
      <c r="AA96" s="3">
        <v>0</v>
      </c>
      <c r="AB96" s="3">
        <v>2.4E-2</v>
      </c>
      <c r="AC96" s="3">
        <v>0.75800000000000001</v>
      </c>
      <c r="AD96" s="3">
        <v>0.7</v>
      </c>
      <c r="AE96" s="3">
        <v>0.77800000000000002</v>
      </c>
      <c r="AF96" s="3">
        <v>0.89633333299999995</v>
      </c>
      <c r="AG96" s="3">
        <v>0.74483333399999996</v>
      </c>
      <c r="AH96" s="3">
        <v>0.86099999999999999</v>
      </c>
      <c r="AI96" s="3">
        <v>0.86550000000000005</v>
      </c>
      <c r="AJ96" s="3">
        <v>0.73166666700000005</v>
      </c>
      <c r="AK96" s="3">
        <v>0.79100000000000004</v>
      </c>
      <c r="AL96" s="3">
        <v>0.73366666700000005</v>
      </c>
      <c r="AM96" s="3">
        <v>0.01</v>
      </c>
      <c r="AN96" s="3">
        <v>0.68966666700000001</v>
      </c>
      <c r="AO96" s="3">
        <v>0.76200000000000001</v>
      </c>
    </row>
    <row r="97" spans="1:41" x14ac:dyDescent="0.3">
      <c r="A97" s="2" t="s">
        <v>312</v>
      </c>
      <c r="B97" s="2" t="s">
        <v>344</v>
      </c>
      <c r="C97" s="3">
        <v>0</v>
      </c>
      <c r="D97" s="3">
        <v>0.443</v>
      </c>
      <c r="E97" s="3">
        <v>0</v>
      </c>
      <c r="F97" s="3">
        <v>0.39800000000000002</v>
      </c>
      <c r="G97" s="3">
        <v>0</v>
      </c>
      <c r="H97" s="3">
        <v>0.48699999999999999</v>
      </c>
      <c r="I97" s="3">
        <v>0</v>
      </c>
      <c r="J97" s="3">
        <v>0.28699999999999998</v>
      </c>
      <c r="K97" s="3">
        <v>0</v>
      </c>
      <c r="L97" s="3">
        <v>0.79100000000000004</v>
      </c>
      <c r="M97" s="3">
        <v>0</v>
      </c>
      <c r="N97" s="3">
        <v>0.22500000000000001</v>
      </c>
      <c r="O97" s="3">
        <v>0</v>
      </c>
      <c r="P97" s="3">
        <v>0.22500000000000001</v>
      </c>
      <c r="Q97" s="3">
        <v>0</v>
      </c>
      <c r="R97" s="3">
        <v>0.442</v>
      </c>
      <c r="S97" s="3">
        <v>0</v>
      </c>
      <c r="T97" s="3">
        <v>0.27200000000000002</v>
      </c>
      <c r="U97" s="3">
        <v>0</v>
      </c>
      <c r="V97" s="3">
        <v>0.08</v>
      </c>
      <c r="W97" s="3">
        <v>0</v>
      </c>
      <c r="X97" s="3">
        <v>0.26100000000000001</v>
      </c>
      <c r="Y97" s="3">
        <v>0</v>
      </c>
      <c r="Z97" s="3">
        <v>4.2999999999999997E-2</v>
      </c>
      <c r="AA97" s="3">
        <v>0</v>
      </c>
      <c r="AB97" s="3">
        <v>2.3E-2</v>
      </c>
      <c r="AC97" s="3">
        <v>0.73850000000000005</v>
      </c>
      <c r="AD97" s="3">
        <v>0.6845</v>
      </c>
      <c r="AE97" s="3">
        <v>0.76549999999999996</v>
      </c>
      <c r="AF97" s="3">
        <v>0.88833333299999995</v>
      </c>
      <c r="AG97" s="3">
        <v>0.72291666700000001</v>
      </c>
      <c r="AH97" s="3">
        <v>0.85399999999999998</v>
      </c>
      <c r="AI97" s="3">
        <v>0.89049999999999996</v>
      </c>
      <c r="AJ97" s="3">
        <v>0.70733333300000001</v>
      </c>
      <c r="AK97" s="3">
        <v>0.754</v>
      </c>
      <c r="AL97" s="3">
        <v>0.73066666700000005</v>
      </c>
      <c r="AM97" s="3">
        <v>0.01</v>
      </c>
      <c r="AN97" s="3">
        <v>0.68633333299999999</v>
      </c>
      <c r="AO97" s="3">
        <v>0.73699999999999999</v>
      </c>
    </row>
    <row r="98" spans="1:41" x14ac:dyDescent="0.3">
      <c r="A98" s="2" t="s">
        <v>312</v>
      </c>
      <c r="B98" s="2" t="s">
        <v>345</v>
      </c>
      <c r="C98" s="3">
        <v>0</v>
      </c>
      <c r="D98" s="3">
        <v>0.439</v>
      </c>
      <c r="E98" s="3">
        <v>0</v>
      </c>
      <c r="F98" s="3">
        <v>0.34200000000000003</v>
      </c>
      <c r="G98" s="3">
        <v>0</v>
      </c>
      <c r="H98" s="3">
        <v>0.45500000000000002</v>
      </c>
      <c r="I98" s="3">
        <v>0</v>
      </c>
      <c r="J98" s="3">
        <v>0.26</v>
      </c>
      <c r="K98" s="3">
        <v>0</v>
      </c>
      <c r="L98" s="3">
        <v>0.80400000000000005</v>
      </c>
      <c r="M98" s="3">
        <v>0</v>
      </c>
      <c r="N98" s="3">
        <v>0.223</v>
      </c>
      <c r="O98" s="3">
        <v>0</v>
      </c>
      <c r="P98" s="3">
        <v>0.223</v>
      </c>
      <c r="Q98" s="3">
        <v>0</v>
      </c>
      <c r="R98" s="3">
        <v>0.39300000000000002</v>
      </c>
      <c r="S98" s="3">
        <v>0</v>
      </c>
      <c r="T98" s="3">
        <v>0.25800000000000001</v>
      </c>
      <c r="U98" s="3">
        <v>0</v>
      </c>
      <c r="V98" s="3">
        <v>5.3999999999999999E-2</v>
      </c>
      <c r="W98" s="3">
        <v>0</v>
      </c>
      <c r="X98" s="3">
        <v>0.247</v>
      </c>
      <c r="Y98" s="3">
        <v>0</v>
      </c>
      <c r="Z98" s="3">
        <v>4.2999999999999997E-2</v>
      </c>
      <c r="AA98" s="3">
        <v>0</v>
      </c>
      <c r="AB98" s="3">
        <v>3.5999999999999997E-2</v>
      </c>
      <c r="AC98" s="3">
        <v>0.748</v>
      </c>
      <c r="AD98" s="3">
        <v>0.69350000000000001</v>
      </c>
      <c r="AE98" s="3">
        <v>0.77100000000000002</v>
      </c>
      <c r="AF98" s="3">
        <v>0.88300000000000001</v>
      </c>
      <c r="AG98" s="3">
        <v>0.71683333400000004</v>
      </c>
      <c r="AH98" s="3">
        <v>0.86399999999999999</v>
      </c>
      <c r="AI98" s="3">
        <v>0.91100000000000003</v>
      </c>
      <c r="AJ98" s="3">
        <v>0.68566666700000001</v>
      </c>
      <c r="AK98" s="3">
        <v>0.71199999999999997</v>
      </c>
      <c r="AL98" s="3">
        <v>0.69099999999999995</v>
      </c>
      <c r="AM98" s="3">
        <v>0.01</v>
      </c>
      <c r="AN98" s="3">
        <v>0.69133333299999999</v>
      </c>
      <c r="AO98" s="3">
        <v>0.70299999999999996</v>
      </c>
    </row>
    <row r="99" spans="1:41" x14ac:dyDescent="0.3">
      <c r="A99" s="2" t="s">
        <v>312</v>
      </c>
      <c r="B99" s="2" t="s">
        <v>346</v>
      </c>
      <c r="C99" s="3">
        <v>0</v>
      </c>
      <c r="D99" s="3">
        <v>0.439</v>
      </c>
      <c r="E99" s="3">
        <v>0</v>
      </c>
      <c r="F99" s="3">
        <v>0.312</v>
      </c>
      <c r="G99" s="3">
        <v>0</v>
      </c>
      <c r="H99" s="3">
        <v>0.42899999999999999</v>
      </c>
      <c r="I99" s="3">
        <v>0</v>
      </c>
      <c r="J99" s="3">
        <v>0.27</v>
      </c>
      <c r="K99" s="3">
        <v>0</v>
      </c>
      <c r="L99" s="3">
        <v>0.80600000000000005</v>
      </c>
      <c r="M99" s="3">
        <v>0</v>
      </c>
      <c r="N99" s="3">
        <v>0.22500000000000001</v>
      </c>
      <c r="O99" s="3">
        <v>0</v>
      </c>
      <c r="P99" s="3">
        <v>0.22500000000000001</v>
      </c>
      <c r="Q99" s="3">
        <v>0</v>
      </c>
      <c r="R99" s="3">
        <v>0.35299999999999998</v>
      </c>
      <c r="S99" s="3">
        <v>0</v>
      </c>
      <c r="T99" s="3">
        <v>0.25900000000000001</v>
      </c>
      <c r="U99" s="3">
        <v>0</v>
      </c>
      <c r="V99" s="3">
        <v>4.1000000000000002E-2</v>
      </c>
      <c r="W99" s="3">
        <v>0</v>
      </c>
      <c r="X99" s="3">
        <v>0.224</v>
      </c>
      <c r="Y99" s="3">
        <v>0</v>
      </c>
      <c r="Z99" s="3">
        <v>4.5999999999999999E-2</v>
      </c>
      <c r="AA99" s="3">
        <v>0</v>
      </c>
      <c r="AB99" s="3">
        <v>5.0999999999999997E-2</v>
      </c>
      <c r="AC99" s="3">
        <v>0.75549999999999995</v>
      </c>
      <c r="AD99" s="3">
        <v>0.70699999999999996</v>
      </c>
      <c r="AE99" s="3">
        <v>0.78200000000000003</v>
      </c>
      <c r="AF99" s="3">
        <v>0.88333333300000005</v>
      </c>
      <c r="AG99" s="3">
        <v>0.71074999999999999</v>
      </c>
      <c r="AH99" s="3">
        <v>0.872</v>
      </c>
      <c r="AI99" s="3">
        <v>0.91649999999999998</v>
      </c>
      <c r="AJ99" s="3">
        <v>0.66600000000000004</v>
      </c>
      <c r="AK99" s="3">
        <v>0.66600000000000004</v>
      </c>
      <c r="AL99" s="3">
        <v>0.622</v>
      </c>
      <c r="AM99" s="3">
        <v>0.01</v>
      </c>
      <c r="AN99" s="3">
        <v>0.68333333299999999</v>
      </c>
      <c r="AO99" s="3">
        <v>0.66200000000000003</v>
      </c>
    </row>
    <row r="100" spans="1:41" x14ac:dyDescent="0.3">
      <c r="A100" s="2" t="s">
        <v>312</v>
      </c>
      <c r="B100" s="2" t="s">
        <v>347</v>
      </c>
      <c r="C100" s="3">
        <v>0</v>
      </c>
      <c r="D100" s="3">
        <v>0.44800000000000001</v>
      </c>
      <c r="E100" s="3">
        <v>0</v>
      </c>
      <c r="F100" s="3">
        <v>0.28699999999999998</v>
      </c>
      <c r="G100" s="3">
        <v>0</v>
      </c>
      <c r="H100" s="3">
        <v>0.39600000000000002</v>
      </c>
      <c r="I100" s="3">
        <v>0</v>
      </c>
      <c r="J100" s="3">
        <v>0.27</v>
      </c>
      <c r="K100" s="3">
        <v>0</v>
      </c>
      <c r="L100" s="3">
        <v>0.79700000000000004</v>
      </c>
      <c r="M100" s="3">
        <v>0</v>
      </c>
      <c r="N100" s="3">
        <v>0.23899999999999999</v>
      </c>
      <c r="O100" s="3">
        <v>0</v>
      </c>
      <c r="P100" s="3">
        <v>0.23899999999999999</v>
      </c>
      <c r="Q100" s="3">
        <v>0</v>
      </c>
      <c r="R100" s="3">
        <v>0.34899999999999998</v>
      </c>
      <c r="S100" s="3">
        <v>0</v>
      </c>
      <c r="T100" s="3">
        <v>0.27</v>
      </c>
      <c r="U100" s="3">
        <v>0</v>
      </c>
      <c r="V100" s="3">
        <v>2.9000000000000001E-2</v>
      </c>
      <c r="W100" s="3">
        <v>0</v>
      </c>
      <c r="X100" s="3">
        <v>0.19700000000000001</v>
      </c>
      <c r="Y100" s="3">
        <v>0</v>
      </c>
      <c r="Z100" s="3">
        <v>5.5E-2</v>
      </c>
      <c r="AA100" s="3">
        <v>0</v>
      </c>
      <c r="AB100" s="3">
        <v>7.3999999999999996E-2</v>
      </c>
      <c r="AC100" s="3">
        <v>0.75749999999999995</v>
      </c>
      <c r="AD100" s="3">
        <v>0.70599999999999996</v>
      </c>
      <c r="AE100" s="3">
        <v>0.78049999999999997</v>
      </c>
      <c r="AF100" s="3">
        <v>0.87866666699999996</v>
      </c>
      <c r="AG100" s="3">
        <v>0.70541666700000005</v>
      </c>
      <c r="AH100" s="3">
        <v>0.86599999999999999</v>
      </c>
      <c r="AI100" s="3">
        <v>0.91100000000000003</v>
      </c>
      <c r="AJ100" s="3">
        <v>0.65333333299999996</v>
      </c>
      <c r="AK100" s="3">
        <v>0.62350000000000005</v>
      </c>
      <c r="AL100" s="3">
        <v>0.55700000000000005</v>
      </c>
      <c r="AM100" s="3">
        <v>0.01</v>
      </c>
      <c r="AN100" s="3">
        <v>0.66433333299999997</v>
      </c>
      <c r="AO100" s="3">
        <v>0.63900000000000001</v>
      </c>
    </row>
    <row r="101" spans="1:41" x14ac:dyDescent="0.3">
      <c r="A101" s="2" t="s">
        <v>313</v>
      </c>
      <c r="B101" s="2" t="s">
        <v>324</v>
      </c>
      <c r="C101" s="3">
        <v>0</v>
      </c>
      <c r="D101" s="3">
        <v>0.161</v>
      </c>
      <c r="E101" s="3">
        <v>0</v>
      </c>
      <c r="F101" s="3">
        <v>0.11899999999999999</v>
      </c>
      <c r="G101" s="3">
        <v>0</v>
      </c>
      <c r="H101" s="3">
        <v>0.13400000000000001</v>
      </c>
      <c r="I101" s="3">
        <v>0</v>
      </c>
      <c r="J101" s="3">
        <v>0.185</v>
      </c>
      <c r="K101" s="3">
        <v>0</v>
      </c>
      <c r="L101" s="3">
        <v>0.221</v>
      </c>
      <c r="M101" s="3">
        <v>0</v>
      </c>
      <c r="N101" s="3">
        <v>0.315</v>
      </c>
      <c r="O101" s="3">
        <v>0</v>
      </c>
      <c r="P101" s="3">
        <v>0.315</v>
      </c>
      <c r="Q101" s="3">
        <v>0</v>
      </c>
      <c r="R101" s="3">
        <v>0.17499999999999999</v>
      </c>
      <c r="S101" s="3">
        <v>0</v>
      </c>
      <c r="T101" s="3">
        <v>0.20200000000000001</v>
      </c>
      <c r="U101" s="3">
        <v>0</v>
      </c>
      <c r="V101" s="3">
        <v>9.6000000000000002E-2</v>
      </c>
      <c r="W101" s="3">
        <v>0</v>
      </c>
      <c r="X101" s="3">
        <v>0.10299999999999999</v>
      </c>
      <c r="Y101" s="3">
        <v>0</v>
      </c>
      <c r="Z101" s="3">
        <v>5.8000000000000003E-2</v>
      </c>
      <c r="AA101" s="3">
        <v>0</v>
      </c>
      <c r="AB101" s="3">
        <v>2.3E-2</v>
      </c>
      <c r="AC101" s="3">
        <v>8.7999999999999995E-2</v>
      </c>
      <c r="AD101" s="3">
        <v>0.33100000000000002</v>
      </c>
      <c r="AE101" s="3">
        <v>0.34350000000000003</v>
      </c>
      <c r="AF101" s="3">
        <v>0.235666667</v>
      </c>
      <c r="AG101" s="3">
        <v>8.7333333999999999E-2</v>
      </c>
      <c r="AH101" s="3">
        <v>7.4999999999999997E-2</v>
      </c>
      <c r="AI101" s="3">
        <v>0.47649999999999998</v>
      </c>
      <c r="AJ101" s="3">
        <v>8.6666667000000003E-2</v>
      </c>
      <c r="AK101" s="3">
        <v>0.16350000000000001</v>
      </c>
      <c r="AL101" s="3">
        <v>0.142666667</v>
      </c>
      <c r="AM101" s="3">
        <v>0.01</v>
      </c>
      <c r="AN101" s="3">
        <v>6.3666666999999996E-2</v>
      </c>
      <c r="AO101" s="3">
        <v>0.13100000000000001</v>
      </c>
    </row>
    <row r="102" spans="1:41" x14ac:dyDescent="0.3">
      <c r="A102" s="2" t="s">
        <v>313</v>
      </c>
      <c r="B102" s="2" t="s">
        <v>325</v>
      </c>
      <c r="C102" s="3">
        <v>0</v>
      </c>
      <c r="D102" s="3">
        <v>0.16300000000000001</v>
      </c>
      <c r="E102" s="3">
        <v>0</v>
      </c>
      <c r="F102" s="3">
        <v>0.127</v>
      </c>
      <c r="G102" s="3">
        <v>0</v>
      </c>
      <c r="H102" s="3">
        <v>0.13400000000000001</v>
      </c>
      <c r="I102" s="3">
        <v>0</v>
      </c>
      <c r="J102" s="3">
        <v>0.185</v>
      </c>
      <c r="K102" s="3">
        <v>0</v>
      </c>
      <c r="L102" s="3">
        <v>0.183</v>
      </c>
      <c r="M102" s="3">
        <v>0</v>
      </c>
      <c r="N102" s="3">
        <v>0.30199999999999999</v>
      </c>
      <c r="O102" s="3">
        <v>0</v>
      </c>
      <c r="P102" s="3">
        <v>0.30199999999999999</v>
      </c>
      <c r="Q102" s="3">
        <v>0</v>
      </c>
      <c r="R102" s="3">
        <v>0.157</v>
      </c>
      <c r="S102" s="3">
        <v>0</v>
      </c>
      <c r="T102" s="3">
        <v>0.19400000000000001</v>
      </c>
      <c r="U102" s="3">
        <v>0</v>
      </c>
      <c r="V102" s="3">
        <v>7.1999999999999995E-2</v>
      </c>
      <c r="W102" s="3">
        <v>0</v>
      </c>
      <c r="X102" s="3">
        <v>0.09</v>
      </c>
      <c r="Y102" s="3">
        <v>0</v>
      </c>
      <c r="Z102" s="3">
        <v>3.6999999999999998E-2</v>
      </c>
      <c r="AA102" s="3">
        <v>0</v>
      </c>
      <c r="AB102" s="3">
        <v>1.2999999999999999E-2</v>
      </c>
      <c r="AC102" s="3">
        <v>7.9500000000000001E-2</v>
      </c>
      <c r="AD102" s="3">
        <v>0.29099999999999998</v>
      </c>
      <c r="AE102" s="3">
        <v>0.29149999999999998</v>
      </c>
      <c r="AF102" s="3">
        <v>0.20433333300000001</v>
      </c>
      <c r="AG102" s="3">
        <v>8.9249999999999996E-2</v>
      </c>
      <c r="AH102" s="3">
        <v>5.7000000000000002E-2</v>
      </c>
      <c r="AI102" s="3">
        <v>0.46750000000000003</v>
      </c>
      <c r="AJ102" s="3">
        <v>9.9000000000000005E-2</v>
      </c>
      <c r="AK102" s="3">
        <v>0.1925</v>
      </c>
      <c r="AL102" s="3">
        <v>0.153</v>
      </c>
      <c r="AM102" s="3">
        <v>0.01</v>
      </c>
      <c r="AN102" s="3">
        <v>6.9666667000000002E-2</v>
      </c>
      <c r="AO102" s="3">
        <v>0.16200000000000001</v>
      </c>
    </row>
    <row r="103" spans="1:41" x14ac:dyDescent="0.3">
      <c r="A103" s="2" t="s">
        <v>313</v>
      </c>
      <c r="B103" s="2" t="s">
        <v>326</v>
      </c>
      <c r="C103" s="3">
        <v>0</v>
      </c>
      <c r="D103" s="3">
        <v>0.16200000000000001</v>
      </c>
      <c r="E103" s="3">
        <v>0</v>
      </c>
      <c r="F103" s="3">
        <v>0.124</v>
      </c>
      <c r="G103" s="3">
        <v>0</v>
      </c>
      <c r="H103" s="3">
        <v>0.115</v>
      </c>
      <c r="I103" s="3">
        <v>0</v>
      </c>
      <c r="J103" s="3">
        <v>0.182</v>
      </c>
      <c r="K103" s="3">
        <v>0</v>
      </c>
      <c r="L103" s="3">
        <v>0.17100000000000001</v>
      </c>
      <c r="M103" s="3">
        <v>0</v>
      </c>
      <c r="N103" s="3">
        <v>0.29599999999999999</v>
      </c>
      <c r="O103" s="3">
        <v>0</v>
      </c>
      <c r="P103" s="3">
        <v>0.29599999999999999</v>
      </c>
      <c r="Q103" s="3">
        <v>0</v>
      </c>
      <c r="R103" s="3">
        <v>0.14000000000000001</v>
      </c>
      <c r="S103" s="3">
        <v>0</v>
      </c>
      <c r="T103" s="3">
        <v>0.18</v>
      </c>
      <c r="U103" s="3">
        <v>0</v>
      </c>
      <c r="V103" s="3">
        <v>6.0999999999999999E-2</v>
      </c>
      <c r="W103" s="3">
        <v>0</v>
      </c>
      <c r="X103" s="3">
        <v>7.5999999999999998E-2</v>
      </c>
      <c r="Y103" s="3">
        <v>0</v>
      </c>
      <c r="Z103" s="3">
        <v>2.7E-2</v>
      </c>
      <c r="AA103" s="3">
        <v>0</v>
      </c>
      <c r="AB103" s="3">
        <v>8.9999999999999993E-3</v>
      </c>
      <c r="AC103" s="3">
        <v>7.2999999999999995E-2</v>
      </c>
      <c r="AD103" s="3">
        <v>0.253</v>
      </c>
      <c r="AE103" s="3">
        <v>0.247</v>
      </c>
      <c r="AF103" s="3">
        <v>0.170333333</v>
      </c>
      <c r="AG103" s="3">
        <v>9.3166666999999995E-2</v>
      </c>
      <c r="AH103" s="3">
        <v>3.7999999999999999E-2</v>
      </c>
      <c r="AI103" s="3">
        <v>0.44</v>
      </c>
      <c r="AJ103" s="3">
        <v>0.11333333299999999</v>
      </c>
      <c r="AK103" s="3">
        <v>0.218</v>
      </c>
      <c r="AL103" s="3">
        <v>0.16866666699999999</v>
      </c>
      <c r="AM103" s="3">
        <v>0.01</v>
      </c>
      <c r="AN103" s="3">
        <v>8.2000000000000003E-2</v>
      </c>
      <c r="AO103" s="3">
        <v>0.2</v>
      </c>
    </row>
    <row r="104" spans="1:41" x14ac:dyDescent="0.3">
      <c r="A104" s="2" t="s">
        <v>313</v>
      </c>
      <c r="B104" s="2" t="s">
        <v>327</v>
      </c>
      <c r="C104" s="3">
        <v>0</v>
      </c>
      <c r="D104" s="3">
        <v>0.158</v>
      </c>
      <c r="E104" s="3">
        <v>0</v>
      </c>
      <c r="F104" s="3">
        <v>0.11799999999999999</v>
      </c>
      <c r="G104" s="3">
        <v>0</v>
      </c>
      <c r="H104" s="3">
        <v>9.8000000000000004E-2</v>
      </c>
      <c r="I104" s="3">
        <v>0</v>
      </c>
      <c r="J104" s="3">
        <v>0.183</v>
      </c>
      <c r="K104" s="3">
        <v>0</v>
      </c>
      <c r="L104" s="3">
        <v>0.18099999999999999</v>
      </c>
      <c r="M104" s="3">
        <v>0</v>
      </c>
      <c r="N104" s="3">
        <v>0.28799999999999998</v>
      </c>
      <c r="O104" s="3">
        <v>0</v>
      </c>
      <c r="P104" s="3">
        <v>0.28799999999999998</v>
      </c>
      <c r="Q104" s="3">
        <v>0</v>
      </c>
      <c r="R104" s="3">
        <v>0.123</v>
      </c>
      <c r="S104" s="3">
        <v>0</v>
      </c>
      <c r="T104" s="3">
        <v>0.16900000000000001</v>
      </c>
      <c r="U104" s="3">
        <v>0</v>
      </c>
      <c r="V104" s="3">
        <v>5.8999999999999997E-2</v>
      </c>
      <c r="W104" s="3">
        <v>0</v>
      </c>
      <c r="X104" s="3">
        <v>7.5999999999999998E-2</v>
      </c>
      <c r="Y104" s="3">
        <v>0</v>
      </c>
      <c r="Z104" s="3">
        <v>2.5000000000000001E-2</v>
      </c>
      <c r="AA104" s="3">
        <v>0</v>
      </c>
      <c r="AB104" s="3">
        <v>1.2999999999999999E-2</v>
      </c>
      <c r="AC104" s="3">
        <v>7.2499999999999995E-2</v>
      </c>
      <c r="AD104" s="3">
        <v>0.22800000000000001</v>
      </c>
      <c r="AE104" s="3">
        <v>0.20300000000000001</v>
      </c>
      <c r="AF104" s="3">
        <v>0.129</v>
      </c>
      <c r="AG104" s="3">
        <v>9.8916667E-2</v>
      </c>
      <c r="AH104" s="3">
        <v>1.7999999999999999E-2</v>
      </c>
      <c r="AI104" s="3">
        <v>0.41149999999999998</v>
      </c>
      <c r="AJ104" s="3">
        <v>0.12533333299999999</v>
      </c>
      <c r="AK104" s="3">
        <v>0.23749999999999999</v>
      </c>
      <c r="AL104" s="3">
        <v>0.200333333</v>
      </c>
      <c r="AM104" s="3">
        <v>0.01</v>
      </c>
      <c r="AN104" s="3">
        <v>0.102666667</v>
      </c>
      <c r="AO104" s="3">
        <v>0.249</v>
      </c>
    </row>
    <row r="105" spans="1:41" x14ac:dyDescent="0.3">
      <c r="A105" s="2" t="s">
        <v>313</v>
      </c>
      <c r="B105" s="2" t="s">
        <v>328</v>
      </c>
      <c r="C105" s="3">
        <v>0</v>
      </c>
      <c r="D105" s="3">
        <v>0.156</v>
      </c>
      <c r="E105" s="3">
        <v>0</v>
      </c>
      <c r="F105" s="3">
        <v>0.115</v>
      </c>
      <c r="G105" s="3">
        <v>0</v>
      </c>
      <c r="H105" s="3">
        <v>0.09</v>
      </c>
      <c r="I105" s="3">
        <v>0</v>
      </c>
      <c r="J105" s="3">
        <v>0.19400000000000001</v>
      </c>
      <c r="K105" s="3">
        <v>0</v>
      </c>
      <c r="L105" s="3">
        <v>0.21</v>
      </c>
      <c r="M105" s="3">
        <v>0</v>
      </c>
      <c r="N105" s="3">
        <v>0.28999999999999998</v>
      </c>
      <c r="O105" s="3">
        <v>0</v>
      </c>
      <c r="P105" s="3">
        <v>0.28999999999999998</v>
      </c>
      <c r="Q105" s="3">
        <v>0</v>
      </c>
      <c r="R105" s="3">
        <v>0.113</v>
      </c>
      <c r="S105" s="3">
        <v>0</v>
      </c>
      <c r="T105" s="3">
        <v>0.17399999999999999</v>
      </c>
      <c r="U105" s="3">
        <v>0</v>
      </c>
      <c r="V105" s="3">
        <v>6.3E-2</v>
      </c>
      <c r="W105" s="3">
        <v>0</v>
      </c>
      <c r="X105" s="3">
        <v>8.6999999999999994E-2</v>
      </c>
      <c r="Y105" s="3">
        <v>0</v>
      </c>
      <c r="Z105" s="3">
        <v>2.7E-2</v>
      </c>
      <c r="AA105" s="3">
        <v>0</v>
      </c>
      <c r="AB105" s="3">
        <v>2.1000000000000001E-2</v>
      </c>
      <c r="AC105" s="3">
        <v>8.1500000000000003E-2</v>
      </c>
      <c r="AD105" s="3">
        <v>0.20349999999999999</v>
      </c>
      <c r="AE105" s="3">
        <v>0.152</v>
      </c>
      <c r="AF105" s="3">
        <v>8.8666667000000005E-2</v>
      </c>
      <c r="AG105" s="3">
        <v>0.108583334</v>
      </c>
      <c r="AH105" s="3">
        <v>0.01</v>
      </c>
      <c r="AI105" s="3">
        <v>0.372</v>
      </c>
      <c r="AJ105" s="3">
        <v>0.13566666699999999</v>
      </c>
      <c r="AK105" s="3">
        <v>0.2495</v>
      </c>
      <c r="AL105" s="3">
        <v>0.24399999999999999</v>
      </c>
      <c r="AM105" s="3">
        <v>0.01</v>
      </c>
      <c r="AN105" s="3">
        <v>0.13300000000000001</v>
      </c>
      <c r="AO105" s="3">
        <v>0.30499999999999999</v>
      </c>
    </row>
    <row r="106" spans="1:41" x14ac:dyDescent="0.3">
      <c r="A106" s="2" t="s">
        <v>313</v>
      </c>
      <c r="B106" s="2" t="s">
        <v>329</v>
      </c>
      <c r="C106" s="3">
        <v>0</v>
      </c>
      <c r="D106" s="3">
        <v>0.153</v>
      </c>
      <c r="E106" s="3">
        <v>0</v>
      </c>
      <c r="F106" s="3">
        <v>0.11799999999999999</v>
      </c>
      <c r="G106" s="3">
        <v>0</v>
      </c>
      <c r="H106" s="3">
        <v>9.2999999999999999E-2</v>
      </c>
      <c r="I106" s="3">
        <v>0</v>
      </c>
      <c r="J106" s="3">
        <v>0.20399999999999999</v>
      </c>
      <c r="K106" s="3">
        <v>0</v>
      </c>
      <c r="L106" s="3">
        <v>0.23699999999999999</v>
      </c>
      <c r="M106" s="3">
        <v>0</v>
      </c>
      <c r="N106" s="3">
        <v>0.30599999999999999</v>
      </c>
      <c r="O106" s="3">
        <v>0</v>
      </c>
      <c r="P106" s="3">
        <v>0.30599999999999999</v>
      </c>
      <c r="Q106" s="3">
        <v>0</v>
      </c>
      <c r="R106" s="3">
        <v>0.112</v>
      </c>
      <c r="S106" s="3">
        <v>0</v>
      </c>
      <c r="T106" s="3">
        <v>0.184</v>
      </c>
      <c r="U106" s="3">
        <v>0</v>
      </c>
      <c r="V106" s="3">
        <v>7.0000000000000007E-2</v>
      </c>
      <c r="W106" s="3">
        <v>0</v>
      </c>
      <c r="X106" s="3">
        <v>9.9000000000000005E-2</v>
      </c>
      <c r="Y106" s="3">
        <v>0</v>
      </c>
      <c r="Z106" s="3">
        <v>3.3000000000000002E-2</v>
      </c>
      <c r="AA106" s="3">
        <v>0</v>
      </c>
      <c r="AB106" s="3">
        <v>3.3000000000000002E-2</v>
      </c>
      <c r="AC106" s="3">
        <v>9.6000000000000002E-2</v>
      </c>
      <c r="AD106" s="3">
        <v>0.16650000000000001</v>
      </c>
      <c r="AE106" s="3">
        <v>0.10150000000000001</v>
      </c>
      <c r="AF106" s="3">
        <v>6.3666666999999996E-2</v>
      </c>
      <c r="AG106" s="3">
        <v>0.1235</v>
      </c>
      <c r="AH106" s="3">
        <v>1.7000000000000001E-2</v>
      </c>
      <c r="AI106" s="3">
        <v>0.34399999999999997</v>
      </c>
      <c r="AJ106" s="3">
        <v>0.151</v>
      </c>
      <c r="AK106" s="3">
        <v>0.25950000000000001</v>
      </c>
      <c r="AL106" s="3">
        <v>0.29099999999999998</v>
      </c>
      <c r="AM106" s="3">
        <v>0.01</v>
      </c>
      <c r="AN106" s="3">
        <v>0.16900000000000001</v>
      </c>
      <c r="AO106" s="3">
        <v>0.35699999999999998</v>
      </c>
    </row>
    <row r="107" spans="1:41" x14ac:dyDescent="0.3">
      <c r="A107" s="2" t="s">
        <v>313</v>
      </c>
      <c r="B107" s="2" t="s">
        <v>330</v>
      </c>
      <c r="C107" s="3">
        <v>3.3000000000000002E-2</v>
      </c>
      <c r="D107" s="3">
        <v>0.154</v>
      </c>
      <c r="E107" s="3">
        <v>1.4999999999999999E-2</v>
      </c>
      <c r="F107" s="3">
        <v>0.122</v>
      </c>
      <c r="G107" s="3">
        <v>2.1000000000000001E-2</v>
      </c>
      <c r="H107" s="3">
        <v>0.10299999999999999</v>
      </c>
      <c r="I107" s="3">
        <v>1.2E-2</v>
      </c>
      <c r="J107" s="3">
        <v>0.20899999999999999</v>
      </c>
      <c r="K107" s="3">
        <v>2.1000000000000001E-2</v>
      </c>
      <c r="L107" s="3">
        <v>0.254</v>
      </c>
      <c r="M107" s="3">
        <v>1.4E-2</v>
      </c>
      <c r="N107" s="3">
        <v>0.318</v>
      </c>
      <c r="O107" s="3">
        <v>1E-3</v>
      </c>
      <c r="P107" s="3">
        <v>0.318</v>
      </c>
      <c r="Q107" s="3">
        <v>3.5000000000000003E-2</v>
      </c>
      <c r="R107" s="3">
        <v>0.121</v>
      </c>
      <c r="S107" s="3">
        <v>1.9E-2</v>
      </c>
      <c r="T107" s="3">
        <v>0.189</v>
      </c>
      <c r="U107" s="3">
        <v>1.9E-2</v>
      </c>
      <c r="V107" s="3">
        <v>8.2000000000000003E-2</v>
      </c>
      <c r="W107" s="3">
        <v>1.0999999999999999E-2</v>
      </c>
      <c r="X107" s="3">
        <v>9.8000000000000004E-2</v>
      </c>
      <c r="Y107" s="3">
        <v>1.6E-2</v>
      </c>
      <c r="Z107" s="3">
        <v>4.4999999999999998E-2</v>
      </c>
      <c r="AA107" s="3">
        <v>8.9999999999999993E-3</v>
      </c>
      <c r="AB107" s="3">
        <v>4.7E-2</v>
      </c>
      <c r="AC107" s="3">
        <v>0.115</v>
      </c>
      <c r="AD107" s="3">
        <v>0.124</v>
      </c>
      <c r="AE107" s="3">
        <v>6.3E-2</v>
      </c>
      <c r="AF107" s="3">
        <v>5.7666666999999998E-2</v>
      </c>
      <c r="AG107" s="3">
        <v>0.140333334</v>
      </c>
      <c r="AH107" s="3">
        <v>4.4999999999999998E-2</v>
      </c>
      <c r="AI107" s="3">
        <v>0.31950000000000001</v>
      </c>
      <c r="AJ107" s="3">
        <v>0.16566666699999999</v>
      </c>
      <c r="AK107" s="3">
        <v>0.26400000000000001</v>
      </c>
      <c r="AL107" s="3">
        <v>0.32700000000000001</v>
      </c>
      <c r="AM107" s="3">
        <v>0.01</v>
      </c>
      <c r="AN107" s="3">
        <v>0.20100000000000001</v>
      </c>
      <c r="AO107" s="3">
        <v>0.39200000000000002</v>
      </c>
    </row>
    <row r="108" spans="1:41" x14ac:dyDescent="0.3">
      <c r="A108" s="2" t="s">
        <v>313</v>
      </c>
      <c r="B108" s="2" t="s">
        <v>331</v>
      </c>
      <c r="C108" s="3">
        <v>0.19400000000000001</v>
      </c>
      <c r="D108" s="3">
        <v>0.12</v>
      </c>
      <c r="E108" s="3">
        <v>0.09</v>
      </c>
      <c r="F108" s="3">
        <v>9.4E-2</v>
      </c>
      <c r="G108" s="3">
        <v>0.16700000000000001</v>
      </c>
      <c r="H108" s="3">
        <v>9.2999999999999999E-2</v>
      </c>
      <c r="I108" s="3">
        <v>0.14000000000000001</v>
      </c>
      <c r="J108" s="3">
        <v>0.14799999999999999</v>
      </c>
      <c r="K108" s="3">
        <v>0.13800000000000001</v>
      </c>
      <c r="L108" s="3">
        <v>0.26</v>
      </c>
      <c r="M108" s="3">
        <v>0.14799999999999999</v>
      </c>
      <c r="N108" s="3">
        <v>0.27100000000000002</v>
      </c>
      <c r="O108" s="3">
        <v>4.2000000000000003E-2</v>
      </c>
      <c r="P108" s="3">
        <v>0.27100000000000002</v>
      </c>
      <c r="Q108" s="3">
        <v>0.20100000000000001</v>
      </c>
      <c r="R108" s="3">
        <v>0.114</v>
      </c>
      <c r="S108" s="3">
        <v>0.13400000000000001</v>
      </c>
      <c r="T108" s="3">
        <v>0.14599999999999999</v>
      </c>
      <c r="U108" s="3">
        <v>0.13300000000000001</v>
      </c>
      <c r="V108" s="3">
        <v>7.0000000000000007E-2</v>
      </c>
      <c r="W108" s="3">
        <v>0.124</v>
      </c>
      <c r="X108" s="3">
        <v>7.2999999999999995E-2</v>
      </c>
      <c r="Y108" s="3">
        <v>0.12</v>
      </c>
      <c r="Z108" s="3">
        <v>5.8000000000000003E-2</v>
      </c>
      <c r="AA108" s="3">
        <v>0.121</v>
      </c>
      <c r="AB108" s="3">
        <v>6.9000000000000006E-2</v>
      </c>
      <c r="AC108" s="3">
        <v>0.111</v>
      </c>
      <c r="AD108" s="3">
        <v>7.7499999999999999E-2</v>
      </c>
      <c r="AE108" s="3">
        <v>3.5499999999999997E-2</v>
      </c>
      <c r="AF108" s="3">
        <v>6.1333332999999997E-2</v>
      </c>
      <c r="AG108" s="3">
        <v>0.13266666699999999</v>
      </c>
      <c r="AH108" s="3">
        <v>7.6999999999999999E-2</v>
      </c>
      <c r="AI108" s="3">
        <v>0.28349999999999997</v>
      </c>
      <c r="AJ108" s="3">
        <v>0.15433333299999999</v>
      </c>
      <c r="AK108" s="3">
        <v>0.22</v>
      </c>
      <c r="AL108" s="3">
        <v>0.325333333</v>
      </c>
      <c r="AM108" s="3">
        <v>0.01</v>
      </c>
      <c r="AN108" s="3">
        <v>0.193333333</v>
      </c>
      <c r="AO108" s="3">
        <v>0.35799999999999998</v>
      </c>
    </row>
    <row r="109" spans="1:41" x14ac:dyDescent="0.3">
      <c r="A109" s="2" t="s">
        <v>313</v>
      </c>
      <c r="B109" s="2" t="s">
        <v>332</v>
      </c>
      <c r="C109" s="3">
        <v>0.40699999999999997</v>
      </c>
      <c r="D109" s="3">
        <v>8.6999999999999994E-2</v>
      </c>
      <c r="E109" s="3">
        <v>0.26600000000000001</v>
      </c>
      <c r="F109" s="3">
        <v>6.0999999999999999E-2</v>
      </c>
      <c r="G109" s="3">
        <v>0.35199999999999998</v>
      </c>
      <c r="H109" s="3">
        <v>6.5000000000000002E-2</v>
      </c>
      <c r="I109" s="3">
        <v>0.32700000000000001</v>
      </c>
      <c r="J109" s="3">
        <v>9.9000000000000005E-2</v>
      </c>
      <c r="K109" s="3">
        <v>0.38500000000000001</v>
      </c>
      <c r="L109" s="3">
        <v>0.26300000000000001</v>
      </c>
      <c r="M109" s="3">
        <v>0.32800000000000001</v>
      </c>
      <c r="N109" s="3">
        <v>0.20399999999999999</v>
      </c>
      <c r="O109" s="3">
        <v>0.109</v>
      </c>
      <c r="P109" s="3">
        <v>0.20399999999999999</v>
      </c>
      <c r="Q109" s="3">
        <v>0.39900000000000002</v>
      </c>
      <c r="R109" s="3">
        <v>0.10100000000000001</v>
      </c>
      <c r="S109" s="3">
        <v>0.38900000000000001</v>
      </c>
      <c r="T109" s="3">
        <v>0.105</v>
      </c>
      <c r="U109" s="3">
        <v>0.38900000000000001</v>
      </c>
      <c r="V109" s="3">
        <v>4.5999999999999999E-2</v>
      </c>
      <c r="W109" s="3">
        <v>0.375</v>
      </c>
      <c r="X109" s="3">
        <v>5.6000000000000001E-2</v>
      </c>
      <c r="Y109" s="3">
        <v>0.29699999999999999</v>
      </c>
      <c r="Z109" s="3">
        <v>5.5E-2</v>
      </c>
      <c r="AA109" s="3">
        <v>0.34200000000000003</v>
      </c>
      <c r="AB109" s="3">
        <v>5.8999999999999997E-2</v>
      </c>
      <c r="AC109" s="3">
        <v>7.9500000000000001E-2</v>
      </c>
      <c r="AD109" s="3">
        <v>3.4000000000000002E-2</v>
      </c>
      <c r="AE109" s="3">
        <v>1.2500000000000001E-2</v>
      </c>
      <c r="AF109" s="3">
        <v>5.1999999999999998E-2</v>
      </c>
      <c r="AG109" s="3">
        <v>0.110416667</v>
      </c>
      <c r="AH109" s="3">
        <v>7.2999999999999995E-2</v>
      </c>
      <c r="AI109" s="3">
        <v>0.23749999999999999</v>
      </c>
      <c r="AJ109" s="3">
        <v>0.14133333300000001</v>
      </c>
      <c r="AK109" s="3">
        <v>0.1875</v>
      </c>
      <c r="AL109" s="3">
        <v>0.28766666699999999</v>
      </c>
      <c r="AM109" s="3">
        <v>0.01</v>
      </c>
      <c r="AN109" s="3">
        <v>0.15166666700000001</v>
      </c>
      <c r="AO109" s="3">
        <v>0.26100000000000001</v>
      </c>
    </row>
    <row r="110" spans="1:41" x14ac:dyDescent="0.3">
      <c r="A110" s="2" t="s">
        <v>313</v>
      </c>
      <c r="B110" s="2" t="s">
        <v>333</v>
      </c>
      <c r="C110" s="3">
        <v>0.55400000000000005</v>
      </c>
      <c r="D110" s="3">
        <v>6.9000000000000006E-2</v>
      </c>
      <c r="E110" s="3">
        <v>0.54</v>
      </c>
      <c r="F110" s="3">
        <v>4.9000000000000002E-2</v>
      </c>
      <c r="G110" s="3">
        <v>0.505</v>
      </c>
      <c r="H110" s="3">
        <v>6.4000000000000001E-2</v>
      </c>
      <c r="I110" s="3">
        <v>0.49199999999999999</v>
      </c>
      <c r="J110" s="3">
        <v>7.0999999999999994E-2</v>
      </c>
      <c r="K110" s="3">
        <v>0.55000000000000004</v>
      </c>
      <c r="L110" s="3">
        <v>0.25700000000000001</v>
      </c>
      <c r="M110" s="3">
        <v>0.51300000000000001</v>
      </c>
      <c r="N110" s="3">
        <v>0.23</v>
      </c>
      <c r="O110" s="3">
        <v>0.248</v>
      </c>
      <c r="P110" s="3">
        <v>0.23</v>
      </c>
      <c r="Q110" s="3">
        <v>0.53500000000000003</v>
      </c>
      <c r="R110" s="3">
        <v>8.6999999999999994E-2</v>
      </c>
      <c r="S110" s="3">
        <v>0.54400000000000004</v>
      </c>
      <c r="T110" s="3">
        <v>8.1000000000000003E-2</v>
      </c>
      <c r="U110" s="3">
        <v>0.54400000000000004</v>
      </c>
      <c r="V110" s="3">
        <v>3.7999999999999999E-2</v>
      </c>
      <c r="W110" s="3">
        <v>0.53600000000000003</v>
      </c>
      <c r="X110" s="3">
        <v>6.0999999999999999E-2</v>
      </c>
      <c r="Y110" s="3">
        <v>0.53</v>
      </c>
      <c r="Z110" s="3">
        <v>6.6000000000000003E-2</v>
      </c>
      <c r="AA110" s="3">
        <v>0.52800000000000002</v>
      </c>
      <c r="AB110" s="3">
        <v>7.0999999999999994E-2</v>
      </c>
      <c r="AC110" s="3">
        <v>7.2999999999999995E-2</v>
      </c>
      <c r="AD110" s="3">
        <v>2.1499999999999998E-2</v>
      </c>
      <c r="AE110" s="3">
        <v>7.4999999999999997E-3</v>
      </c>
      <c r="AF110" s="3">
        <v>4.9000000000000002E-2</v>
      </c>
      <c r="AG110" s="3">
        <v>0.1145</v>
      </c>
      <c r="AH110" s="3">
        <v>7.3999999999999996E-2</v>
      </c>
      <c r="AI110" s="3">
        <v>0.2185</v>
      </c>
      <c r="AJ110" s="3">
        <v>0.156</v>
      </c>
      <c r="AK110" s="3">
        <v>0.20549999999999999</v>
      </c>
      <c r="AL110" s="3">
        <v>0.25766666700000002</v>
      </c>
      <c r="AM110" s="3">
        <v>0.01</v>
      </c>
      <c r="AN110" s="3">
        <v>0.13200000000000001</v>
      </c>
      <c r="AO110" s="3">
        <v>0.20399999999999999</v>
      </c>
    </row>
    <row r="111" spans="1:41" x14ac:dyDescent="0.3">
      <c r="A111" s="2" t="s">
        <v>313</v>
      </c>
      <c r="B111" s="2" t="s">
        <v>334</v>
      </c>
      <c r="C111" s="3">
        <v>0.64400000000000002</v>
      </c>
      <c r="D111" s="3">
        <v>5.5E-2</v>
      </c>
      <c r="E111" s="3">
        <v>0.63800000000000001</v>
      </c>
      <c r="F111" s="3">
        <v>4.9000000000000002E-2</v>
      </c>
      <c r="G111" s="3">
        <v>0.59699999999999998</v>
      </c>
      <c r="H111" s="3">
        <v>7.4999999999999997E-2</v>
      </c>
      <c r="I111" s="3">
        <v>0.59299999999999997</v>
      </c>
      <c r="J111" s="3">
        <v>4.2999999999999997E-2</v>
      </c>
      <c r="K111" s="3">
        <v>0.64900000000000002</v>
      </c>
      <c r="L111" s="3">
        <v>0.245</v>
      </c>
      <c r="M111" s="3">
        <v>0.61799999999999999</v>
      </c>
      <c r="N111" s="3">
        <v>0.29399999999999998</v>
      </c>
      <c r="O111" s="3">
        <v>0.31</v>
      </c>
      <c r="P111" s="3">
        <v>0.29399999999999998</v>
      </c>
      <c r="Q111" s="3">
        <v>0.64</v>
      </c>
      <c r="R111" s="3">
        <v>6.9000000000000006E-2</v>
      </c>
      <c r="S111" s="3">
        <v>0.64500000000000002</v>
      </c>
      <c r="T111" s="3">
        <v>5.5E-2</v>
      </c>
      <c r="U111" s="3">
        <v>0.64500000000000002</v>
      </c>
      <c r="V111" s="3">
        <v>2.7E-2</v>
      </c>
      <c r="W111" s="3">
        <v>0.64100000000000001</v>
      </c>
      <c r="X111" s="3">
        <v>5.5E-2</v>
      </c>
      <c r="Y111" s="3">
        <v>0.63800000000000001</v>
      </c>
      <c r="Z111" s="3">
        <v>7.5999999999999998E-2</v>
      </c>
      <c r="AA111" s="3">
        <v>0.63700000000000001</v>
      </c>
      <c r="AB111" s="3">
        <v>0.111</v>
      </c>
      <c r="AC111" s="3">
        <v>7.1499999999999994E-2</v>
      </c>
      <c r="AD111" s="3">
        <v>2.1499999999999998E-2</v>
      </c>
      <c r="AE111" s="3">
        <v>7.0000000000000001E-3</v>
      </c>
      <c r="AF111" s="3">
        <v>5.7666666999999998E-2</v>
      </c>
      <c r="AG111" s="3">
        <v>0.12275</v>
      </c>
      <c r="AH111" s="3">
        <v>7.8E-2</v>
      </c>
      <c r="AI111" s="3">
        <v>0.216</v>
      </c>
      <c r="AJ111" s="3">
        <v>0.17399999999999999</v>
      </c>
      <c r="AK111" s="3">
        <v>0.22</v>
      </c>
      <c r="AL111" s="3">
        <v>0.246</v>
      </c>
      <c r="AM111" s="3">
        <v>0.01</v>
      </c>
      <c r="AN111" s="3">
        <v>0.11600000000000001</v>
      </c>
      <c r="AO111" s="3">
        <v>0.158</v>
      </c>
    </row>
    <row r="112" spans="1:41" x14ac:dyDescent="0.3">
      <c r="A112" s="2" t="s">
        <v>313</v>
      </c>
      <c r="B112" s="2" t="s">
        <v>335</v>
      </c>
      <c r="C112" s="3">
        <v>0.68600000000000005</v>
      </c>
      <c r="D112" s="3">
        <v>0.05</v>
      </c>
      <c r="E112" s="3">
        <v>0.68799999999999994</v>
      </c>
      <c r="F112" s="3">
        <v>5.1999999999999998E-2</v>
      </c>
      <c r="G112" s="3">
        <v>0.46800000000000003</v>
      </c>
      <c r="H112" s="3">
        <v>8.8999999999999996E-2</v>
      </c>
      <c r="I112" s="3">
        <v>0.59699999999999998</v>
      </c>
      <c r="J112" s="3">
        <v>2.9000000000000001E-2</v>
      </c>
      <c r="K112" s="3">
        <v>0.69799999999999995</v>
      </c>
      <c r="L112" s="3">
        <v>0.23</v>
      </c>
      <c r="M112" s="3">
        <v>0.63200000000000001</v>
      </c>
      <c r="N112" s="3">
        <v>0.32500000000000001</v>
      </c>
      <c r="O112" s="3">
        <v>0.27800000000000002</v>
      </c>
      <c r="P112" s="3">
        <v>0.32500000000000001</v>
      </c>
      <c r="Q112" s="3">
        <v>0.68300000000000005</v>
      </c>
      <c r="R112" s="3">
        <v>5.2999999999999999E-2</v>
      </c>
      <c r="S112" s="3">
        <v>0.69499999999999995</v>
      </c>
      <c r="T112" s="3">
        <v>3.6999999999999998E-2</v>
      </c>
      <c r="U112" s="3">
        <v>0.69499999999999995</v>
      </c>
      <c r="V112" s="3">
        <v>1.9E-2</v>
      </c>
      <c r="W112" s="3">
        <v>0.69799999999999995</v>
      </c>
      <c r="X112" s="3">
        <v>0.05</v>
      </c>
      <c r="Y112" s="3">
        <v>0.69199999999999995</v>
      </c>
      <c r="Z112" s="3">
        <v>7.8E-2</v>
      </c>
      <c r="AA112" s="3">
        <v>0.69399999999999995</v>
      </c>
      <c r="AB112" s="3">
        <v>0.13400000000000001</v>
      </c>
      <c r="AC112" s="3">
        <v>7.1499999999999994E-2</v>
      </c>
      <c r="AD112" s="3">
        <v>2.8500000000000001E-2</v>
      </c>
      <c r="AE112" s="3">
        <v>5.4999999999999997E-3</v>
      </c>
      <c r="AF112" s="3">
        <v>6.7333332999999995E-2</v>
      </c>
      <c r="AG112" s="3">
        <v>0.13008333399999999</v>
      </c>
      <c r="AH112" s="3">
        <v>7.5999999999999998E-2</v>
      </c>
      <c r="AI112" s="3">
        <v>0.2205</v>
      </c>
      <c r="AJ112" s="3">
        <v>0.18866666700000001</v>
      </c>
      <c r="AK112" s="3">
        <v>0.22850000000000001</v>
      </c>
      <c r="AL112" s="3">
        <v>0.25800000000000001</v>
      </c>
      <c r="AM112" s="3">
        <v>0.01</v>
      </c>
      <c r="AN112" s="3">
        <v>0.101333333</v>
      </c>
      <c r="AO112" s="3">
        <v>0.124</v>
      </c>
    </row>
    <row r="113" spans="1:41" x14ac:dyDescent="0.3">
      <c r="A113" s="2" t="s">
        <v>313</v>
      </c>
      <c r="B113" s="2" t="s">
        <v>336</v>
      </c>
      <c r="C113" s="3">
        <v>0.68600000000000005</v>
      </c>
      <c r="D113" s="3">
        <v>4.8000000000000001E-2</v>
      </c>
      <c r="E113" s="3">
        <v>0.68700000000000006</v>
      </c>
      <c r="F113" s="3">
        <v>5.8999999999999997E-2</v>
      </c>
      <c r="G113" s="3">
        <v>0.57499999999999996</v>
      </c>
      <c r="H113" s="3">
        <v>0.107</v>
      </c>
      <c r="I113" s="3">
        <v>0.53900000000000003</v>
      </c>
      <c r="J113" s="3">
        <v>2.1000000000000001E-2</v>
      </c>
      <c r="K113" s="3">
        <v>0.69799999999999995</v>
      </c>
      <c r="L113" s="3">
        <v>0.214</v>
      </c>
      <c r="M113" s="3">
        <v>0.65600000000000003</v>
      </c>
      <c r="N113" s="3">
        <v>0.33500000000000002</v>
      </c>
      <c r="O113" s="3">
        <v>0.26600000000000001</v>
      </c>
      <c r="P113" s="3">
        <v>0.33500000000000002</v>
      </c>
      <c r="Q113" s="3">
        <v>0.68799999999999994</v>
      </c>
      <c r="R113" s="3">
        <v>4.2000000000000003E-2</v>
      </c>
      <c r="S113" s="3">
        <v>0.7</v>
      </c>
      <c r="T113" s="3">
        <v>2.5999999999999999E-2</v>
      </c>
      <c r="U113" s="3">
        <v>0.7</v>
      </c>
      <c r="V113" s="3">
        <v>1.6E-2</v>
      </c>
      <c r="W113" s="3">
        <v>0.70699999999999996</v>
      </c>
      <c r="X113" s="3">
        <v>4.7E-2</v>
      </c>
      <c r="Y113" s="3">
        <v>0.69699999999999995</v>
      </c>
      <c r="Z113" s="3">
        <v>7.9000000000000001E-2</v>
      </c>
      <c r="AA113" s="3">
        <v>0.70499999999999996</v>
      </c>
      <c r="AB113" s="3">
        <v>0.13700000000000001</v>
      </c>
      <c r="AC113" s="3">
        <v>7.4499999999999997E-2</v>
      </c>
      <c r="AD113" s="3">
        <v>4.4499999999999998E-2</v>
      </c>
      <c r="AE113" s="3">
        <v>5.0000000000000001E-3</v>
      </c>
      <c r="AF113" s="3">
        <v>7.0999999999999994E-2</v>
      </c>
      <c r="AG113" s="3">
        <v>0.14074999999999999</v>
      </c>
      <c r="AH113" s="3">
        <v>6.9000000000000006E-2</v>
      </c>
      <c r="AI113" s="3">
        <v>0.20649999999999999</v>
      </c>
      <c r="AJ113" s="3">
        <v>0.20699999999999999</v>
      </c>
      <c r="AK113" s="3">
        <v>0.23499999999999999</v>
      </c>
      <c r="AL113" s="3">
        <v>0.28666666699999999</v>
      </c>
      <c r="AM113" s="3">
        <v>0.01</v>
      </c>
      <c r="AN113" s="3">
        <v>9.0666667000000006E-2</v>
      </c>
      <c r="AO113" s="3">
        <v>0.1</v>
      </c>
    </row>
    <row r="114" spans="1:41" x14ac:dyDescent="0.3">
      <c r="A114" s="2" t="s">
        <v>313</v>
      </c>
      <c r="B114" s="2" t="s">
        <v>337</v>
      </c>
      <c r="C114" s="3">
        <v>0.63600000000000001</v>
      </c>
      <c r="D114" s="3">
        <v>4.8000000000000001E-2</v>
      </c>
      <c r="E114" s="3">
        <v>0.64300000000000002</v>
      </c>
      <c r="F114" s="3">
        <v>6.9000000000000006E-2</v>
      </c>
      <c r="G114" s="3">
        <v>0.54200000000000004</v>
      </c>
      <c r="H114" s="3">
        <v>0.125</v>
      </c>
      <c r="I114" s="3">
        <v>0.52</v>
      </c>
      <c r="J114" s="3">
        <v>1.7000000000000001E-2</v>
      </c>
      <c r="K114" s="3">
        <v>0.64900000000000002</v>
      </c>
      <c r="L114" s="3">
        <v>0.20300000000000001</v>
      </c>
      <c r="M114" s="3">
        <v>0.626</v>
      </c>
      <c r="N114" s="3">
        <v>0.34699999999999998</v>
      </c>
      <c r="O114" s="3">
        <v>0.128</v>
      </c>
      <c r="P114" s="3">
        <v>0.34699999999999998</v>
      </c>
      <c r="Q114" s="3">
        <v>0.63800000000000001</v>
      </c>
      <c r="R114" s="3">
        <v>3.6999999999999998E-2</v>
      </c>
      <c r="S114" s="3">
        <v>0.65500000000000003</v>
      </c>
      <c r="T114" s="3">
        <v>1.7999999999999999E-2</v>
      </c>
      <c r="U114" s="3">
        <v>0.65600000000000003</v>
      </c>
      <c r="V114" s="3">
        <v>1.7999999999999999E-2</v>
      </c>
      <c r="W114" s="3">
        <v>0.66700000000000004</v>
      </c>
      <c r="X114" s="3">
        <v>4.3999999999999997E-2</v>
      </c>
      <c r="Y114" s="3">
        <v>0.65400000000000003</v>
      </c>
      <c r="Z114" s="3">
        <v>8.3000000000000004E-2</v>
      </c>
      <c r="AA114" s="3">
        <v>0.66700000000000004</v>
      </c>
      <c r="AB114" s="3">
        <v>0.14299999999999999</v>
      </c>
      <c r="AC114" s="3">
        <v>8.2000000000000003E-2</v>
      </c>
      <c r="AD114" s="3">
        <v>7.1999999999999995E-2</v>
      </c>
      <c r="AE114" s="3">
        <v>8.0000000000000002E-3</v>
      </c>
      <c r="AF114" s="3">
        <v>6.6666666999999999E-2</v>
      </c>
      <c r="AG114" s="3">
        <v>0.16</v>
      </c>
      <c r="AH114" s="3">
        <v>5.8000000000000003E-2</v>
      </c>
      <c r="AI114" s="3">
        <v>0.17199999999999999</v>
      </c>
      <c r="AJ114" s="3">
        <v>0.23799999999999999</v>
      </c>
      <c r="AK114" s="3">
        <v>0.2525</v>
      </c>
      <c r="AL114" s="3">
        <v>0.33033333300000001</v>
      </c>
      <c r="AM114" s="3">
        <v>0.01</v>
      </c>
      <c r="AN114" s="3">
        <v>8.6999999999999994E-2</v>
      </c>
      <c r="AO114" s="3">
        <v>8.4000000000000005E-2</v>
      </c>
    </row>
    <row r="115" spans="1:41" x14ac:dyDescent="0.3">
      <c r="A115" s="2" t="s">
        <v>313</v>
      </c>
      <c r="B115" s="2" t="s">
        <v>338</v>
      </c>
      <c r="C115" s="3">
        <v>0.54</v>
      </c>
      <c r="D115" s="3">
        <v>5.3999999999999999E-2</v>
      </c>
      <c r="E115" s="3">
        <v>0.54800000000000004</v>
      </c>
      <c r="F115" s="3">
        <v>0.08</v>
      </c>
      <c r="G115" s="3">
        <v>0.51200000000000001</v>
      </c>
      <c r="H115" s="3">
        <v>0.14099999999999999</v>
      </c>
      <c r="I115" s="3">
        <v>0.46200000000000002</v>
      </c>
      <c r="J115" s="3">
        <v>1.6E-2</v>
      </c>
      <c r="K115" s="3">
        <v>0.55200000000000005</v>
      </c>
      <c r="L115" s="3">
        <v>0.20599999999999999</v>
      </c>
      <c r="M115" s="3">
        <v>0.54100000000000004</v>
      </c>
      <c r="N115" s="3">
        <v>0.36</v>
      </c>
      <c r="O115" s="3">
        <v>0.155</v>
      </c>
      <c r="P115" s="3">
        <v>0.36</v>
      </c>
      <c r="Q115" s="3">
        <v>0.55100000000000005</v>
      </c>
      <c r="R115" s="3">
        <v>3.6999999999999998E-2</v>
      </c>
      <c r="S115" s="3">
        <v>0.56200000000000006</v>
      </c>
      <c r="T115" s="3">
        <v>1.4E-2</v>
      </c>
      <c r="U115" s="3">
        <v>0.56200000000000006</v>
      </c>
      <c r="V115" s="3">
        <v>2.4E-2</v>
      </c>
      <c r="W115" s="3">
        <v>0.57899999999999996</v>
      </c>
      <c r="X115" s="3">
        <v>4.5999999999999999E-2</v>
      </c>
      <c r="Y115" s="3">
        <v>0.56299999999999994</v>
      </c>
      <c r="Z115" s="3">
        <v>8.5000000000000006E-2</v>
      </c>
      <c r="AA115" s="3">
        <v>0.57999999999999996</v>
      </c>
      <c r="AB115" s="3">
        <v>0.13800000000000001</v>
      </c>
      <c r="AC115" s="3">
        <v>9.9000000000000005E-2</v>
      </c>
      <c r="AD115" s="3">
        <v>0.11</v>
      </c>
      <c r="AE115" s="3">
        <v>1.6500000000000001E-2</v>
      </c>
      <c r="AF115" s="3">
        <v>6.0666667000000001E-2</v>
      </c>
      <c r="AG115" s="3">
        <v>0.19</v>
      </c>
      <c r="AH115" s="3">
        <v>4.9000000000000002E-2</v>
      </c>
      <c r="AI115" s="3">
        <v>0.14000000000000001</v>
      </c>
      <c r="AJ115" s="3">
        <v>0.28100000000000003</v>
      </c>
      <c r="AK115" s="3">
        <v>0.29399999999999998</v>
      </c>
      <c r="AL115" s="3">
        <v>0.38066666700000001</v>
      </c>
      <c r="AM115" s="3">
        <v>0.01</v>
      </c>
      <c r="AN115" s="3">
        <v>8.8999999999999996E-2</v>
      </c>
      <c r="AO115" s="3">
        <v>7.8E-2</v>
      </c>
    </row>
    <row r="116" spans="1:41" x14ac:dyDescent="0.3">
      <c r="A116" s="2" t="s">
        <v>313</v>
      </c>
      <c r="B116" s="2" t="s">
        <v>339</v>
      </c>
      <c r="C116" s="3">
        <v>0.38200000000000001</v>
      </c>
      <c r="D116" s="3">
        <v>7.0000000000000007E-2</v>
      </c>
      <c r="E116" s="3">
        <v>0.40400000000000003</v>
      </c>
      <c r="F116" s="3">
        <v>0.1</v>
      </c>
      <c r="G116" s="3">
        <v>0.36199999999999999</v>
      </c>
      <c r="H116" s="3">
        <v>0.16</v>
      </c>
      <c r="I116" s="3">
        <v>0.32300000000000001</v>
      </c>
      <c r="J116" s="3">
        <v>2.1999999999999999E-2</v>
      </c>
      <c r="K116" s="3">
        <v>0.40500000000000003</v>
      </c>
      <c r="L116" s="3">
        <v>0.23</v>
      </c>
      <c r="M116" s="3">
        <v>0.40100000000000002</v>
      </c>
      <c r="N116" s="3">
        <v>0.33900000000000002</v>
      </c>
      <c r="O116" s="3">
        <v>0.104</v>
      </c>
      <c r="P116" s="3">
        <v>0.33900000000000002</v>
      </c>
      <c r="Q116" s="3">
        <v>0.40400000000000003</v>
      </c>
      <c r="R116" s="3">
        <v>4.2999999999999997E-2</v>
      </c>
      <c r="S116" s="3">
        <v>0.41699999999999998</v>
      </c>
      <c r="T116" s="3">
        <v>1.6E-2</v>
      </c>
      <c r="U116" s="3">
        <v>0.41799999999999998</v>
      </c>
      <c r="V116" s="3">
        <v>3.4000000000000002E-2</v>
      </c>
      <c r="W116" s="3">
        <v>0.441</v>
      </c>
      <c r="X116" s="3">
        <v>5.7000000000000002E-2</v>
      </c>
      <c r="Y116" s="3">
        <v>0.42199999999999999</v>
      </c>
      <c r="Z116" s="3">
        <v>8.4000000000000005E-2</v>
      </c>
      <c r="AA116" s="3">
        <v>0.443</v>
      </c>
      <c r="AB116" s="3">
        <v>0.11799999999999999</v>
      </c>
      <c r="AC116" s="3">
        <v>0.122</v>
      </c>
      <c r="AD116" s="3">
        <v>0.151</v>
      </c>
      <c r="AE116" s="3">
        <v>3.4500000000000003E-2</v>
      </c>
      <c r="AF116" s="3">
        <v>6.3E-2</v>
      </c>
      <c r="AG116" s="3">
        <v>0.22700000000000001</v>
      </c>
      <c r="AH116" s="3">
        <v>5.2999999999999999E-2</v>
      </c>
      <c r="AI116" s="3">
        <v>0.11600000000000001</v>
      </c>
      <c r="AJ116" s="3">
        <v>0.33200000000000002</v>
      </c>
      <c r="AK116" s="3">
        <v>0.35949999999999999</v>
      </c>
      <c r="AL116" s="3">
        <v>0.436</v>
      </c>
      <c r="AM116" s="3">
        <v>0.01</v>
      </c>
      <c r="AN116" s="3">
        <v>9.5000000000000001E-2</v>
      </c>
      <c r="AO116" s="3">
        <v>8.6999999999999994E-2</v>
      </c>
    </row>
    <row r="117" spans="1:41" x14ac:dyDescent="0.3">
      <c r="A117" s="2" t="s">
        <v>313</v>
      </c>
      <c r="B117" s="2" t="s">
        <v>340</v>
      </c>
      <c r="C117" s="3">
        <v>0.19400000000000001</v>
      </c>
      <c r="D117" s="3">
        <v>0.108</v>
      </c>
      <c r="E117" s="3">
        <v>0.219</v>
      </c>
      <c r="F117" s="3">
        <v>0.13700000000000001</v>
      </c>
      <c r="G117" s="3">
        <v>0.14899999999999999</v>
      </c>
      <c r="H117" s="3">
        <v>0.182</v>
      </c>
      <c r="I117" s="3">
        <v>0.155</v>
      </c>
      <c r="J117" s="3">
        <v>4.2999999999999997E-2</v>
      </c>
      <c r="K117" s="3">
        <v>0.216</v>
      </c>
      <c r="L117" s="3">
        <v>0.27500000000000002</v>
      </c>
      <c r="M117" s="3">
        <v>0.22600000000000001</v>
      </c>
      <c r="N117" s="3">
        <v>0.33900000000000002</v>
      </c>
      <c r="O117" s="3">
        <v>6.9000000000000006E-2</v>
      </c>
      <c r="P117" s="3">
        <v>0.33900000000000002</v>
      </c>
      <c r="Q117" s="3">
        <v>0.19600000000000001</v>
      </c>
      <c r="R117" s="3">
        <v>6.5000000000000002E-2</v>
      </c>
      <c r="S117" s="3">
        <v>0.22600000000000001</v>
      </c>
      <c r="T117" s="3">
        <v>0.03</v>
      </c>
      <c r="U117" s="3">
        <v>0.22700000000000001</v>
      </c>
      <c r="V117" s="3">
        <v>4.9000000000000002E-2</v>
      </c>
      <c r="W117" s="3">
        <v>0.25700000000000001</v>
      </c>
      <c r="X117" s="3">
        <v>7.6999999999999999E-2</v>
      </c>
      <c r="Y117" s="3">
        <v>0.23799999999999999</v>
      </c>
      <c r="Z117" s="3">
        <v>0.08</v>
      </c>
      <c r="AA117" s="3">
        <v>0.26200000000000001</v>
      </c>
      <c r="AB117" s="3">
        <v>0.11799999999999999</v>
      </c>
      <c r="AC117" s="3">
        <v>0.1525</v>
      </c>
      <c r="AD117" s="3">
        <v>0.19700000000000001</v>
      </c>
      <c r="AE117" s="3">
        <v>6.9000000000000006E-2</v>
      </c>
      <c r="AF117" s="3">
        <v>8.2000000000000003E-2</v>
      </c>
      <c r="AG117" s="3">
        <v>0.26958333400000001</v>
      </c>
      <c r="AH117" s="3">
        <v>7.3999999999999996E-2</v>
      </c>
      <c r="AI117" s="3">
        <v>0.1225</v>
      </c>
      <c r="AJ117" s="3">
        <v>0.38666666700000002</v>
      </c>
      <c r="AK117" s="3">
        <v>0.4425</v>
      </c>
      <c r="AL117" s="3">
        <v>0.48599999999999999</v>
      </c>
      <c r="AM117" s="3">
        <v>0.01</v>
      </c>
      <c r="AN117" s="3">
        <v>0.10766666699999999</v>
      </c>
      <c r="AO117" s="3">
        <v>0.106</v>
      </c>
    </row>
    <row r="118" spans="1:41" x14ac:dyDescent="0.3">
      <c r="A118" s="2" t="s">
        <v>313</v>
      </c>
      <c r="B118" s="2" t="s">
        <v>341</v>
      </c>
      <c r="C118" s="3">
        <v>2.4E-2</v>
      </c>
      <c r="D118" s="3">
        <v>0.188</v>
      </c>
      <c r="E118" s="3">
        <v>3.7999999999999999E-2</v>
      </c>
      <c r="F118" s="3">
        <v>0.22700000000000001</v>
      </c>
      <c r="G118" s="3">
        <v>2.7E-2</v>
      </c>
      <c r="H118" s="3">
        <v>0.249</v>
      </c>
      <c r="I118" s="3">
        <v>1.9E-2</v>
      </c>
      <c r="J118" s="3">
        <v>0.108</v>
      </c>
      <c r="K118" s="3">
        <v>3.2000000000000001E-2</v>
      </c>
      <c r="L118" s="3">
        <v>0.33600000000000002</v>
      </c>
      <c r="M118" s="3">
        <v>4.4999999999999998E-2</v>
      </c>
      <c r="N118" s="3">
        <v>0.40899999999999997</v>
      </c>
      <c r="O118" s="3">
        <v>1.9E-2</v>
      </c>
      <c r="P118" s="3">
        <v>0.40899999999999997</v>
      </c>
      <c r="Q118" s="3">
        <v>2.3E-2</v>
      </c>
      <c r="R118" s="3">
        <v>0.106</v>
      </c>
      <c r="S118" s="3">
        <v>4.2999999999999997E-2</v>
      </c>
      <c r="T118" s="3">
        <v>6.3E-2</v>
      </c>
      <c r="U118" s="3">
        <v>4.3999999999999997E-2</v>
      </c>
      <c r="V118" s="3">
        <v>7.6999999999999999E-2</v>
      </c>
      <c r="W118" s="3">
        <v>6.6000000000000003E-2</v>
      </c>
      <c r="X118" s="3">
        <v>0.11799999999999999</v>
      </c>
      <c r="Y118" s="3">
        <v>5.1999999999999998E-2</v>
      </c>
      <c r="Z118" s="3">
        <v>9.5000000000000001E-2</v>
      </c>
      <c r="AA118" s="3">
        <v>7.0000000000000007E-2</v>
      </c>
      <c r="AB118" s="3">
        <v>0.16700000000000001</v>
      </c>
      <c r="AC118" s="3">
        <v>0.20599999999999999</v>
      </c>
      <c r="AD118" s="3">
        <v>0.27100000000000002</v>
      </c>
      <c r="AE118" s="3">
        <v>0.13300000000000001</v>
      </c>
      <c r="AF118" s="3">
        <v>0.136333333</v>
      </c>
      <c r="AG118" s="3">
        <v>0.33250000000000002</v>
      </c>
      <c r="AH118" s="3">
        <v>0.126</v>
      </c>
      <c r="AI118" s="3">
        <v>0.17100000000000001</v>
      </c>
      <c r="AJ118" s="3">
        <v>0.45900000000000002</v>
      </c>
      <c r="AK118" s="3">
        <v>0.55700000000000005</v>
      </c>
      <c r="AL118" s="3">
        <v>0.53766666699999999</v>
      </c>
      <c r="AM118" s="3">
        <v>0.01</v>
      </c>
      <c r="AN118" s="3">
        <v>0.13200000000000001</v>
      </c>
      <c r="AO118" s="3">
        <v>0.13700000000000001</v>
      </c>
    </row>
    <row r="119" spans="1:41" x14ac:dyDescent="0.3">
      <c r="A119" s="2" t="s">
        <v>313</v>
      </c>
      <c r="B119" s="2" t="s">
        <v>342</v>
      </c>
      <c r="C119" s="3">
        <v>0</v>
      </c>
      <c r="D119" s="3">
        <v>0.26900000000000002</v>
      </c>
      <c r="E119" s="3">
        <v>0</v>
      </c>
      <c r="F119" s="3">
        <v>0.33</v>
      </c>
      <c r="G119" s="3">
        <v>0</v>
      </c>
      <c r="H119" s="3">
        <v>0.33800000000000002</v>
      </c>
      <c r="I119" s="3">
        <v>0</v>
      </c>
      <c r="J119" s="3">
        <v>0.19600000000000001</v>
      </c>
      <c r="K119" s="3">
        <v>0</v>
      </c>
      <c r="L119" s="3">
        <v>0.38900000000000001</v>
      </c>
      <c r="M119" s="3">
        <v>0</v>
      </c>
      <c r="N119" s="3">
        <v>0.498</v>
      </c>
      <c r="O119" s="3">
        <v>0</v>
      </c>
      <c r="P119" s="3">
        <v>0.498</v>
      </c>
      <c r="Q119" s="3">
        <v>0</v>
      </c>
      <c r="R119" s="3">
        <v>0.14199999999999999</v>
      </c>
      <c r="S119" s="3">
        <v>0</v>
      </c>
      <c r="T119" s="3">
        <v>0.10199999999999999</v>
      </c>
      <c r="U119" s="3">
        <v>0</v>
      </c>
      <c r="V119" s="3">
        <v>0.10299999999999999</v>
      </c>
      <c r="W119" s="3">
        <v>0</v>
      </c>
      <c r="X119" s="3">
        <v>0.184</v>
      </c>
      <c r="Y119" s="3">
        <v>0</v>
      </c>
      <c r="Z119" s="3">
        <v>0.121</v>
      </c>
      <c r="AA119" s="3">
        <v>0</v>
      </c>
      <c r="AB119" s="3">
        <v>0.20599999999999999</v>
      </c>
      <c r="AC119" s="3">
        <v>0.26650000000000001</v>
      </c>
      <c r="AD119" s="3">
        <v>0.312</v>
      </c>
      <c r="AE119" s="3">
        <v>0.193</v>
      </c>
      <c r="AF119" s="3">
        <v>0.222</v>
      </c>
      <c r="AG119" s="3">
        <v>0.38641666699999999</v>
      </c>
      <c r="AH119" s="3">
        <v>0.215</v>
      </c>
      <c r="AI119" s="3">
        <v>0.22750000000000001</v>
      </c>
      <c r="AJ119" s="3">
        <v>0.50633333300000005</v>
      </c>
      <c r="AK119" s="3">
        <v>0.64949999999999997</v>
      </c>
      <c r="AL119" s="3">
        <v>0.58799999999999997</v>
      </c>
      <c r="AM119" s="3">
        <v>0.01</v>
      </c>
      <c r="AN119" s="3">
        <v>0.161</v>
      </c>
      <c r="AO119" s="3">
        <v>0.17299999999999999</v>
      </c>
    </row>
    <row r="120" spans="1:41" x14ac:dyDescent="0.3">
      <c r="A120" s="2" t="s">
        <v>313</v>
      </c>
      <c r="B120" s="2" t="s">
        <v>343</v>
      </c>
      <c r="C120" s="3">
        <v>0</v>
      </c>
      <c r="D120" s="3">
        <v>0.29199999999999998</v>
      </c>
      <c r="E120" s="3">
        <v>0</v>
      </c>
      <c r="F120" s="3">
        <v>0.36299999999999999</v>
      </c>
      <c r="G120" s="3">
        <v>0</v>
      </c>
      <c r="H120" s="3">
        <v>0.36099999999999999</v>
      </c>
      <c r="I120" s="3">
        <v>0</v>
      </c>
      <c r="J120" s="3">
        <v>0.251</v>
      </c>
      <c r="K120" s="3">
        <v>0</v>
      </c>
      <c r="L120" s="3">
        <v>0.41</v>
      </c>
      <c r="M120" s="3">
        <v>0</v>
      </c>
      <c r="N120" s="3">
        <v>0.54600000000000004</v>
      </c>
      <c r="O120" s="3">
        <v>0</v>
      </c>
      <c r="P120" s="3">
        <v>0.54600000000000004</v>
      </c>
      <c r="Q120" s="3">
        <v>0</v>
      </c>
      <c r="R120" s="3">
        <v>0.157</v>
      </c>
      <c r="S120" s="3">
        <v>0</v>
      </c>
      <c r="T120" s="3">
        <v>0.126</v>
      </c>
      <c r="U120" s="3">
        <v>0</v>
      </c>
      <c r="V120" s="3">
        <v>0.115</v>
      </c>
      <c r="W120" s="3">
        <v>0</v>
      </c>
      <c r="X120" s="3">
        <v>0.251</v>
      </c>
      <c r="Y120" s="3">
        <v>0</v>
      </c>
      <c r="Z120" s="3">
        <v>0.14499999999999999</v>
      </c>
      <c r="AA120" s="3">
        <v>0</v>
      </c>
      <c r="AB120" s="3">
        <v>0.21199999999999999</v>
      </c>
      <c r="AC120" s="3">
        <v>0.32250000000000001</v>
      </c>
      <c r="AD120" s="3">
        <v>0.3115</v>
      </c>
      <c r="AE120" s="3">
        <v>0.22600000000000001</v>
      </c>
      <c r="AF120" s="3">
        <v>0.31033333299999999</v>
      </c>
      <c r="AG120" s="3">
        <v>0.42558333399999998</v>
      </c>
      <c r="AH120" s="3">
        <v>0.32800000000000001</v>
      </c>
      <c r="AI120" s="3">
        <v>0.29199999999999998</v>
      </c>
      <c r="AJ120" s="3">
        <v>0.52866666699999998</v>
      </c>
      <c r="AK120" s="3">
        <v>0.68200000000000005</v>
      </c>
      <c r="AL120" s="3">
        <v>0.62533333300000005</v>
      </c>
      <c r="AM120" s="3">
        <v>0.01</v>
      </c>
      <c r="AN120" s="3">
        <v>0.193333333</v>
      </c>
      <c r="AO120" s="3">
        <v>0.216</v>
      </c>
    </row>
    <row r="121" spans="1:41" x14ac:dyDescent="0.3">
      <c r="A121" s="2" t="s">
        <v>313</v>
      </c>
      <c r="B121" s="2" t="s">
        <v>344</v>
      </c>
      <c r="C121" s="3">
        <v>0</v>
      </c>
      <c r="D121" s="3">
        <v>0.28100000000000003</v>
      </c>
      <c r="E121" s="3">
        <v>0</v>
      </c>
      <c r="F121" s="3">
        <v>0.35099999999999998</v>
      </c>
      <c r="G121" s="3">
        <v>0</v>
      </c>
      <c r="H121" s="3">
        <v>0.35199999999999998</v>
      </c>
      <c r="I121" s="3">
        <v>0</v>
      </c>
      <c r="J121" s="3">
        <v>0.253</v>
      </c>
      <c r="K121" s="3">
        <v>0</v>
      </c>
      <c r="L121" s="3">
        <v>0.39300000000000002</v>
      </c>
      <c r="M121" s="3">
        <v>0</v>
      </c>
      <c r="N121" s="3">
        <v>0.58499999999999996</v>
      </c>
      <c r="O121" s="3">
        <v>0</v>
      </c>
      <c r="P121" s="3">
        <v>0.58499999999999996</v>
      </c>
      <c r="Q121" s="3">
        <v>0</v>
      </c>
      <c r="R121" s="3">
        <v>0.157</v>
      </c>
      <c r="S121" s="3">
        <v>0</v>
      </c>
      <c r="T121" s="3">
        <v>0.13100000000000001</v>
      </c>
      <c r="U121" s="3">
        <v>0</v>
      </c>
      <c r="V121" s="3">
        <v>0.114</v>
      </c>
      <c r="W121" s="3">
        <v>0</v>
      </c>
      <c r="X121" s="3">
        <v>0.29499999999999998</v>
      </c>
      <c r="Y121" s="3">
        <v>0</v>
      </c>
      <c r="Z121" s="3">
        <v>0.16200000000000001</v>
      </c>
      <c r="AA121" s="3">
        <v>0</v>
      </c>
      <c r="AB121" s="3">
        <v>0.216</v>
      </c>
      <c r="AC121" s="3">
        <v>0.35849999999999999</v>
      </c>
      <c r="AD121" s="3">
        <v>0.3</v>
      </c>
      <c r="AE121" s="3">
        <v>0.23749999999999999</v>
      </c>
      <c r="AF121" s="3">
        <v>0.37933333299999999</v>
      </c>
      <c r="AG121" s="3">
        <v>0.449583334</v>
      </c>
      <c r="AH121" s="3">
        <v>0.434</v>
      </c>
      <c r="AI121" s="3">
        <v>0.35549999999999998</v>
      </c>
      <c r="AJ121" s="3">
        <v>0.54066666699999999</v>
      </c>
      <c r="AK121" s="3">
        <v>0.66849999999999998</v>
      </c>
      <c r="AL121" s="3">
        <v>0.64366666699999997</v>
      </c>
      <c r="AM121" s="3">
        <v>0.01</v>
      </c>
      <c r="AN121" s="3">
        <v>0.22033333299999999</v>
      </c>
      <c r="AO121" s="3">
        <v>0.25</v>
      </c>
    </row>
    <row r="122" spans="1:41" x14ac:dyDescent="0.3">
      <c r="A122" s="2" t="s">
        <v>313</v>
      </c>
      <c r="B122" s="2" t="s">
        <v>345</v>
      </c>
      <c r="C122" s="3">
        <v>0</v>
      </c>
      <c r="D122" s="3">
        <v>0.254</v>
      </c>
      <c r="E122" s="3">
        <v>0</v>
      </c>
      <c r="F122" s="3">
        <v>0.34100000000000003</v>
      </c>
      <c r="G122" s="3">
        <v>0</v>
      </c>
      <c r="H122" s="3">
        <v>0.36099999999999999</v>
      </c>
      <c r="I122" s="3">
        <v>0</v>
      </c>
      <c r="J122" s="3">
        <v>0.217</v>
      </c>
      <c r="K122" s="3">
        <v>0</v>
      </c>
      <c r="L122" s="3">
        <v>0.35799999999999998</v>
      </c>
      <c r="M122" s="3">
        <v>0</v>
      </c>
      <c r="N122" s="3">
        <v>0.59699999999999998</v>
      </c>
      <c r="O122" s="3">
        <v>0</v>
      </c>
      <c r="P122" s="3">
        <v>0.59699999999999998</v>
      </c>
      <c r="Q122" s="3">
        <v>0</v>
      </c>
      <c r="R122" s="3">
        <v>0.14699999999999999</v>
      </c>
      <c r="S122" s="3">
        <v>0</v>
      </c>
      <c r="T122" s="3">
        <v>0.11899999999999999</v>
      </c>
      <c r="U122" s="3">
        <v>0</v>
      </c>
      <c r="V122" s="3">
        <v>0.10299999999999999</v>
      </c>
      <c r="W122" s="3">
        <v>0</v>
      </c>
      <c r="X122" s="3">
        <v>0.309</v>
      </c>
      <c r="Y122" s="3">
        <v>0</v>
      </c>
      <c r="Z122" s="3">
        <v>0.17399999999999999</v>
      </c>
      <c r="AA122" s="3">
        <v>0</v>
      </c>
      <c r="AB122" s="3">
        <v>0.23499999999999999</v>
      </c>
      <c r="AC122" s="3">
        <v>0.3695</v>
      </c>
      <c r="AD122" s="3">
        <v>0.27100000000000002</v>
      </c>
      <c r="AE122" s="3">
        <v>0.21249999999999999</v>
      </c>
      <c r="AF122" s="3">
        <v>0.41199999999999998</v>
      </c>
      <c r="AG122" s="3">
        <v>0.46608333400000002</v>
      </c>
      <c r="AH122" s="3">
        <v>0.49099999999999999</v>
      </c>
      <c r="AI122" s="3">
        <v>0.39450000000000002</v>
      </c>
      <c r="AJ122" s="3">
        <v>0.56266666700000001</v>
      </c>
      <c r="AK122" s="3">
        <v>0.66500000000000004</v>
      </c>
      <c r="AL122" s="3">
        <v>0.62866666699999996</v>
      </c>
      <c r="AM122" s="3">
        <v>0.01</v>
      </c>
      <c r="AN122" s="3">
        <v>0.24099999999999999</v>
      </c>
      <c r="AO122" s="3">
        <v>0.26900000000000002</v>
      </c>
    </row>
    <row r="123" spans="1:41" x14ac:dyDescent="0.3">
      <c r="A123" s="2" t="s">
        <v>313</v>
      </c>
      <c r="B123" s="2" t="s">
        <v>346</v>
      </c>
      <c r="C123" s="3">
        <v>0</v>
      </c>
      <c r="D123" s="3">
        <v>0.222</v>
      </c>
      <c r="E123" s="3">
        <v>0</v>
      </c>
      <c r="F123" s="3">
        <v>0.34100000000000003</v>
      </c>
      <c r="G123" s="3">
        <v>0</v>
      </c>
      <c r="H123" s="3">
        <v>0.37</v>
      </c>
      <c r="I123" s="3">
        <v>0</v>
      </c>
      <c r="J123" s="3">
        <v>0.18099999999999999</v>
      </c>
      <c r="K123" s="3">
        <v>0</v>
      </c>
      <c r="L123" s="3">
        <v>0.32100000000000001</v>
      </c>
      <c r="M123" s="3">
        <v>0</v>
      </c>
      <c r="N123" s="3">
        <v>0.58099999999999996</v>
      </c>
      <c r="O123" s="3">
        <v>0</v>
      </c>
      <c r="P123" s="3">
        <v>0.58099999999999996</v>
      </c>
      <c r="Q123" s="3">
        <v>0</v>
      </c>
      <c r="R123" s="3">
        <v>0.13800000000000001</v>
      </c>
      <c r="S123" s="3">
        <v>0</v>
      </c>
      <c r="T123" s="3">
        <v>0.113</v>
      </c>
      <c r="U123" s="3">
        <v>0</v>
      </c>
      <c r="V123" s="3">
        <v>9.4E-2</v>
      </c>
      <c r="W123" s="3">
        <v>0</v>
      </c>
      <c r="X123" s="3">
        <v>0.31</v>
      </c>
      <c r="Y123" s="3">
        <v>0</v>
      </c>
      <c r="Z123" s="3">
        <v>0.183</v>
      </c>
      <c r="AA123" s="3">
        <v>0</v>
      </c>
      <c r="AB123" s="3">
        <v>0.25700000000000001</v>
      </c>
      <c r="AC123" s="3">
        <v>0.35599999999999998</v>
      </c>
      <c r="AD123" s="3">
        <v>0.215</v>
      </c>
      <c r="AE123" s="3">
        <v>0.16</v>
      </c>
      <c r="AF123" s="3">
        <v>0.424666667</v>
      </c>
      <c r="AG123" s="3">
        <v>0.46933333399999999</v>
      </c>
      <c r="AH123" s="3">
        <v>0.50800000000000001</v>
      </c>
      <c r="AI123" s="3">
        <v>0.42049999999999998</v>
      </c>
      <c r="AJ123" s="3">
        <v>0.58266666700000003</v>
      </c>
      <c r="AK123" s="3">
        <v>0.67249999999999999</v>
      </c>
      <c r="AL123" s="3">
        <v>0.58133333300000001</v>
      </c>
      <c r="AM123" s="3">
        <v>0.01</v>
      </c>
      <c r="AN123" s="3">
        <v>0.25333333299999999</v>
      </c>
      <c r="AO123" s="3">
        <v>0.27700000000000002</v>
      </c>
    </row>
    <row r="124" spans="1:41" x14ac:dyDescent="0.3">
      <c r="A124" s="2" t="s">
        <v>313</v>
      </c>
      <c r="B124" s="2" t="s">
        <v>347</v>
      </c>
      <c r="C124" s="3">
        <v>0</v>
      </c>
      <c r="D124" s="3">
        <v>0.19900000000000001</v>
      </c>
      <c r="E124" s="3">
        <v>0</v>
      </c>
      <c r="F124" s="3">
        <v>0.33</v>
      </c>
      <c r="G124" s="3">
        <v>0</v>
      </c>
      <c r="H124" s="3">
        <v>0.376</v>
      </c>
      <c r="I124" s="3">
        <v>0</v>
      </c>
      <c r="J124" s="3">
        <v>0.159</v>
      </c>
      <c r="K124" s="3">
        <v>0</v>
      </c>
      <c r="L124" s="3">
        <v>0.28499999999999998</v>
      </c>
      <c r="M124" s="3">
        <v>0</v>
      </c>
      <c r="N124" s="3">
        <v>0.59899999999999998</v>
      </c>
      <c r="O124" s="3">
        <v>0</v>
      </c>
      <c r="P124" s="3">
        <v>0.59899999999999998</v>
      </c>
      <c r="Q124" s="3">
        <v>0</v>
      </c>
      <c r="R124" s="3">
        <v>0.13400000000000001</v>
      </c>
      <c r="S124" s="3">
        <v>0</v>
      </c>
      <c r="T124" s="3">
        <v>0.121</v>
      </c>
      <c r="U124" s="3">
        <v>0</v>
      </c>
      <c r="V124" s="3">
        <v>0.11799999999999999</v>
      </c>
      <c r="W124" s="3">
        <v>0</v>
      </c>
      <c r="X124" s="3">
        <v>0.314</v>
      </c>
      <c r="Y124" s="3">
        <v>0</v>
      </c>
      <c r="Z124" s="3">
        <v>0.20499999999999999</v>
      </c>
      <c r="AA124" s="3">
        <v>0</v>
      </c>
      <c r="AB124" s="3">
        <v>0.28100000000000003</v>
      </c>
      <c r="AC124" s="3">
        <v>0.33750000000000002</v>
      </c>
      <c r="AD124" s="3">
        <v>0.1545</v>
      </c>
      <c r="AE124" s="3">
        <v>0.1135</v>
      </c>
      <c r="AF124" s="3">
        <v>0.43766666700000001</v>
      </c>
      <c r="AG124" s="3">
        <v>0.46975</v>
      </c>
      <c r="AH124" s="3">
        <v>0.51700000000000002</v>
      </c>
      <c r="AI124" s="3">
        <v>0.4345</v>
      </c>
      <c r="AJ124" s="3">
        <v>0.60199999999999998</v>
      </c>
      <c r="AK124" s="3">
        <v>0.68</v>
      </c>
      <c r="AL124" s="3">
        <v>0.53866666699999999</v>
      </c>
      <c r="AM124" s="3">
        <v>0.01</v>
      </c>
      <c r="AN124" s="3">
        <v>0.26</v>
      </c>
      <c r="AO124" s="3">
        <v>0.27400000000000002</v>
      </c>
    </row>
    <row r="125" spans="1:41" x14ac:dyDescent="0.3">
      <c r="A125" s="2" t="s">
        <v>314</v>
      </c>
      <c r="B125" s="2" t="s">
        <v>324</v>
      </c>
      <c r="C125" s="3">
        <v>0</v>
      </c>
      <c r="D125" s="3">
        <v>0.46899999999999997</v>
      </c>
      <c r="E125" s="3">
        <v>0</v>
      </c>
      <c r="F125" s="3">
        <v>0.46500000000000002</v>
      </c>
      <c r="G125" s="3">
        <v>0</v>
      </c>
      <c r="H125" s="3">
        <v>0.54400000000000004</v>
      </c>
      <c r="I125" s="3">
        <v>0</v>
      </c>
      <c r="J125" s="3">
        <v>0.42</v>
      </c>
      <c r="K125" s="3">
        <v>0</v>
      </c>
      <c r="L125" s="3">
        <v>0.87</v>
      </c>
      <c r="M125" s="3">
        <v>0</v>
      </c>
      <c r="N125" s="3">
        <v>0.81599999999999995</v>
      </c>
      <c r="O125" s="3">
        <v>0</v>
      </c>
      <c r="P125" s="3">
        <v>0.81599999999999995</v>
      </c>
      <c r="Q125" s="3">
        <v>0</v>
      </c>
      <c r="R125" s="3">
        <v>0.56299999999999994</v>
      </c>
      <c r="S125" s="3">
        <v>0</v>
      </c>
      <c r="T125" s="3">
        <v>0.48299999999999998</v>
      </c>
      <c r="U125" s="3">
        <v>0</v>
      </c>
      <c r="V125" s="3">
        <v>0.56399999999999995</v>
      </c>
      <c r="W125" s="3">
        <v>0</v>
      </c>
      <c r="X125" s="3">
        <v>0.56399999999999995</v>
      </c>
      <c r="Y125" s="3">
        <v>0</v>
      </c>
      <c r="Z125" s="3">
        <v>0.66700000000000004</v>
      </c>
      <c r="AA125" s="3">
        <v>0</v>
      </c>
      <c r="AB125" s="3">
        <v>0.68</v>
      </c>
      <c r="AC125" s="3">
        <v>0.45050000000000001</v>
      </c>
      <c r="AD125" s="3">
        <v>0.19800000000000001</v>
      </c>
      <c r="AE125" s="3">
        <v>0.192</v>
      </c>
      <c r="AF125" s="3">
        <v>0.27433333300000001</v>
      </c>
      <c r="AG125" s="3">
        <v>0.56558333400000005</v>
      </c>
      <c r="AH125" s="3">
        <v>0.29199999999999998</v>
      </c>
      <c r="AI125" s="3">
        <v>0.1895</v>
      </c>
      <c r="AJ125" s="3">
        <v>0.680666667</v>
      </c>
      <c r="AK125" s="3">
        <v>0.74150000000000005</v>
      </c>
      <c r="AL125" s="3">
        <v>0.97533333300000002</v>
      </c>
      <c r="AM125" s="3">
        <v>0.01</v>
      </c>
      <c r="AN125" s="3">
        <v>0.70899999999999996</v>
      </c>
      <c r="AO125" s="3">
        <v>0.96599999999999997</v>
      </c>
    </row>
    <row r="126" spans="1:41" x14ac:dyDescent="0.3">
      <c r="A126" s="2" t="s">
        <v>314</v>
      </c>
      <c r="B126" s="2" t="s">
        <v>325</v>
      </c>
      <c r="C126" s="3">
        <v>0</v>
      </c>
      <c r="D126" s="3">
        <v>0.47899999999999998</v>
      </c>
      <c r="E126" s="3">
        <v>0</v>
      </c>
      <c r="F126" s="3">
        <v>0.55000000000000004</v>
      </c>
      <c r="G126" s="3">
        <v>0</v>
      </c>
      <c r="H126" s="3">
        <v>0.56899999999999995</v>
      </c>
      <c r="I126" s="3">
        <v>0</v>
      </c>
      <c r="J126" s="3">
        <v>0.46600000000000003</v>
      </c>
      <c r="K126" s="3">
        <v>0</v>
      </c>
      <c r="L126" s="3">
        <v>0.91900000000000004</v>
      </c>
      <c r="M126" s="3">
        <v>0</v>
      </c>
      <c r="N126" s="3">
        <v>0.82099999999999995</v>
      </c>
      <c r="O126" s="3">
        <v>0</v>
      </c>
      <c r="P126" s="3">
        <v>0.82099999999999995</v>
      </c>
      <c r="Q126" s="3">
        <v>0</v>
      </c>
      <c r="R126" s="3">
        <v>0.63100000000000001</v>
      </c>
      <c r="S126" s="3">
        <v>0</v>
      </c>
      <c r="T126" s="3">
        <v>0.54900000000000004</v>
      </c>
      <c r="U126" s="3">
        <v>0</v>
      </c>
      <c r="V126" s="3">
        <v>0.60099999999999998</v>
      </c>
      <c r="W126" s="3">
        <v>0</v>
      </c>
      <c r="X126" s="3">
        <v>0.52400000000000002</v>
      </c>
      <c r="Y126" s="3">
        <v>0</v>
      </c>
      <c r="Z126" s="3">
        <v>0.69399999999999995</v>
      </c>
      <c r="AA126" s="3">
        <v>0</v>
      </c>
      <c r="AB126" s="3">
        <v>0.68500000000000005</v>
      </c>
      <c r="AC126" s="3">
        <v>0.46750000000000003</v>
      </c>
      <c r="AD126" s="3">
        <v>0.14399999999999999</v>
      </c>
      <c r="AE126" s="3">
        <v>0.152</v>
      </c>
      <c r="AF126" s="3">
        <v>0.36199999999999999</v>
      </c>
      <c r="AG126" s="3">
        <v>0.56025000000000003</v>
      </c>
      <c r="AH126" s="3">
        <v>0.41499999999999998</v>
      </c>
      <c r="AI126" s="3">
        <v>0.23649999999999999</v>
      </c>
      <c r="AJ126" s="3">
        <v>0.65300000000000002</v>
      </c>
      <c r="AK126" s="3">
        <v>0.8135</v>
      </c>
      <c r="AL126" s="3">
        <v>0.95899999999999996</v>
      </c>
      <c r="AM126" s="3">
        <v>0.01</v>
      </c>
      <c r="AN126" s="3">
        <v>0.69766666700000002</v>
      </c>
      <c r="AO126" s="3">
        <v>0.96099999999999997</v>
      </c>
    </row>
    <row r="127" spans="1:41" x14ac:dyDescent="0.3">
      <c r="A127" s="2" t="s">
        <v>314</v>
      </c>
      <c r="B127" s="2" t="s">
        <v>326</v>
      </c>
      <c r="C127" s="3">
        <v>0</v>
      </c>
      <c r="D127" s="3">
        <v>0.505</v>
      </c>
      <c r="E127" s="3">
        <v>0</v>
      </c>
      <c r="F127" s="3">
        <v>0.57899999999999996</v>
      </c>
      <c r="G127" s="3">
        <v>0</v>
      </c>
      <c r="H127" s="3">
        <v>0.59599999999999997</v>
      </c>
      <c r="I127" s="3">
        <v>0</v>
      </c>
      <c r="J127" s="3">
        <v>0.51300000000000001</v>
      </c>
      <c r="K127" s="3">
        <v>0</v>
      </c>
      <c r="L127" s="3">
        <v>0.95299999999999996</v>
      </c>
      <c r="M127" s="3">
        <v>0</v>
      </c>
      <c r="N127" s="3">
        <v>0.86099999999999999</v>
      </c>
      <c r="O127" s="3">
        <v>0</v>
      </c>
      <c r="P127" s="3">
        <v>0.86099999999999999</v>
      </c>
      <c r="Q127" s="3">
        <v>0</v>
      </c>
      <c r="R127" s="3">
        <v>0.69399999999999995</v>
      </c>
      <c r="S127" s="3">
        <v>0</v>
      </c>
      <c r="T127" s="3">
        <v>0.6</v>
      </c>
      <c r="U127" s="3">
        <v>0</v>
      </c>
      <c r="V127" s="3">
        <v>0.63100000000000001</v>
      </c>
      <c r="W127" s="3">
        <v>0</v>
      </c>
      <c r="X127" s="3">
        <v>0.56599999999999995</v>
      </c>
      <c r="Y127" s="3">
        <v>0</v>
      </c>
      <c r="Z127" s="3">
        <v>0.72299999999999998</v>
      </c>
      <c r="AA127" s="3">
        <v>0</v>
      </c>
      <c r="AB127" s="3">
        <v>0.71599999999999997</v>
      </c>
      <c r="AC127" s="3">
        <v>0.47399999999999998</v>
      </c>
      <c r="AD127" s="3">
        <v>0.1305</v>
      </c>
      <c r="AE127" s="3">
        <v>0.1255</v>
      </c>
      <c r="AF127" s="3">
        <v>0.44400000000000001</v>
      </c>
      <c r="AG127" s="3">
        <v>0.56533333399999997</v>
      </c>
      <c r="AH127" s="3">
        <v>0.57099999999999995</v>
      </c>
      <c r="AI127" s="3">
        <v>0.30199999999999999</v>
      </c>
      <c r="AJ127" s="3">
        <v>0.65666666699999998</v>
      </c>
      <c r="AK127" s="3">
        <v>0.86750000000000005</v>
      </c>
      <c r="AL127" s="3">
        <v>0.93700000000000006</v>
      </c>
      <c r="AM127" s="3">
        <v>0.01</v>
      </c>
      <c r="AN127" s="3">
        <v>0.67533333299999998</v>
      </c>
      <c r="AO127" s="3">
        <v>0.95</v>
      </c>
    </row>
    <row r="128" spans="1:41" x14ac:dyDescent="0.3">
      <c r="A128" s="2" t="s">
        <v>314</v>
      </c>
      <c r="B128" s="2" t="s">
        <v>327</v>
      </c>
      <c r="C128" s="3">
        <v>0</v>
      </c>
      <c r="D128" s="3">
        <v>0.64</v>
      </c>
      <c r="E128" s="3">
        <v>0</v>
      </c>
      <c r="F128" s="3">
        <v>0.625</v>
      </c>
      <c r="G128" s="3">
        <v>0</v>
      </c>
      <c r="H128" s="3">
        <v>0.71099999999999997</v>
      </c>
      <c r="I128" s="3">
        <v>0</v>
      </c>
      <c r="J128" s="3">
        <v>0.65100000000000002</v>
      </c>
      <c r="K128" s="3">
        <v>0</v>
      </c>
      <c r="L128" s="3">
        <v>0.96699999999999997</v>
      </c>
      <c r="M128" s="3">
        <v>0</v>
      </c>
      <c r="N128" s="3">
        <v>0.874</v>
      </c>
      <c r="O128" s="3">
        <v>0</v>
      </c>
      <c r="P128" s="3">
        <v>0.874</v>
      </c>
      <c r="Q128" s="3">
        <v>0</v>
      </c>
      <c r="R128" s="3">
        <v>0.75700000000000001</v>
      </c>
      <c r="S128" s="3">
        <v>0</v>
      </c>
      <c r="T128" s="3">
        <v>0.7</v>
      </c>
      <c r="U128" s="3">
        <v>0</v>
      </c>
      <c r="V128" s="3">
        <v>0.67700000000000005</v>
      </c>
      <c r="W128" s="3">
        <v>0</v>
      </c>
      <c r="X128" s="3">
        <v>0.624</v>
      </c>
      <c r="Y128" s="3">
        <v>0</v>
      </c>
      <c r="Z128" s="3">
        <v>0.746</v>
      </c>
      <c r="AA128" s="3">
        <v>0</v>
      </c>
      <c r="AB128" s="3">
        <v>0.69599999999999995</v>
      </c>
      <c r="AC128" s="3">
        <v>0.47</v>
      </c>
      <c r="AD128" s="3">
        <v>0.113</v>
      </c>
      <c r="AE128" s="3">
        <v>9.6500000000000002E-2</v>
      </c>
      <c r="AF128" s="3">
        <v>0.49733333299999999</v>
      </c>
      <c r="AG128" s="3">
        <v>0.58083333400000003</v>
      </c>
      <c r="AH128" s="3">
        <v>0.68400000000000005</v>
      </c>
      <c r="AI128" s="3">
        <v>0.38300000000000001</v>
      </c>
      <c r="AJ128" s="3">
        <v>0.69166666700000001</v>
      </c>
      <c r="AK128" s="3">
        <v>0.89649999999999996</v>
      </c>
      <c r="AL128" s="3">
        <v>0.91766666699999999</v>
      </c>
      <c r="AM128" s="3">
        <v>0.01</v>
      </c>
      <c r="AN128" s="3">
        <v>0.65033333299999996</v>
      </c>
      <c r="AO128" s="3">
        <v>0.93700000000000006</v>
      </c>
    </row>
    <row r="129" spans="1:41" x14ac:dyDescent="0.3">
      <c r="A129" s="2" t="s">
        <v>314</v>
      </c>
      <c r="B129" s="2" t="s">
        <v>328</v>
      </c>
      <c r="C129" s="3">
        <v>0</v>
      </c>
      <c r="D129" s="3">
        <v>0.69199999999999995</v>
      </c>
      <c r="E129" s="3">
        <v>0</v>
      </c>
      <c r="F129" s="3">
        <v>0.72899999999999998</v>
      </c>
      <c r="G129" s="3">
        <v>0</v>
      </c>
      <c r="H129" s="3">
        <v>0.72099999999999997</v>
      </c>
      <c r="I129" s="3">
        <v>0</v>
      </c>
      <c r="J129" s="3">
        <v>0.70499999999999996</v>
      </c>
      <c r="K129" s="3">
        <v>0</v>
      </c>
      <c r="L129" s="3">
        <v>0.96799999999999997</v>
      </c>
      <c r="M129" s="3">
        <v>0</v>
      </c>
      <c r="N129" s="3">
        <v>0.86299999999999999</v>
      </c>
      <c r="O129" s="3">
        <v>0</v>
      </c>
      <c r="P129" s="3">
        <v>0.86299999999999999</v>
      </c>
      <c r="Q129" s="3">
        <v>0</v>
      </c>
      <c r="R129" s="3">
        <v>0.82599999999999996</v>
      </c>
      <c r="S129" s="3">
        <v>0</v>
      </c>
      <c r="T129" s="3">
        <v>0.74299999999999999</v>
      </c>
      <c r="U129" s="3">
        <v>0</v>
      </c>
      <c r="V129" s="3">
        <v>0.7</v>
      </c>
      <c r="W129" s="3">
        <v>0</v>
      </c>
      <c r="X129" s="3">
        <v>0.65500000000000003</v>
      </c>
      <c r="Y129" s="3">
        <v>0</v>
      </c>
      <c r="Z129" s="3">
        <v>0.73799999999999999</v>
      </c>
      <c r="AA129" s="3">
        <v>0</v>
      </c>
      <c r="AB129" s="3">
        <v>0.64500000000000002</v>
      </c>
      <c r="AC129" s="3">
        <v>0.4955</v>
      </c>
      <c r="AD129" s="3">
        <v>8.2000000000000003E-2</v>
      </c>
      <c r="AE129" s="3">
        <v>6.8500000000000005E-2</v>
      </c>
      <c r="AF129" s="3">
        <v>0.53866666699999999</v>
      </c>
      <c r="AG129" s="3">
        <v>0.61258333399999998</v>
      </c>
      <c r="AH129" s="3">
        <v>0.79300000000000004</v>
      </c>
      <c r="AI129" s="3">
        <v>0.48</v>
      </c>
      <c r="AJ129" s="3">
        <v>0.72966666700000005</v>
      </c>
      <c r="AK129" s="3">
        <v>0.91500000000000004</v>
      </c>
      <c r="AL129" s="3">
        <v>0.90133333299999996</v>
      </c>
      <c r="AM129" s="3">
        <v>0.01</v>
      </c>
      <c r="AN129" s="3">
        <v>0.63700000000000001</v>
      </c>
      <c r="AO129" s="3">
        <v>0.92400000000000004</v>
      </c>
    </row>
    <row r="130" spans="1:41" x14ac:dyDescent="0.3">
      <c r="A130" s="2" t="s">
        <v>314</v>
      </c>
      <c r="B130" s="2" t="s">
        <v>329</v>
      </c>
      <c r="C130" s="3">
        <v>0</v>
      </c>
      <c r="D130" s="3">
        <v>0.67200000000000004</v>
      </c>
      <c r="E130" s="3">
        <v>0</v>
      </c>
      <c r="F130" s="3">
        <v>0.71499999999999997</v>
      </c>
      <c r="G130" s="3">
        <v>0</v>
      </c>
      <c r="H130" s="3">
        <v>0.754</v>
      </c>
      <c r="I130" s="3">
        <v>0</v>
      </c>
      <c r="J130" s="3">
        <v>0.68600000000000005</v>
      </c>
      <c r="K130" s="3">
        <v>0</v>
      </c>
      <c r="L130" s="3">
        <v>0.97199999999999998</v>
      </c>
      <c r="M130" s="3">
        <v>0</v>
      </c>
      <c r="N130" s="3">
        <v>0.86</v>
      </c>
      <c r="O130" s="3">
        <v>0</v>
      </c>
      <c r="P130" s="3">
        <v>0.86</v>
      </c>
      <c r="Q130" s="3">
        <v>0</v>
      </c>
      <c r="R130" s="3">
        <v>0.85699999999999998</v>
      </c>
      <c r="S130" s="3">
        <v>0</v>
      </c>
      <c r="T130" s="3">
        <v>0.76600000000000001</v>
      </c>
      <c r="U130" s="3">
        <v>0</v>
      </c>
      <c r="V130" s="3">
        <v>0.69599999999999995</v>
      </c>
      <c r="W130" s="3">
        <v>0</v>
      </c>
      <c r="X130" s="3">
        <v>0.69199999999999995</v>
      </c>
      <c r="Y130" s="3">
        <v>0</v>
      </c>
      <c r="Z130" s="3">
        <v>0.74</v>
      </c>
      <c r="AA130" s="3">
        <v>0</v>
      </c>
      <c r="AB130" s="3">
        <v>0.59299999999999997</v>
      </c>
      <c r="AC130" s="3">
        <v>0.504</v>
      </c>
      <c r="AD130" s="3">
        <v>9.9000000000000005E-2</v>
      </c>
      <c r="AE130" s="3">
        <v>4.8500000000000001E-2</v>
      </c>
      <c r="AF130" s="3">
        <v>0.572333333</v>
      </c>
      <c r="AG130" s="3">
        <v>0.624</v>
      </c>
      <c r="AH130" s="3">
        <v>0.85099999999999998</v>
      </c>
      <c r="AI130" s="3">
        <v>0.56950000000000001</v>
      </c>
      <c r="AJ130" s="3">
        <v>0.74399999999999999</v>
      </c>
      <c r="AK130" s="3">
        <v>0.92800000000000005</v>
      </c>
      <c r="AL130" s="3">
        <v>0.88333333300000005</v>
      </c>
      <c r="AM130" s="3">
        <v>0.01</v>
      </c>
      <c r="AN130" s="3">
        <v>0.62833333300000005</v>
      </c>
      <c r="AO130" s="3">
        <v>0.90400000000000003</v>
      </c>
    </row>
    <row r="131" spans="1:41" x14ac:dyDescent="0.3">
      <c r="A131" s="2" t="s">
        <v>314</v>
      </c>
      <c r="B131" s="2" t="s">
        <v>330</v>
      </c>
      <c r="C131" s="3">
        <v>2E-3</v>
      </c>
      <c r="D131" s="3">
        <v>0.78600000000000003</v>
      </c>
      <c r="E131" s="3">
        <v>0</v>
      </c>
      <c r="F131" s="3">
        <v>0.71099999999999997</v>
      </c>
      <c r="G131" s="3">
        <v>0</v>
      </c>
      <c r="H131" s="3">
        <v>0.73499999999999999</v>
      </c>
      <c r="I131" s="3">
        <v>0</v>
      </c>
      <c r="J131" s="3">
        <v>0.67900000000000005</v>
      </c>
      <c r="K131" s="3">
        <v>0</v>
      </c>
      <c r="L131" s="3">
        <v>0.97899999999999998</v>
      </c>
      <c r="M131" s="3">
        <v>0</v>
      </c>
      <c r="N131" s="3">
        <v>0.85499999999999998</v>
      </c>
      <c r="O131" s="3">
        <v>0</v>
      </c>
      <c r="P131" s="3">
        <v>0.85499999999999998</v>
      </c>
      <c r="Q131" s="3">
        <v>2E-3</v>
      </c>
      <c r="R131" s="3">
        <v>0.87</v>
      </c>
      <c r="S131" s="3">
        <v>0</v>
      </c>
      <c r="T131" s="3">
        <v>0.79900000000000004</v>
      </c>
      <c r="U131" s="3">
        <v>0</v>
      </c>
      <c r="V131" s="3">
        <v>0.71299999999999997</v>
      </c>
      <c r="W131" s="3">
        <v>0</v>
      </c>
      <c r="X131" s="3">
        <v>0.66900000000000004</v>
      </c>
      <c r="Y131" s="3">
        <v>0</v>
      </c>
      <c r="Z131" s="3">
        <v>0.71199999999999997</v>
      </c>
      <c r="AA131" s="3">
        <v>0</v>
      </c>
      <c r="AB131" s="3">
        <v>0.56100000000000005</v>
      </c>
      <c r="AC131" s="3">
        <v>0.52400000000000002</v>
      </c>
      <c r="AD131" s="3">
        <v>0.13350000000000001</v>
      </c>
      <c r="AE131" s="3">
        <v>3.7999999999999999E-2</v>
      </c>
      <c r="AF131" s="3">
        <v>0.60099999999999998</v>
      </c>
      <c r="AG131" s="3">
        <v>0.63566666699999996</v>
      </c>
      <c r="AH131" s="3">
        <v>0.88700000000000001</v>
      </c>
      <c r="AI131" s="3">
        <v>0.61550000000000005</v>
      </c>
      <c r="AJ131" s="3">
        <v>0.74733333300000004</v>
      </c>
      <c r="AK131" s="3">
        <v>0.94350000000000001</v>
      </c>
      <c r="AL131" s="3">
        <v>0.86066666700000005</v>
      </c>
      <c r="AM131" s="3">
        <v>0.01</v>
      </c>
      <c r="AN131" s="3">
        <v>0.62266666699999995</v>
      </c>
      <c r="AO131" s="3">
        <v>0.88900000000000001</v>
      </c>
    </row>
    <row r="132" spans="1:41" x14ac:dyDescent="0.3">
      <c r="A132" s="2" t="s">
        <v>314</v>
      </c>
      <c r="B132" s="2" t="s">
        <v>331</v>
      </c>
      <c r="C132" s="3">
        <v>7.1999999999999995E-2</v>
      </c>
      <c r="D132" s="3">
        <v>0.76800000000000002</v>
      </c>
      <c r="E132" s="3">
        <v>3.4000000000000002E-2</v>
      </c>
      <c r="F132" s="3">
        <v>0.68200000000000005</v>
      </c>
      <c r="G132" s="3">
        <v>3.1E-2</v>
      </c>
      <c r="H132" s="3">
        <v>0.746</v>
      </c>
      <c r="I132" s="3">
        <v>4.0000000000000001E-3</v>
      </c>
      <c r="J132" s="3">
        <v>0.69199999999999995</v>
      </c>
      <c r="K132" s="3">
        <v>4.1000000000000002E-2</v>
      </c>
      <c r="L132" s="3">
        <v>0.98199999999999998</v>
      </c>
      <c r="M132" s="3">
        <v>7.0000000000000001E-3</v>
      </c>
      <c r="N132" s="3">
        <v>0.85199999999999998</v>
      </c>
      <c r="O132" s="3">
        <v>0.01</v>
      </c>
      <c r="P132" s="3">
        <v>0.85199999999999998</v>
      </c>
      <c r="Q132" s="3">
        <v>4.9000000000000002E-2</v>
      </c>
      <c r="R132" s="3">
        <v>0.86399999999999999</v>
      </c>
      <c r="S132" s="3">
        <v>3.1E-2</v>
      </c>
      <c r="T132" s="3">
        <v>0.79700000000000004</v>
      </c>
      <c r="U132" s="3">
        <v>3.1E-2</v>
      </c>
      <c r="V132" s="3">
        <v>0.70799999999999996</v>
      </c>
      <c r="W132" s="3">
        <v>9.0999999999999998E-2</v>
      </c>
      <c r="X132" s="3">
        <v>0.58299999999999996</v>
      </c>
      <c r="Y132" s="3">
        <v>1.4999999999999999E-2</v>
      </c>
      <c r="Z132" s="3">
        <v>0.67300000000000004</v>
      </c>
      <c r="AA132" s="3">
        <v>5.2999999999999999E-2</v>
      </c>
      <c r="AB132" s="3">
        <v>0.52</v>
      </c>
      <c r="AC132" s="3">
        <v>0.55049999999999999</v>
      </c>
      <c r="AD132" s="3">
        <v>0.17499999999999999</v>
      </c>
      <c r="AE132" s="3">
        <v>4.3499999999999997E-2</v>
      </c>
      <c r="AF132" s="3">
        <v>0.61666666699999995</v>
      </c>
      <c r="AG132" s="3">
        <v>0.637583334</v>
      </c>
      <c r="AH132" s="3">
        <v>0.90200000000000002</v>
      </c>
      <c r="AI132" s="3">
        <v>0.57799999999999996</v>
      </c>
      <c r="AJ132" s="3">
        <v>0.72466666700000004</v>
      </c>
      <c r="AK132" s="3">
        <v>0.9415</v>
      </c>
      <c r="AL132" s="3">
        <v>0.828333333</v>
      </c>
      <c r="AM132" s="3">
        <v>0.01</v>
      </c>
      <c r="AN132" s="3">
        <v>0.61766666699999995</v>
      </c>
      <c r="AO132" s="3">
        <v>0.871</v>
      </c>
    </row>
    <row r="133" spans="1:41" x14ac:dyDescent="0.3">
      <c r="A133" s="2" t="s">
        <v>314</v>
      </c>
      <c r="B133" s="2" t="s">
        <v>332</v>
      </c>
      <c r="C133" s="3">
        <v>0.16700000000000001</v>
      </c>
      <c r="D133" s="3">
        <v>0.81200000000000006</v>
      </c>
      <c r="E133" s="3">
        <v>8.3000000000000004E-2</v>
      </c>
      <c r="F133" s="3">
        <v>0.63100000000000001</v>
      </c>
      <c r="G133" s="3">
        <v>5.8000000000000003E-2</v>
      </c>
      <c r="H133" s="3">
        <v>0.71</v>
      </c>
      <c r="I133" s="3">
        <v>0.02</v>
      </c>
      <c r="J133" s="3">
        <v>0.76500000000000001</v>
      </c>
      <c r="K133" s="3">
        <v>0.107</v>
      </c>
      <c r="L133" s="3">
        <v>0.97799999999999998</v>
      </c>
      <c r="M133" s="3">
        <v>3.1E-2</v>
      </c>
      <c r="N133" s="3">
        <v>0.84599999999999997</v>
      </c>
      <c r="O133" s="3">
        <v>4.5999999999999999E-2</v>
      </c>
      <c r="P133" s="3">
        <v>0.84599999999999997</v>
      </c>
      <c r="Q133" s="3">
        <v>0.113</v>
      </c>
      <c r="R133" s="3">
        <v>0.86799999999999999</v>
      </c>
      <c r="S133" s="3">
        <v>0.114</v>
      </c>
      <c r="T133" s="3">
        <v>0.82599999999999996</v>
      </c>
      <c r="U133" s="3">
        <v>0.115</v>
      </c>
      <c r="V133" s="3">
        <v>0.73899999999999999</v>
      </c>
      <c r="W133" s="3">
        <v>0.28499999999999998</v>
      </c>
      <c r="X133" s="3">
        <v>0.48699999999999999</v>
      </c>
      <c r="Y133" s="3">
        <v>6.4000000000000001E-2</v>
      </c>
      <c r="Z133" s="3">
        <v>0.60899999999999999</v>
      </c>
      <c r="AA133" s="3">
        <v>0.19</v>
      </c>
      <c r="AB133" s="3">
        <v>0.48699999999999999</v>
      </c>
      <c r="AC133" s="3">
        <v>0.57750000000000001</v>
      </c>
      <c r="AD133" s="3">
        <v>0.22700000000000001</v>
      </c>
      <c r="AE133" s="3">
        <v>5.6500000000000002E-2</v>
      </c>
      <c r="AF133" s="3">
        <v>0.62933333300000005</v>
      </c>
      <c r="AG133" s="3">
        <v>0.63991666700000005</v>
      </c>
      <c r="AH133" s="3">
        <v>0.91</v>
      </c>
      <c r="AI133" s="3">
        <v>0.52349999999999997</v>
      </c>
      <c r="AJ133" s="3">
        <v>0.702333333</v>
      </c>
      <c r="AK133" s="3">
        <v>0.9335</v>
      </c>
      <c r="AL133" s="3">
        <v>0.78833333299999997</v>
      </c>
      <c r="AM133" s="3">
        <v>0.01</v>
      </c>
      <c r="AN133" s="3">
        <v>0.61166666700000005</v>
      </c>
      <c r="AO133" s="3">
        <v>0.84699999999999998</v>
      </c>
    </row>
    <row r="134" spans="1:41" x14ac:dyDescent="0.3">
      <c r="A134" s="2" t="s">
        <v>314</v>
      </c>
      <c r="B134" s="2" t="s">
        <v>333</v>
      </c>
      <c r="C134" s="3">
        <v>0.24099999999999999</v>
      </c>
      <c r="D134" s="3">
        <v>0.73299999999999998</v>
      </c>
      <c r="E134" s="3">
        <v>0.11799999999999999</v>
      </c>
      <c r="F134" s="3">
        <v>0.66300000000000003</v>
      </c>
      <c r="G134" s="3">
        <v>8.8999999999999996E-2</v>
      </c>
      <c r="H134" s="3">
        <v>0.68500000000000005</v>
      </c>
      <c r="I134" s="3">
        <v>3.6999999999999998E-2</v>
      </c>
      <c r="J134" s="3">
        <v>0.68</v>
      </c>
      <c r="K134" s="3">
        <v>0.18</v>
      </c>
      <c r="L134" s="3">
        <v>0.97299999999999998</v>
      </c>
      <c r="M134" s="3">
        <v>6.4000000000000001E-2</v>
      </c>
      <c r="N134" s="3">
        <v>0.83699999999999997</v>
      </c>
      <c r="O134" s="3">
        <v>8.5000000000000006E-2</v>
      </c>
      <c r="P134" s="3">
        <v>0.83699999999999997</v>
      </c>
      <c r="Q134" s="3">
        <v>0.191</v>
      </c>
      <c r="R134" s="3">
        <v>0.90200000000000002</v>
      </c>
      <c r="S134" s="3">
        <v>0.20699999999999999</v>
      </c>
      <c r="T134" s="3">
        <v>0.82199999999999995</v>
      </c>
      <c r="U134" s="3">
        <v>0.20799999999999999</v>
      </c>
      <c r="V134" s="3">
        <v>0.71399999999999997</v>
      </c>
      <c r="W134" s="3">
        <v>0.47199999999999998</v>
      </c>
      <c r="X134" s="3">
        <v>0.58699999999999997</v>
      </c>
      <c r="Y134" s="3">
        <v>0.15</v>
      </c>
      <c r="Z134" s="3">
        <v>0.63</v>
      </c>
      <c r="AA134" s="3">
        <v>0.36099999999999999</v>
      </c>
      <c r="AB134" s="3">
        <v>0.55100000000000005</v>
      </c>
      <c r="AC134" s="3">
        <v>0.64200000000000002</v>
      </c>
      <c r="AD134" s="3">
        <v>0.35949999999999999</v>
      </c>
      <c r="AE134" s="3">
        <v>7.8E-2</v>
      </c>
      <c r="AF134" s="3">
        <v>0.64100000000000001</v>
      </c>
      <c r="AG134" s="3">
        <v>0.67133333399999995</v>
      </c>
      <c r="AH134" s="3">
        <v>0.90700000000000003</v>
      </c>
      <c r="AI134" s="3">
        <v>0.4945</v>
      </c>
      <c r="AJ134" s="3">
        <v>0.70066666700000002</v>
      </c>
      <c r="AK134" s="3">
        <v>0.92600000000000005</v>
      </c>
      <c r="AL134" s="3">
        <v>0.72533333300000002</v>
      </c>
      <c r="AM134" s="3">
        <v>0.01</v>
      </c>
      <c r="AN134" s="3">
        <v>0.62266666699999995</v>
      </c>
      <c r="AO134" s="3">
        <v>0.81</v>
      </c>
    </row>
    <row r="135" spans="1:41" x14ac:dyDescent="0.3">
      <c r="A135" s="2" t="s">
        <v>314</v>
      </c>
      <c r="B135" s="2" t="s">
        <v>334</v>
      </c>
      <c r="C135" s="3">
        <v>0.29699999999999999</v>
      </c>
      <c r="D135" s="3">
        <v>0.73499999999999999</v>
      </c>
      <c r="E135" s="3">
        <v>0.14000000000000001</v>
      </c>
      <c r="F135" s="3">
        <v>0.72599999999999998</v>
      </c>
      <c r="G135" s="3">
        <v>0.108</v>
      </c>
      <c r="H135" s="3">
        <v>0.70599999999999996</v>
      </c>
      <c r="I135" s="3">
        <v>5.1999999999999998E-2</v>
      </c>
      <c r="J135" s="3">
        <v>0.76</v>
      </c>
      <c r="K135" s="3">
        <v>0.23</v>
      </c>
      <c r="L135" s="3">
        <v>0.97199999999999998</v>
      </c>
      <c r="M135" s="3">
        <v>0.122</v>
      </c>
      <c r="N135" s="3">
        <v>0.86299999999999999</v>
      </c>
      <c r="O135" s="3">
        <v>0.13300000000000001</v>
      </c>
      <c r="P135" s="3">
        <v>0.86299999999999999</v>
      </c>
      <c r="Q135" s="3">
        <v>0.254</v>
      </c>
      <c r="R135" s="3">
        <v>0.91100000000000003</v>
      </c>
      <c r="S135" s="3">
        <v>0.29299999999999998</v>
      </c>
      <c r="T135" s="3">
        <v>0.86399999999999999</v>
      </c>
      <c r="U135" s="3">
        <v>0.29599999999999999</v>
      </c>
      <c r="V135" s="3">
        <v>0.73499999999999999</v>
      </c>
      <c r="W135" s="3">
        <v>0.58599999999999997</v>
      </c>
      <c r="X135" s="3">
        <v>0.65100000000000002</v>
      </c>
      <c r="Y135" s="3">
        <v>0.27300000000000002</v>
      </c>
      <c r="Z135" s="3">
        <v>0.67600000000000005</v>
      </c>
      <c r="AA135" s="3">
        <v>0.52400000000000002</v>
      </c>
      <c r="AB135" s="3">
        <v>0.59399999999999997</v>
      </c>
      <c r="AC135" s="3">
        <v>0.70899999999999996</v>
      </c>
      <c r="AD135" s="3">
        <v>0.51</v>
      </c>
      <c r="AE135" s="3">
        <v>0.1235</v>
      </c>
      <c r="AF135" s="3">
        <v>0.65400000000000003</v>
      </c>
      <c r="AG135" s="3">
        <v>0.71683333400000004</v>
      </c>
      <c r="AH135" s="3">
        <v>0.89500000000000002</v>
      </c>
      <c r="AI135" s="3">
        <v>0.51049999999999995</v>
      </c>
      <c r="AJ135" s="3">
        <v>0.72466666700000004</v>
      </c>
      <c r="AK135" s="3">
        <v>0.90300000000000002</v>
      </c>
      <c r="AL135" s="3">
        <v>0.63866666699999997</v>
      </c>
      <c r="AM135" s="3">
        <v>0.01</v>
      </c>
      <c r="AN135" s="3">
        <v>0.61533333300000004</v>
      </c>
      <c r="AO135" s="3">
        <v>0.74</v>
      </c>
    </row>
    <row r="136" spans="1:41" x14ac:dyDescent="0.3">
      <c r="A136" s="2" t="s">
        <v>314</v>
      </c>
      <c r="B136" s="2" t="s">
        <v>335</v>
      </c>
      <c r="C136" s="3">
        <v>0.36199999999999999</v>
      </c>
      <c r="D136" s="3">
        <v>0.78</v>
      </c>
      <c r="E136" s="3">
        <v>0.14499999999999999</v>
      </c>
      <c r="F136" s="3">
        <v>0.69</v>
      </c>
      <c r="G136" s="3">
        <v>0.114</v>
      </c>
      <c r="H136" s="3">
        <v>0.69299999999999995</v>
      </c>
      <c r="I136" s="3">
        <v>6.8000000000000005E-2</v>
      </c>
      <c r="J136" s="3">
        <v>0.80300000000000005</v>
      </c>
      <c r="K136" s="3">
        <v>0.23899999999999999</v>
      </c>
      <c r="L136" s="3">
        <v>0.97699999999999998</v>
      </c>
      <c r="M136" s="3">
        <v>0.19</v>
      </c>
      <c r="N136" s="3">
        <v>0.86799999999999999</v>
      </c>
      <c r="O136" s="3">
        <v>0.153</v>
      </c>
      <c r="P136" s="3">
        <v>0.86799999999999999</v>
      </c>
      <c r="Q136" s="3">
        <v>0.24199999999999999</v>
      </c>
      <c r="R136" s="3">
        <v>0.92600000000000005</v>
      </c>
      <c r="S136" s="3">
        <v>0.35799999999999998</v>
      </c>
      <c r="T136" s="3">
        <v>0.89200000000000002</v>
      </c>
      <c r="U136" s="3">
        <v>0.36599999999999999</v>
      </c>
      <c r="V136" s="3">
        <v>0.76800000000000002</v>
      </c>
      <c r="W136" s="3">
        <v>0.63700000000000001</v>
      </c>
      <c r="X136" s="3">
        <v>0.64700000000000002</v>
      </c>
      <c r="Y136" s="3">
        <v>0.40400000000000003</v>
      </c>
      <c r="Z136" s="3">
        <v>0.67500000000000004</v>
      </c>
      <c r="AA136" s="3">
        <v>0.58099999999999996</v>
      </c>
      <c r="AB136" s="3">
        <v>0.58799999999999997</v>
      </c>
      <c r="AC136" s="3">
        <v>0.747</v>
      </c>
      <c r="AD136" s="3">
        <v>0.63349999999999995</v>
      </c>
      <c r="AE136" s="3">
        <v>0.22800000000000001</v>
      </c>
      <c r="AF136" s="3">
        <v>0.69399999999999995</v>
      </c>
      <c r="AG136" s="3">
        <v>0.75249999999999995</v>
      </c>
      <c r="AH136" s="3">
        <v>0.878</v>
      </c>
      <c r="AI136" s="3">
        <v>0.50149999999999995</v>
      </c>
      <c r="AJ136" s="3">
        <v>0.75800000000000001</v>
      </c>
      <c r="AK136" s="3">
        <v>0.87649999999999995</v>
      </c>
      <c r="AL136" s="3">
        <v>0.55200000000000005</v>
      </c>
      <c r="AM136" s="3">
        <v>0.01</v>
      </c>
      <c r="AN136" s="3">
        <v>0.59099999999999997</v>
      </c>
      <c r="AO136" s="3">
        <v>0.66200000000000003</v>
      </c>
    </row>
    <row r="137" spans="1:41" x14ac:dyDescent="0.3">
      <c r="A137" s="2" t="s">
        <v>314</v>
      </c>
      <c r="B137" s="2" t="s">
        <v>336</v>
      </c>
      <c r="C137" s="3">
        <v>0.318</v>
      </c>
      <c r="D137" s="3">
        <v>0.73899999999999999</v>
      </c>
      <c r="E137" s="3">
        <v>0.155</v>
      </c>
      <c r="F137" s="3">
        <v>0.628</v>
      </c>
      <c r="G137" s="3">
        <v>0.10199999999999999</v>
      </c>
      <c r="H137" s="3">
        <v>0.67600000000000005</v>
      </c>
      <c r="I137" s="3">
        <v>8.1000000000000003E-2</v>
      </c>
      <c r="J137" s="3">
        <v>0.76400000000000001</v>
      </c>
      <c r="K137" s="3">
        <v>0.23</v>
      </c>
      <c r="L137" s="3">
        <v>0.97599999999999998</v>
      </c>
      <c r="M137" s="3">
        <v>0.308</v>
      </c>
      <c r="N137" s="3">
        <v>0.85899999999999999</v>
      </c>
      <c r="O137" s="3">
        <v>0.14599999999999999</v>
      </c>
      <c r="P137" s="3">
        <v>0.85899999999999999</v>
      </c>
      <c r="Q137" s="3">
        <v>0.19900000000000001</v>
      </c>
      <c r="R137" s="3">
        <v>0.92</v>
      </c>
      <c r="S137" s="3">
        <v>0.377</v>
      </c>
      <c r="T137" s="3">
        <v>0.879</v>
      </c>
      <c r="U137" s="3">
        <v>0.38600000000000001</v>
      </c>
      <c r="V137" s="3">
        <v>0.77500000000000002</v>
      </c>
      <c r="W137" s="3">
        <v>0.60199999999999998</v>
      </c>
      <c r="X137" s="3">
        <v>0.61799999999999999</v>
      </c>
      <c r="Y137" s="3">
        <v>0.38200000000000001</v>
      </c>
      <c r="Z137" s="3">
        <v>0.66100000000000003</v>
      </c>
      <c r="AA137" s="3">
        <v>0.56799999999999995</v>
      </c>
      <c r="AB137" s="3">
        <v>0.58499999999999996</v>
      </c>
      <c r="AC137" s="3">
        <v>0.77200000000000002</v>
      </c>
      <c r="AD137" s="3">
        <v>0.74150000000000005</v>
      </c>
      <c r="AE137" s="3">
        <v>0.39250000000000002</v>
      </c>
      <c r="AF137" s="3">
        <v>0.73966666700000006</v>
      </c>
      <c r="AG137" s="3">
        <v>0.78166666699999998</v>
      </c>
      <c r="AH137" s="3">
        <v>0.86199999999999999</v>
      </c>
      <c r="AI137" s="3">
        <v>0.50900000000000001</v>
      </c>
      <c r="AJ137" s="3">
        <v>0.79133333299999997</v>
      </c>
      <c r="AK137" s="3">
        <v>0.84699999999999998</v>
      </c>
      <c r="AL137" s="3">
        <v>0.489666667</v>
      </c>
      <c r="AM137" s="3">
        <v>0.01</v>
      </c>
      <c r="AN137" s="3">
        <v>0.56766666700000001</v>
      </c>
      <c r="AO137" s="3">
        <v>0.59899999999999998</v>
      </c>
    </row>
    <row r="138" spans="1:41" x14ac:dyDescent="0.3">
      <c r="A138" s="2" t="s">
        <v>314</v>
      </c>
      <c r="B138" s="2" t="s">
        <v>337</v>
      </c>
      <c r="C138" s="3">
        <v>0.188</v>
      </c>
      <c r="D138" s="3">
        <v>0.60899999999999999</v>
      </c>
      <c r="E138" s="3">
        <v>0.159</v>
      </c>
      <c r="F138" s="3">
        <v>0.62</v>
      </c>
      <c r="G138" s="3">
        <v>7.6999999999999999E-2</v>
      </c>
      <c r="H138" s="3">
        <v>0.67600000000000005</v>
      </c>
      <c r="I138" s="3">
        <v>9.0999999999999998E-2</v>
      </c>
      <c r="J138" s="3">
        <v>0.68</v>
      </c>
      <c r="K138" s="3">
        <v>0.22800000000000001</v>
      </c>
      <c r="L138" s="3">
        <v>0.97299999999999998</v>
      </c>
      <c r="M138" s="3">
        <v>0.371</v>
      </c>
      <c r="N138" s="3">
        <v>0.84199999999999997</v>
      </c>
      <c r="O138" s="3">
        <v>0.152</v>
      </c>
      <c r="P138" s="3">
        <v>0.84199999999999997</v>
      </c>
      <c r="Q138" s="3">
        <v>0.17399999999999999</v>
      </c>
      <c r="R138" s="3">
        <v>0.88700000000000001</v>
      </c>
      <c r="S138" s="3">
        <v>0.33700000000000002</v>
      </c>
      <c r="T138" s="3">
        <v>0.83699999999999997</v>
      </c>
      <c r="U138" s="3">
        <v>0.34799999999999998</v>
      </c>
      <c r="V138" s="3">
        <v>0.75900000000000001</v>
      </c>
      <c r="W138" s="3">
        <v>0.44</v>
      </c>
      <c r="X138" s="3">
        <v>0.58799999999999997</v>
      </c>
      <c r="Y138" s="3">
        <v>0.33800000000000002</v>
      </c>
      <c r="Z138" s="3">
        <v>0.63400000000000001</v>
      </c>
      <c r="AA138" s="3">
        <v>0.48699999999999999</v>
      </c>
      <c r="AB138" s="3">
        <v>0.54900000000000004</v>
      </c>
      <c r="AC138" s="3">
        <v>0.79849999999999999</v>
      </c>
      <c r="AD138" s="3">
        <v>0.82150000000000001</v>
      </c>
      <c r="AE138" s="3">
        <v>0.57550000000000001</v>
      </c>
      <c r="AF138" s="3">
        <v>0.79</v>
      </c>
      <c r="AG138" s="3">
        <v>0.80108333399999998</v>
      </c>
      <c r="AH138" s="3">
        <v>0.85299999999999998</v>
      </c>
      <c r="AI138" s="3">
        <v>0.53149999999999997</v>
      </c>
      <c r="AJ138" s="3">
        <v>0.803666667</v>
      </c>
      <c r="AK138" s="3">
        <v>0.81599999999999995</v>
      </c>
      <c r="AL138" s="3">
        <v>0.44500000000000001</v>
      </c>
      <c r="AM138" s="3">
        <v>0.01</v>
      </c>
      <c r="AN138" s="3">
        <v>0.56299999999999994</v>
      </c>
      <c r="AO138" s="3">
        <v>0.55600000000000005</v>
      </c>
    </row>
    <row r="139" spans="1:41" x14ac:dyDescent="0.3">
      <c r="A139" s="2" t="s">
        <v>314</v>
      </c>
      <c r="B139" s="2" t="s">
        <v>338</v>
      </c>
      <c r="C139" s="3">
        <v>0.13100000000000001</v>
      </c>
      <c r="D139" s="3">
        <v>0.56000000000000005</v>
      </c>
      <c r="E139" s="3">
        <v>0.17599999999999999</v>
      </c>
      <c r="F139" s="3">
        <v>0.61199999999999999</v>
      </c>
      <c r="G139" s="3">
        <v>5.5E-2</v>
      </c>
      <c r="H139" s="3">
        <v>0.66500000000000004</v>
      </c>
      <c r="I139" s="3">
        <v>7.5999999999999998E-2</v>
      </c>
      <c r="J139" s="3">
        <v>0.57999999999999996</v>
      </c>
      <c r="K139" s="3">
        <v>0.188</v>
      </c>
      <c r="L139" s="3">
        <v>0.97</v>
      </c>
      <c r="M139" s="3">
        <v>0.32800000000000001</v>
      </c>
      <c r="N139" s="3">
        <v>0.80600000000000005</v>
      </c>
      <c r="O139" s="3">
        <v>0.16400000000000001</v>
      </c>
      <c r="P139" s="3">
        <v>0.80600000000000005</v>
      </c>
      <c r="Q139" s="3">
        <v>0.13400000000000001</v>
      </c>
      <c r="R139" s="3">
        <v>0.83799999999999997</v>
      </c>
      <c r="S139" s="3">
        <v>0.26100000000000001</v>
      </c>
      <c r="T139" s="3">
        <v>0.77500000000000002</v>
      </c>
      <c r="U139" s="3">
        <v>0.26800000000000002</v>
      </c>
      <c r="V139" s="3">
        <v>0.71199999999999997</v>
      </c>
      <c r="W139" s="3">
        <v>0.22800000000000001</v>
      </c>
      <c r="X139" s="3">
        <v>0.51</v>
      </c>
      <c r="Y139" s="3">
        <v>0.26900000000000002</v>
      </c>
      <c r="Z139" s="3">
        <v>0.58899999999999997</v>
      </c>
      <c r="AA139" s="3">
        <v>0.36699999999999999</v>
      </c>
      <c r="AB139" s="3">
        <v>0.47599999999999998</v>
      </c>
      <c r="AC139" s="3">
        <v>0.81850000000000001</v>
      </c>
      <c r="AD139" s="3">
        <v>0.86350000000000005</v>
      </c>
      <c r="AE139" s="3">
        <v>0.70250000000000001</v>
      </c>
      <c r="AF139" s="3">
        <v>0.82199999999999995</v>
      </c>
      <c r="AG139" s="3">
        <v>0.80774999999999997</v>
      </c>
      <c r="AH139" s="3">
        <v>0.85099999999999998</v>
      </c>
      <c r="AI139" s="3">
        <v>0.55149999999999999</v>
      </c>
      <c r="AJ139" s="3">
        <v>0.79700000000000004</v>
      </c>
      <c r="AK139" s="3">
        <v>0.78049999999999997</v>
      </c>
      <c r="AL139" s="3">
        <v>0.39966666699999998</v>
      </c>
      <c r="AM139" s="3">
        <v>0.01</v>
      </c>
      <c r="AN139" s="3">
        <v>0.557666667</v>
      </c>
      <c r="AO139" s="3">
        <v>0.52100000000000002</v>
      </c>
    </row>
    <row r="140" spans="1:41" x14ac:dyDescent="0.3">
      <c r="A140" s="2" t="s">
        <v>314</v>
      </c>
      <c r="B140" s="2" t="s">
        <v>339</v>
      </c>
      <c r="C140" s="3">
        <v>9.7000000000000003E-2</v>
      </c>
      <c r="D140" s="3">
        <v>0.56200000000000006</v>
      </c>
      <c r="E140" s="3">
        <v>0.11700000000000001</v>
      </c>
      <c r="F140" s="3">
        <v>0.625</v>
      </c>
      <c r="G140" s="3">
        <v>3.5999999999999997E-2</v>
      </c>
      <c r="H140" s="3">
        <v>0.63800000000000001</v>
      </c>
      <c r="I140" s="3">
        <v>5.5E-2</v>
      </c>
      <c r="J140" s="3">
        <v>0.53300000000000003</v>
      </c>
      <c r="K140" s="3">
        <v>0.105</v>
      </c>
      <c r="L140" s="3">
        <v>0.97</v>
      </c>
      <c r="M140" s="3">
        <v>0.187</v>
      </c>
      <c r="N140" s="3">
        <v>0.72599999999999998</v>
      </c>
      <c r="O140" s="3">
        <v>8.1000000000000003E-2</v>
      </c>
      <c r="P140" s="3">
        <v>0.72599999999999998</v>
      </c>
      <c r="Q140" s="3">
        <v>8.6999999999999994E-2</v>
      </c>
      <c r="R140" s="3">
        <v>0.78200000000000003</v>
      </c>
      <c r="S140" s="3">
        <v>0.128</v>
      </c>
      <c r="T140" s="3">
        <v>0.70299999999999996</v>
      </c>
      <c r="U140" s="3">
        <v>0.128</v>
      </c>
      <c r="V140" s="3">
        <v>0.63100000000000001</v>
      </c>
      <c r="W140" s="3">
        <v>0.11600000000000001</v>
      </c>
      <c r="X140" s="3">
        <v>0.45100000000000001</v>
      </c>
      <c r="Y140" s="3">
        <v>0.16900000000000001</v>
      </c>
      <c r="Z140" s="3">
        <v>0.49299999999999999</v>
      </c>
      <c r="AA140" s="3">
        <v>0.221</v>
      </c>
      <c r="AB140" s="3">
        <v>0.40600000000000003</v>
      </c>
      <c r="AC140" s="3">
        <v>0.82399999999999995</v>
      </c>
      <c r="AD140" s="3">
        <v>0.87649999999999995</v>
      </c>
      <c r="AE140" s="3">
        <v>0.76800000000000002</v>
      </c>
      <c r="AF140" s="3">
        <v>0.83299999999999996</v>
      </c>
      <c r="AG140" s="3">
        <v>0.79500000000000004</v>
      </c>
      <c r="AH140" s="3">
        <v>0.84299999999999997</v>
      </c>
      <c r="AI140" s="3">
        <v>0.57699999999999996</v>
      </c>
      <c r="AJ140" s="3">
        <v>0.76600000000000001</v>
      </c>
      <c r="AK140" s="3">
        <v>0.75</v>
      </c>
      <c r="AL140" s="3">
        <v>0.36633333299999998</v>
      </c>
      <c r="AM140" s="3">
        <v>0.01</v>
      </c>
      <c r="AN140" s="3">
        <v>0.54833333299999998</v>
      </c>
      <c r="AO140" s="3">
        <v>0.498</v>
      </c>
    </row>
    <row r="141" spans="1:41" x14ac:dyDescent="0.3">
      <c r="A141" s="2" t="s">
        <v>314</v>
      </c>
      <c r="B141" s="2" t="s">
        <v>340</v>
      </c>
      <c r="C141" s="3">
        <v>4.2000000000000003E-2</v>
      </c>
      <c r="D141" s="3">
        <v>0.58599999999999997</v>
      </c>
      <c r="E141" s="3">
        <v>5.8000000000000003E-2</v>
      </c>
      <c r="F141" s="3">
        <v>0.63300000000000001</v>
      </c>
      <c r="G141" s="3">
        <v>1.7999999999999999E-2</v>
      </c>
      <c r="H141" s="3">
        <v>0.60899999999999999</v>
      </c>
      <c r="I141" s="3">
        <v>2.7E-2</v>
      </c>
      <c r="J141" s="3">
        <v>0.54700000000000004</v>
      </c>
      <c r="K141" s="3">
        <v>3.6999999999999998E-2</v>
      </c>
      <c r="L141" s="3">
        <v>0.96299999999999997</v>
      </c>
      <c r="M141" s="3">
        <v>6.5000000000000002E-2</v>
      </c>
      <c r="N141" s="3">
        <v>0.64300000000000002</v>
      </c>
      <c r="O141" s="3">
        <v>2.5000000000000001E-2</v>
      </c>
      <c r="P141" s="3">
        <v>0.64300000000000002</v>
      </c>
      <c r="Q141" s="3">
        <v>0.03</v>
      </c>
      <c r="R141" s="3">
        <v>0.72899999999999998</v>
      </c>
      <c r="S141" s="3">
        <v>3.6999999999999998E-2</v>
      </c>
      <c r="T141" s="3">
        <v>0.64800000000000002</v>
      </c>
      <c r="U141" s="3">
        <v>3.6999999999999998E-2</v>
      </c>
      <c r="V141" s="3">
        <v>0.55600000000000005</v>
      </c>
      <c r="W141" s="3">
        <v>4.9000000000000002E-2</v>
      </c>
      <c r="X141" s="3">
        <v>0.42899999999999999</v>
      </c>
      <c r="Y141" s="3">
        <v>6.2E-2</v>
      </c>
      <c r="Z141" s="3">
        <v>0.41499999999999998</v>
      </c>
      <c r="AA141" s="3">
        <v>9.5000000000000001E-2</v>
      </c>
      <c r="AB141" s="3">
        <v>0.377</v>
      </c>
      <c r="AC141" s="3">
        <v>0.80249999999999999</v>
      </c>
      <c r="AD141" s="3">
        <v>0.87450000000000006</v>
      </c>
      <c r="AE141" s="3">
        <v>0.80649999999999999</v>
      </c>
      <c r="AF141" s="3">
        <v>0.82899999999999996</v>
      </c>
      <c r="AG141" s="3">
        <v>0.76341666699999999</v>
      </c>
      <c r="AH141" s="3">
        <v>0.81499999999999995</v>
      </c>
      <c r="AI141" s="3">
        <v>0.61650000000000005</v>
      </c>
      <c r="AJ141" s="3">
        <v>0.72433333300000002</v>
      </c>
      <c r="AK141" s="3">
        <v>0.73750000000000004</v>
      </c>
      <c r="AL141" s="3">
        <v>0.34100000000000003</v>
      </c>
      <c r="AM141" s="3">
        <v>0.01</v>
      </c>
      <c r="AN141" s="3">
        <v>0.52</v>
      </c>
      <c r="AO141" s="3">
        <v>0.48399999999999999</v>
      </c>
    </row>
    <row r="142" spans="1:41" x14ac:dyDescent="0.3">
      <c r="A142" s="2" t="s">
        <v>314</v>
      </c>
      <c r="B142" s="2" t="s">
        <v>341</v>
      </c>
      <c r="C142" s="3">
        <v>0</v>
      </c>
      <c r="D142" s="3">
        <v>0.61599999999999999</v>
      </c>
      <c r="E142" s="3">
        <v>2E-3</v>
      </c>
      <c r="F142" s="3">
        <v>0.64300000000000002</v>
      </c>
      <c r="G142" s="3">
        <v>0</v>
      </c>
      <c r="H142" s="3">
        <v>0.58699999999999997</v>
      </c>
      <c r="I142" s="3">
        <v>1E-3</v>
      </c>
      <c r="J142" s="3">
        <v>0.54300000000000004</v>
      </c>
      <c r="K142" s="3">
        <v>0</v>
      </c>
      <c r="L142" s="3">
        <v>0.96</v>
      </c>
      <c r="M142" s="3">
        <v>4.0000000000000001E-3</v>
      </c>
      <c r="N142" s="3">
        <v>0.64</v>
      </c>
      <c r="O142" s="3">
        <v>1E-3</v>
      </c>
      <c r="P142" s="3">
        <v>0.64</v>
      </c>
      <c r="Q142" s="3">
        <v>0</v>
      </c>
      <c r="R142" s="3">
        <v>0.67</v>
      </c>
      <c r="S142" s="3">
        <v>1E-3</v>
      </c>
      <c r="T142" s="3">
        <v>0.625</v>
      </c>
      <c r="U142" s="3">
        <v>1E-3</v>
      </c>
      <c r="V142" s="3">
        <v>0.47899999999999998</v>
      </c>
      <c r="W142" s="3">
        <v>4.0000000000000001E-3</v>
      </c>
      <c r="X142" s="3">
        <v>0.439</v>
      </c>
      <c r="Y142" s="3">
        <v>4.0000000000000001E-3</v>
      </c>
      <c r="Z142" s="3">
        <v>0.377</v>
      </c>
      <c r="AA142" s="3">
        <v>1.0999999999999999E-2</v>
      </c>
      <c r="AB142" s="3">
        <v>0.37</v>
      </c>
      <c r="AC142" s="3">
        <v>0.77800000000000002</v>
      </c>
      <c r="AD142" s="3">
        <v>0.875</v>
      </c>
      <c r="AE142" s="3">
        <v>0.82299999999999995</v>
      </c>
      <c r="AF142" s="3">
        <v>0.81233333299999999</v>
      </c>
      <c r="AG142" s="3">
        <v>0.73566666700000005</v>
      </c>
      <c r="AH142" s="3">
        <v>0.77600000000000002</v>
      </c>
      <c r="AI142" s="3">
        <v>0.66500000000000004</v>
      </c>
      <c r="AJ142" s="3">
        <v>0.693333333</v>
      </c>
      <c r="AK142" s="3">
        <v>0.747</v>
      </c>
      <c r="AL142" s="3">
        <v>0.327333333</v>
      </c>
      <c r="AM142" s="3">
        <v>0.01</v>
      </c>
      <c r="AN142" s="3">
        <v>0.50433333300000005</v>
      </c>
      <c r="AO142" s="3">
        <v>0.48399999999999999</v>
      </c>
    </row>
    <row r="143" spans="1:41" x14ac:dyDescent="0.3">
      <c r="A143" s="2" t="s">
        <v>314</v>
      </c>
      <c r="B143" s="2" t="s">
        <v>342</v>
      </c>
      <c r="C143" s="3">
        <v>0</v>
      </c>
      <c r="D143" s="3">
        <v>0.621</v>
      </c>
      <c r="E143" s="3">
        <v>0</v>
      </c>
      <c r="F143" s="3">
        <v>0.61199999999999999</v>
      </c>
      <c r="G143" s="3">
        <v>0</v>
      </c>
      <c r="H143" s="3">
        <v>0.54600000000000004</v>
      </c>
      <c r="I143" s="3">
        <v>0</v>
      </c>
      <c r="J143" s="3">
        <v>0.48299999999999998</v>
      </c>
      <c r="K143" s="3">
        <v>0</v>
      </c>
      <c r="L143" s="3">
        <v>0.95</v>
      </c>
      <c r="M143" s="3">
        <v>0</v>
      </c>
      <c r="N143" s="3">
        <v>0.63</v>
      </c>
      <c r="O143" s="3">
        <v>0</v>
      </c>
      <c r="P143" s="3">
        <v>0.63</v>
      </c>
      <c r="Q143" s="3">
        <v>0</v>
      </c>
      <c r="R143" s="3">
        <v>0.626</v>
      </c>
      <c r="S143" s="3">
        <v>0</v>
      </c>
      <c r="T143" s="3">
        <v>0.60399999999999998</v>
      </c>
      <c r="U143" s="3">
        <v>0</v>
      </c>
      <c r="V143" s="3">
        <v>0.41099999999999998</v>
      </c>
      <c r="W143" s="3">
        <v>0</v>
      </c>
      <c r="X143" s="3">
        <v>0.45400000000000001</v>
      </c>
      <c r="Y143" s="3">
        <v>0</v>
      </c>
      <c r="Z143" s="3">
        <v>0.35199999999999998</v>
      </c>
      <c r="AA143" s="3">
        <v>0</v>
      </c>
      <c r="AB143" s="3">
        <v>0.32300000000000001</v>
      </c>
      <c r="AC143" s="3">
        <v>0.75600000000000001</v>
      </c>
      <c r="AD143" s="3">
        <v>0.86150000000000004</v>
      </c>
      <c r="AE143" s="3">
        <v>0.81599999999999995</v>
      </c>
      <c r="AF143" s="3">
        <v>0.77800000000000002</v>
      </c>
      <c r="AG143" s="3">
        <v>0.71183333400000004</v>
      </c>
      <c r="AH143" s="3">
        <v>0.73699999999999999</v>
      </c>
      <c r="AI143" s="3">
        <v>0.68799999999999994</v>
      </c>
      <c r="AJ143" s="3">
        <v>0.66766666699999999</v>
      </c>
      <c r="AK143" s="3">
        <v>0.73399999999999999</v>
      </c>
      <c r="AL143" s="3">
        <v>0.30533333299999998</v>
      </c>
      <c r="AM143" s="3">
        <v>0.01</v>
      </c>
      <c r="AN143" s="3">
        <v>0.49566666700000001</v>
      </c>
      <c r="AO143" s="3">
        <v>0.47299999999999998</v>
      </c>
    </row>
    <row r="144" spans="1:41" x14ac:dyDescent="0.3">
      <c r="A144" s="2" t="s">
        <v>314</v>
      </c>
      <c r="B144" s="2" t="s">
        <v>343</v>
      </c>
      <c r="C144" s="3">
        <v>0</v>
      </c>
      <c r="D144" s="3">
        <v>0.65800000000000003</v>
      </c>
      <c r="E144" s="3">
        <v>0</v>
      </c>
      <c r="F144" s="3">
        <v>0.54100000000000004</v>
      </c>
      <c r="G144" s="3">
        <v>0</v>
      </c>
      <c r="H144" s="3">
        <v>0.54300000000000004</v>
      </c>
      <c r="I144" s="3">
        <v>0</v>
      </c>
      <c r="J144" s="3">
        <v>0.46899999999999997</v>
      </c>
      <c r="K144" s="3">
        <v>0</v>
      </c>
      <c r="L144" s="3">
        <v>0.93600000000000005</v>
      </c>
      <c r="M144" s="3">
        <v>0</v>
      </c>
      <c r="N144" s="3">
        <v>0.60599999999999998</v>
      </c>
      <c r="O144" s="3">
        <v>0</v>
      </c>
      <c r="P144" s="3">
        <v>0.60599999999999998</v>
      </c>
      <c r="Q144" s="3">
        <v>0</v>
      </c>
      <c r="R144" s="3">
        <v>0.59699999999999998</v>
      </c>
      <c r="S144" s="3">
        <v>0</v>
      </c>
      <c r="T144" s="3">
        <v>0.52600000000000002</v>
      </c>
      <c r="U144" s="3">
        <v>0</v>
      </c>
      <c r="V144" s="3">
        <v>0.38500000000000001</v>
      </c>
      <c r="W144" s="3">
        <v>0</v>
      </c>
      <c r="X144" s="3">
        <v>0.42299999999999999</v>
      </c>
      <c r="Y144" s="3">
        <v>0</v>
      </c>
      <c r="Z144" s="3">
        <v>0.34</v>
      </c>
      <c r="AA144" s="3">
        <v>0</v>
      </c>
      <c r="AB144" s="3">
        <v>0.26900000000000002</v>
      </c>
      <c r="AC144" s="3">
        <v>0.71250000000000002</v>
      </c>
      <c r="AD144" s="3">
        <v>0.84250000000000003</v>
      </c>
      <c r="AE144" s="3">
        <v>0.80500000000000005</v>
      </c>
      <c r="AF144" s="3">
        <v>0.71799999999999997</v>
      </c>
      <c r="AG144" s="3">
        <v>0.67474999999999996</v>
      </c>
      <c r="AH144" s="3">
        <v>0.67700000000000005</v>
      </c>
      <c r="AI144" s="3">
        <v>0.68100000000000005</v>
      </c>
      <c r="AJ144" s="3">
        <v>0.63700000000000001</v>
      </c>
      <c r="AK144" s="3">
        <v>0.71499999999999997</v>
      </c>
      <c r="AL144" s="3">
        <v>0.28999999999999998</v>
      </c>
      <c r="AM144" s="3">
        <v>0.01</v>
      </c>
      <c r="AN144" s="3">
        <v>0.48633333299999998</v>
      </c>
      <c r="AO144" s="3">
        <v>0.45300000000000001</v>
      </c>
    </row>
    <row r="145" spans="1:41" x14ac:dyDescent="0.3">
      <c r="A145" s="2" t="s">
        <v>314</v>
      </c>
      <c r="B145" s="2" t="s">
        <v>344</v>
      </c>
      <c r="C145" s="3">
        <v>0</v>
      </c>
      <c r="D145" s="3">
        <v>0.55900000000000005</v>
      </c>
      <c r="E145" s="3">
        <v>0</v>
      </c>
      <c r="F145" s="3">
        <v>0.52</v>
      </c>
      <c r="G145" s="3">
        <v>0</v>
      </c>
      <c r="H145" s="3">
        <v>0.55100000000000005</v>
      </c>
      <c r="I145" s="3">
        <v>0</v>
      </c>
      <c r="J145" s="3">
        <v>0.46700000000000003</v>
      </c>
      <c r="K145" s="3">
        <v>0</v>
      </c>
      <c r="L145" s="3">
        <v>0.91500000000000004</v>
      </c>
      <c r="M145" s="3">
        <v>0</v>
      </c>
      <c r="N145" s="3">
        <v>0.57999999999999996</v>
      </c>
      <c r="O145" s="3">
        <v>0</v>
      </c>
      <c r="P145" s="3">
        <v>0.57999999999999996</v>
      </c>
      <c r="Q145" s="3">
        <v>0</v>
      </c>
      <c r="R145" s="3">
        <v>0.54200000000000004</v>
      </c>
      <c r="S145" s="3">
        <v>0</v>
      </c>
      <c r="T145" s="3">
        <v>0.45</v>
      </c>
      <c r="U145" s="3">
        <v>0</v>
      </c>
      <c r="V145" s="3">
        <v>0.40300000000000002</v>
      </c>
      <c r="W145" s="3">
        <v>0</v>
      </c>
      <c r="X145" s="3">
        <v>0.40300000000000002</v>
      </c>
      <c r="Y145" s="3">
        <v>0</v>
      </c>
      <c r="Z145" s="3">
        <v>0.32400000000000001</v>
      </c>
      <c r="AA145" s="3">
        <v>0</v>
      </c>
      <c r="AB145" s="3">
        <v>0.26100000000000001</v>
      </c>
      <c r="AC145" s="3">
        <v>0.66549999999999998</v>
      </c>
      <c r="AD145" s="3">
        <v>0.80400000000000005</v>
      </c>
      <c r="AE145" s="3">
        <v>0.755</v>
      </c>
      <c r="AF145" s="3">
        <v>0.64166666699999997</v>
      </c>
      <c r="AG145" s="3">
        <v>0.62975000000000003</v>
      </c>
      <c r="AH145" s="3">
        <v>0.61199999999999999</v>
      </c>
      <c r="AI145" s="3">
        <v>0.65849999999999997</v>
      </c>
      <c r="AJ145" s="3">
        <v>0.59399999999999997</v>
      </c>
      <c r="AK145" s="3">
        <v>0.69350000000000001</v>
      </c>
      <c r="AL145" s="3">
        <v>0.27900000000000003</v>
      </c>
      <c r="AM145" s="3">
        <v>0.01</v>
      </c>
      <c r="AN145" s="3">
        <v>0.47599999999999998</v>
      </c>
      <c r="AO145" s="3">
        <v>0.43</v>
      </c>
    </row>
    <row r="146" spans="1:41" x14ac:dyDescent="0.3">
      <c r="A146" s="2" t="s">
        <v>314</v>
      </c>
      <c r="B146" s="2" t="s">
        <v>345</v>
      </c>
      <c r="C146" s="3">
        <v>0</v>
      </c>
      <c r="D146" s="3">
        <v>0.53300000000000003</v>
      </c>
      <c r="E146" s="3">
        <v>0</v>
      </c>
      <c r="F146" s="3">
        <v>0.51300000000000001</v>
      </c>
      <c r="G146" s="3">
        <v>0</v>
      </c>
      <c r="H146" s="3">
        <v>0.54600000000000004</v>
      </c>
      <c r="I146" s="3">
        <v>0</v>
      </c>
      <c r="J146" s="3">
        <v>0.44800000000000001</v>
      </c>
      <c r="K146" s="3">
        <v>0</v>
      </c>
      <c r="L146" s="3">
        <v>0.89700000000000002</v>
      </c>
      <c r="M146" s="3">
        <v>0</v>
      </c>
      <c r="N146" s="3">
        <v>0.53300000000000003</v>
      </c>
      <c r="O146" s="3">
        <v>0</v>
      </c>
      <c r="P146" s="3">
        <v>0.53300000000000003</v>
      </c>
      <c r="Q146" s="3">
        <v>0</v>
      </c>
      <c r="R146" s="3">
        <v>0.52300000000000002</v>
      </c>
      <c r="S146" s="3">
        <v>0</v>
      </c>
      <c r="T146" s="3">
        <v>0.44700000000000001</v>
      </c>
      <c r="U146" s="3">
        <v>0</v>
      </c>
      <c r="V146" s="3">
        <v>0.433</v>
      </c>
      <c r="W146" s="3">
        <v>0</v>
      </c>
      <c r="X146" s="3">
        <v>0.41599999999999998</v>
      </c>
      <c r="Y146" s="3">
        <v>0</v>
      </c>
      <c r="Z146" s="3">
        <v>0.311</v>
      </c>
      <c r="AA146" s="3">
        <v>0</v>
      </c>
      <c r="AB146" s="3">
        <v>0.254</v>
      </c>
      <c r="AC146" s="3">
        <v>0.62350000000000005</v>
      </c>
      <c r="AD146" s="3">
        <v>0.76249999999999996</v>
      </c>
      <c r="AE146" s="3">
        <v>0.69399999999999995</v>
      </c>
      <c r="AF146" s="3">
        <v>0.55533333299999998</v>
      </c>
      <c r="AG146" s="3">
        <v>0.58408333400000001</v>
      </c>
      <c r="AH146" s="3">
        <v>0.52100000000000002</v>
      </c>
      <c r="AI146" s="3">
        <v>0.65400000000000003</v>
      </c>
      <c r="AJ146" s="3">
        <v>0.54466666699999999</v>
      </c>
      <c r="AK146" s="3">
        <v>0.66600000000000004</v>
      </c>
      <c r="AL146" s="3">
        <v>0.24766666700000001</v>
      </c>
      <c r="AM146" s="3">
        <v>0.01</v>
      </c>
      <c r="AN146" s="3">
        <v>0.45600000000000002</v>
      </c>
      <c r="AO146" s="3">
        <v>0.39200000000000002</v>
      </c>
    </row>
    <row r="147" spans="1:41" x14ac:dyDescent="0.3">
      <c r="A147" s="2" t="s">
        <v>314</v>
      </c>
      <c r="B147" s="2" t="s">
        <v>346</v>
      </c>
      <c r="C147" s="3">
        <v>0</v>
      </c>
      <c r="D147" s="3">
        <v>0.53</v>
      </c>
      <c r="E147" s="3">
        <v>0</v>
      </c>
      <c r="F147" s="3">
        <v>0.5</v>
      </c>
      <c r="G147" s="3">
        <v>0</v>
      </c>
      <c r="H147" s="3">
        <v>0.52</v>
      </c>
      <c r="I147" s="3">
        <v>0</v>
      </c>
      <c r="J147" s="3">
        <v>0.41299999999999998</v>
      </c>
      <c r="K147" s="3">
        <v>0</v>
      </c>
      <c r="L147" s="3">
        <v>0.88</v>
      </c>
      <c r="M147" s="3">
        <v>0</v>
      </c>
      <c r="N147" s="3">
        <v>0.502</v>
      </c>
      <c r="O147" s="3">
        <v>0</v>
      </c>
      <c r="P147" s="3">
        <v>0.502</v>
      </c>
      <c r="Q147" s="3">
        <v>0</v>
      </c>
      <c r="R147" s="3">
        <v>0.51900000000000002</v>
      </c>
      <c r="S147" s="3">
        <v>0</v>
      </c>
      <c r="T147" s="3">
        <v>0.439</v>
      </c>
      <c r="U147" s="3">
        <v>0</v>
      </c>
      <c r="V147" s="3">
        <v>0.42699999999999999</v>
      </c>
      <c r="W147" s="3">
        <v>0</v>
      </c>
      <c r="X147" s="3">
        <v>0.39200000000000002</v>
      </c>
      <c r="Y147" s="3">
        <v>0</v>
      </c>
      <c r="Z147" s="3">
        <v>0.29299999999999998</v>
      </c>
      <c r="AA147" s="3">
        <v>0</v>
      </c>
      <c r="AB147" s="3">
        <v>0.24199999999999999</v>
      </c>
      <c r="AC147" s="3">
        <v>0.58150000000000002</v>
      </c>
      <c r="AD147" s="3">
        <v>0.73199999999999998</v>
      </c>
      <c r="AE147" s="3">
        <v>0.65500000000000003</v>
      </c>
      <c r="AF147" s="3">
        <v>0.47333333300000002</v>
      </c>
      <c r="AG147" s="3">
        <v>0.54341666700000002</v>
      </c>
      <c r="AH147" s="3">
        <v>0.41799999999999998</v>
      </c>
      <c r="AI147" s="3">
        <v>0.65300000000000002</v>
      </c>
      <c r="AJ147" s="3">
        <v>0.50533333300000005</v>
      </c>
      <c r="AK147" s="3">
        <v>0.60550000000000004</v>
      </c>
      <c r="AL147" s="3">
        <v>0.20699999999999999</v>
      </c>
      <c r="AM147" s="3">
        <v>0.01</v>
      </c>
      <c r="AN147" s="3">
        <v>0.43966666700000001</v>
      </c>
      <c r="AO147" s="3">
        <v>0.34499999999999997</v>
      </c>
    </row>
    <row r="148" spans="1:41" x14ac:dyDescent="0.3">
      <c r="A148" s="2" t="s">
        <v>314</v>
      </c>
      <c r="B148" s="2" t="s">
        <v>347</v>
      </c>
      <c r="C148" s="3">
        <v>0</v>
      </c>
      <c r="D148" s="3">
        <v>0.51</v>
      </c>
      <c r="E148" s="3">
        <v>0</v>
      </c>
      <c r="F148" s="3">
        <v>0.47299999999999998</v>
      </c>
      <c r="G148" s="3">
        <v>0</v>
      </c>
      <c r="H148" s="3">
        <v>0.48699999999999999</v>
      </c>
      <c r="I148" s="3">
        <v>0</v>
      </c>
      <c r="J148" s="3">
        <v>0.42</v>
      </c>
      <c r="K148" s="3">
        <v>0</v>
      </c>
      <c r="L148" s="3">
        <v>0.86399999999999999</v>
      </c>
      <c r="M148" s="3">
        <v>0</v>
      </c>
      <c r="N148" s="3">
        <v>0.47699999999999998</v>
      </c>
      <c r="O148" s="3">
        <v>0</v>
      </c>
      <c r="P148" s="3">
        <v>0.47699999999999998</v>
      </c>
      <c r="Q148" s="3">
        <v>0</v>
      </c>
      <c r="R148" s="3">
        <v>0.51</v>
      </c>
      <c r="S148" s="3">
        <v>0</v>
      </c>
      <c r="T148" s="3">
        <v>0.42299999999999999</v>
      </c>
      <c r="U148" s="3">
        <v>0</v>
      </c>
      <c r="V148" s="3">
        <v>0.41299999999999998</v>
      </c>
      <c r="W148" s="3">
        <v>0</v>
      </c>
      <c r="X148" s="3">
        <v>0.36699999999999999</v>
      </c>
      <c r="Y148" s="3">
        <v>0</v>
      </c>
      <c r="Z148" s="3">
        <v>0.28499999999999998</v>
      </c>
      <c r="AA148" s="3">
        <v>0</v>
      </c>
      <c r="AB148" s="3">
        <v>0.245</v>
      </c>
      <c r="AC148" s="3">
        <v>0.54449999999999998</v>
      </c>
      <c r="AD148" s="3">
        <v>0.69699999999999995</v>
      </c>
      <c r="AE148" s="3">
        <v>0.624</v>
      </c>
      <c r="AF148" s="3">
        <v>0.40933333300000002</v>
      </c>
      <c r="AG148" s="3">
        <v>0.50708333400000005</v>
      </c>
      <c r="AH148" s="3">
        <v>0.33600000000000002</v>
      </c>
      <c r="AI148" s="3">
        <v>0.65500000000000003</v>
      </c>
      <c r="AJ148" s="3">
        <v>0.46966666699999998</v>
      </c>
      <c r="AK148" s="3">
        <v>0.53849999999999998</v>
      </c>
      <c r="AL148" s="3">
        <v>0.17899999999999999</v>
      </c>
      <c r="AM148" s="3">
        <v>0.01</v>
      </c>
      <c r="AN148" s="3">
        <v>0.41433333300000003</v>
      </c>
      <c r="AO148" s="3">
        <v>0.29599999999999999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1EA8-9789-46E3-93ED-95C686BCD4C8}">
  <dimension ref="B1:XFD49"/>
  <sheetViews>
    <sheetView workbookViewId="0">
      <selection activeCell="A29" sqref="A29"/>
    </sheetView>
  </sheetViews>
  <sheetFormatPr defaultRowHeight="14.4" x14ac:dyDescent="0.3"/>
  <cols>
    <col min="2" max="2" width="8.88671875" style="15"/>
    <col min="3" max="3" width="195.109375" customWidth="1"/>
  </cols>
  <sheetData>
    <row r="1" spans="2:3" x14ac:dyDescent="0.3">
      <c r="B1" s="15" t="s">
        <v>826</v>
      </c>
    </row>
    <row r="2" spans="2:3" x14ac:dyDescent="0.3">
      <c r="B2" s="15" t="s">
        <v>812</v>
      </c>
      <c r="C2" s="130" t="s">
        <v>828</v>
      </c>
    </row>
    <row r="3" spans="2:3" x14ac:dyDescent="0.3">
      <c r="B3" s="15" t="s">
        <v>810</v>
      </c>
      <c r="C3" s="130" t="s">
        <v>811</v>
      </c>
    </row>
    <row r="4" spans="2:3" x14ac:dyDescent="0.3">
      <c r="B4" s="15" t="s">
        <v>813</v>
      </c>
      <c r="C4" s="130" t="s">
        <v>833</v>
      </c>
    </row>
    <row r="5" spans="2:3" x14ac:dyDescent="0.3">
      <c r="B5" s="15" t="s">
        <v>803</v>
      </c>
      <c r="C5" s="130" t="s">
        <v>278</v>
      </c>
    </row>
    <row r="6" spans="2:3" x14ac:dyDescent="0.3">
      <c r="B6" s="15" t="s">
        <v>802</v>
      </c>
      <c r="C6" s="130" t="s">
        <v>279</v>
      </c>
    </row>
    <row r="7" spans="2:3" x14ac:dyDescent="0.3">
      <c r="B7" s="15" t="s">
        <v>799</v>
      </c>
      <c r="C7" s="130" t="s">
        <v>580</v>
      </c>
    </row>
    <row r="8" spans="2:3" x14ac:dyDescent="0.3">
      <c r="B8" s="15" t="s">
        <v>798</v>
      </c>
      <c r="C8" s="130" t="s">
        <v>584</v>
      </c>
    </row>
    <row r="9" spans="2:3" x14ac:dyDescent="0.3">
      <c r="B9" s="15" t="s">
        <v>814</v>
      </c>
      <c r="C9" s="130" t="s">
        <v>829</v>
      </c>
    </row>
    <row r="10" spans="2:3" x14ac:dyDescent="0.3">
      <c r="B10" s="15" t="s">
        <v>815</v>
      </c>
      <c r="C10" s="130" t="s">
        <v>827</v>
      </c>
    </row>
    <row r="11" spans="2:3" x14ac:dyDescent="0.3">
      <c r="B11" s="15" t="s">
        <v>809</v>
      </c>
      <c r="C11" s="130" t="s">
        <v>456</v>
      </c>
    </row>
    <row r="12" spans="2:3" x14ac:dyDescent="0.3">
      <c r="B12" s="15" t="s">
        <v>816</v>
      </c>
      <c r="C12" s="130" t="s">
        <v>830</v>
      </c>
    </row>
    <row r="13" spans="2:3" x14ac:dyDescent="0.3">
      <c r="B13" s="15" t="s">
        <v>792</v>
      </c>
      <c r="C13" s="130" t="s">
        <v>563</v>
      </c>
    </row>
    <row r="14" spans="2:3" x14ac:dyDescent="0.3">
      <c r="B14" s="15" t="s">
        <v>807</v>
      </c>
      <c r="C14" s="131" t="s">
        <v>832</v>
      </c>
    </row>
    <row r="15" spans="2:3" x14ac:dyDescent="0.3">
      <c r="B15" s="15" t="s">
        <v>817</v>
      </c>
      <c r="C15" s="131" t="s">
        <v>834</v>
      </c>
    </row>
    <row r="16" spans="2:3" x14ac:dyDescent="0.3">
      <c r="B16" s="15" t="s">
        <v>794</v>
      </c>
      <c r="C16" s="130" t="s">
        <v>831</v>
      </c>
    </row>
    <row r="17" spans="2:16384" x14ac:dyDescent="0.3">
      <c r="B17" s="15" t="s">
        <v>797</v>
      </c>
      <c r="C17" s="130" t="s">
        <v>604</v>
      </c>
    </row>
    <row r="18" spans="2:16384" x14ac:dyDescent="0.3">
      <c r="B18" s="15" t="s">
        <v>818</v>
      </c>
      <c r="C18" s="130" t="s">
        <v>605</v>
      </c>
      <c r="D18" s="3"/>
      <c r="E18" s="3"/>
      <c r="F18" s="3"/>
      <c r="G18" s="3"/>
    </row>
    <row r="19" spans="2:16384" x14ac:dyDescent="0.3">
      <c r="B19" s="15" t="s">
        <v>819</v>
      </c>
      <c r="C19" s="130" t="s">
        <v>606</v>
      </c>
      <c r="D19" s="3"/>
      <c r="E19" s="3"/>
      <c r="F19" s="3"/>
      <c r="G19" s="3"/>
    </row>
    <row r="20" spans="2:16384" x14ac:dyDescent="0.3">
      <c r="B20" s="15" t="s">
        <v>820</v>
      </c>
      <c r="C20" s="130" t="s">
        <v>835</v>
      </c>
      <c r="D20" s="3"/>
      <c r="E20" s="3"/>
      <c r="F20" s="3"/>
      <c r="G20" s="3"/>
    </row>
    <row r="21" spans="2:16384" x14ac:dyDescent="0.3">
      <c r="B21" s="15" t="s">
        <v>821</v>
      </c>
      <c r="C21" s="133" t="s">
        <v>256</v>
      </c>
      <c r="D21" s="3"/>
      <c r="E21" s="3"/>
      <c r="F21" s="3"/>
      <c r="G21" s="3"/>
    </row>
    <row r="22" spans="2:16384" x14ac:dyDescent="0.3">
      <c r="B22" s="15" t="s">
        <v>793</v>
      </c>
      <c r="C22" s="130" t="s">
        <v>554</v>
      </c>
      <c r="D22" s="3"/>
      <c r="E22" s="3"/>
      <c r="F22" s="3"/>
      <c r="G22" s="3"/>
    </row>
    <row r="23" spans="2:16384" x14ac:dyDescent="0.3">
      <c r="B23" s="15" t="s">
        <v>805</v>
      </c>
      <c r="C23" s="130" t="s">
        <v>745</v>
      </c>
    </row>
    <row r="24" spans="2:16384" x14ac:dyDescent="0.3">
      <c r="B24" s="15" t="s">
        <v>808</v>
      </c>
      <c r="C24" s="130" t="s">
        <v>743</v>
      </c>
    </row>
    <row r="25" spans="2:16384" x14ac:dyDescent="0.3">
      <c r="B25" s="15" t="s">
        <v>822</v>
      </c>
      <c r="C25" s="130" t="s">
        <v>554</v>
      </c>
    </row>
    <row r="26" spans="2:16384" x14ac:dyDescent="0.3">
      <c r="B26" s="15" t="s">
        <v>804</v>
      </c>
      <c r="C26" s="130" t="s">
        <v>738</v>
      </c>
    </row>
    <row r="27" spans="2:16384" x14ac:dyDescent="0.3">
      <c r="B27" s="15" t="s">
        <v>801</v>
      </c>
      <c r="C27" s="130" t="s">
        <v>422</v>
      </c>
    </row>
    <row r="28" spans="2:16384" x14ac:dyDescent="0.3">
      <c r="B28" s="15" t="s">
        <v>823</v>
      </c>
      <c r="C28" s="130" t="s">
        <v>632</v>
      </c>
    </row>
    <row r="29" spans="2:16384" x14ac:dyDescent="0.3">
      <c r="B29" s="15" t="s">
        <v>795</v>
      </c>
      <c r="C29" t="s">
        <v>836</v>
      </c>
      <c r="D29" t="s">
        <v>836</v>
      </c>
      <c r="E29" t="s">
        <v>836</v>
      </c>
      <c r="F29" t="s">
        <v>836</v>
      </c>
      <c r="G29" t="s">
        <v>836</v>
      </c>
      <c r="H29" t="s">
        <v>836</v>
      </c>
      <c r="I29" t="s">
        <v>836</v>
      </c>
      <c r="J29" t="s">
        <v>836</v>
      </c>
      <c r="K29" t="s">
        <v>836</v>
      </c>
      <c r="L29" t="s">
        <v>836</v>
      </c>
      <c r="M29" t="s">
        <v>836</v>
      </c>
      <c r="N29" t="s">
        <v>836</v>
      </c>
      <c r="O29" t="s">
        <v>836</v>
      </c>
      <c r="P29" t="s">
        <v>836</v>
      </c>
      <c r="Q29" t="s">
        <v>836</v>
      </c>
      <c r="R29" t="s">
        <v>836</v>
      </c>
      <c r="S29" t="s">
        <v>836</v>
      </c>
      <c r="T29" t="s">
        <v>836</v>
      </c>
      <c r="U29" t="s">
        <v>836</v>
      </c>
      <c r="V29" t="s">
        <v>836</v>
      </c>
      <c r="W29" t="s">
        <v>836</v>
      </c>
      <c r="X29" t="s">
        <v>836</v>
      </c>
      <c r="Y29" t="s">
        <v>836</v>
      </c>
      <c r="Z29" t="s">
        <v>836</v>
      </c>
      <c r="AA29" t="s">
        <v>836</v>
      </c>
      <c r="AB29" t="s">
        <v>836</v>
      </c>
      <c r="AC29" t="s">
        <v>836</v>
      </c>
      <c r="AD29" t="s">
        <v>836</v>
      </c>
      <c r="AE29" t="s">
        <v>836</v>
      </c>
      <c r="AF29" t="s">
        <v>836</v>
      </c>
      <c r="AG29" t="s">
        <v>836</v>
      </c>
      <c r="AH29" t="s">
        <v>836</v>
      </c>
      <c r="AI29" t="s">
        <v>836</v>
      </c>
      <c r="AJ29" t="s">
        <v>836</v>
      </c>
      <c r="AK29" t="s">
        <v>836</v>
      </c>
      <c r="AL29" t="s">
        <v>836</v>
      </c>
      <c r="AM29" t="s">
        <v>836</v>
      </c>
      <c r="AN29" t="s">
        <v>836</v>
      </c>
      <c r="AO29" t="s">
        <v>836</v>
      </c>
      <c r="AP29" t="s">
        <v>836</v>
      </c>
      <c r="AQ29" t="s">
        <v>836</v>
      </c>
      <c r="AR29" t="s">
        <v>836</v>
      </c>
      <c r="AS29" t="s">
        <v>836</v>
      </c>
      <c r="AT29" t="s">
        <v>836</v>
      </c>
      <c r="AU29" t="s">
        <v>836</v>
      </c>
      <c r="AV29" t="s">
        <v>836</v>
      </c>
      <c r="AW29" t="s">
        <v>836</v>
      </c>
      <c r="AX29" t="s">
        <v>836</v>
      </c>
      <c r="AY29" t="s">
        <v>836</v>
      </c>
      <c r="AZ29" t="s">
        <v>836</v>
      </c>
      <c r="BA29" t="s">
        <v>836</v>
      </c>
      <c r="BB29" t="s">
        <v>836</v>
      </c>
      <c r="BC29" t="s">
        <v>836</v>
      </c>
      <c r="BD29" t="s">
        <v>836</v>
      </c>
      <c r="BE29" t="s">
        <v>836</v>
      </c>
      <c r="BF29" t="s">
        <v>836</v>
      </c>
      <c r="BG29" t="s">
        <v>836</v>
      </c>
      <c r="BH29" t="s">
        <v>836</v>
      </c>
      <c r="BI29" t="s">
        <v>836</v>
      </c>
      <c r="BJ29" t="s">
        <v>836</v>
      </c>
      <c r="BK29" t="s">
        <v>836</v>
      </c>
      <c r="BL29" t="s">
        <v>836</v>
      </c>
      <c r="BM29" t="s">
        <v>836</v>
      </c>
      <c r="BN29" t="s">
        <v>836</v>
      </c>
      <c r="BO29" t="s">
        <v>836</v>
      </c>
      <c r="BP29" t="s">
        <v>836</v>
      </c>
      <c r="BQ29" t="s">
        <v>836</v>
      </c>
      <c r="BR29" t="s">
        <v>836</v>
      </c>
      <c r="BS29" t="s">
        <v>836</v>
      </c>
      <c r="BT29" t="s">
        <v>836</v>
      </c>
      <c r="BU29" t="s">
        <v>836</v>
      </c>
      <c r="BV29" t="s">
        <v>836</v>
      </c>
      <c r="BW29" t="s">
        <v>836</v>
      </c>
      <c r="BX29" t="s">
        <v>836</v>
      </c>
      <c r="BY29" t="s">
        <v>836</v>
      </c>
      <c r="BZ29" t="s">
        <v>836</v>
      </c>
      <c r="CA29" t="s">
        <v>836</v>
      </c>
      <c r="CB29" t="s">
        <v>836</v>
      </c>
      <c r="CC29" t="s">
        <v>836</v>
      </c>
      <c r="CD29" t="s">
        <v>836</v>
      </c>
      <c r="CE29" t="s">
        <v>836</v>
      </c>
      <c r="CF29" t="s">
        <v>836</v>
      </c>
      <c r="CG29" t="s">
        <v>836</v>
      </c>
      <c r="CH29" t="s">
        <v>836</v>
      </c>
      <c r="CI29" t="s">
        <v>836</v>
      </c>
      <c r="CJ29" t="s">
        <v>836</v>
      </c>
      <c r="CK29" t="s">
        <v>836</v>
      </c>
      <c r="CL29" t="s">
        <v>836</v>
      </c>
      <c r="CM29" t="s">
        <v>836</v>
      </c>
      <c r="CN29" t="s">
        <v>836</v>
      </c>
      <c r="CO29" t="s">
        <v>836</v>
      </c>
      <c r="CP29" t="s">
        <v>836</v>
      </c>
      <c r="CQ29" t="s">
        <v>836</v>
      </c>
      <c r="CR29" t="s">
        <v>836</v>
      </c>
      <c r="CS29" t="s">
        <v>836</v>
      </c>
      <c r="CT29" t="s">
        <v>836</v>
      </c>
      <c r="CU29" t="s">
        <v>836</v>
      </c>
      <c r="CV29" t="s">
        <v>836</v>
      </c>
      <c r="CW29" t="s">
        <v>836</v>
      </c>
      <c r="CX29" t="s">
        <v>836</v>
      </c>
      <c r="CY29" t="s">
        <v>836</v>
      </c>
      <c r="CZ29" t="s">
        <v>836</v>
      </c>
      <c r="DA29" t="s">
        <v>836</v>
      </c>
      <c r="DB29" t="s">
        <v>836</v>
      </c>
      <c r="DC29" t="s">
        <v>836</v>
      </c>
      <c r="DD29" t="s">
        <v>836</v>
      </c>
      <c r="DE29" t="s">
        <v>836</v>
      </c>
      <c r="DF29" t="s">
        <v>836</v>
      </c>
      <c r="DG29" t="s">
        <v>836</v>
      </c>
      <c r="DH29" t="s">
        <v>836</v>
      </c>
      <c r="DI29" t="s">
        <v>836</v>
      </c>
      <c r="DJ29" t="s">
        <v>836</v>
      </c>
      <c r="DK29" t="s">
        <v>836</v>
      </c>
      <c r="DL29" t="s">
        <v>836</v>
      </c>
      <c r="DM29" t="s">
        <v>836</v>
      </c>
      <c r="DN29" t="s">
        <v>836</v>
      </c>
      <c r="DO29" t="s">
        <v>836</v>
      </c>
      <c r="DP29" t="s">
        <v>836</v>
      </c>
      <c r="DQ29" t="s">
        <v>836</v>
      </c>
      <c r="DR29" t="s">
        <v>836</v>
      </c>
      <c r="DS29" t="s">
        <v>836</v>
      </c>
      <c r="DT29" t="s">
        <v>836</v>
      </c>
      <c r="DU29" t="s">
        <v>836</v>
      </c>
      <c r="DV29" t="s">
        <v>836</v>
      </c>
      <c r="DW29" t="s">
        <v>836</v>
      </c>
      <c r="DX29" t="s">
        <v>836</v>
      </c>
      <c r="DY29" t="s">
        <v>836</v>
      </c>
      <c r="DZ29" t="s">
        <v>836</v>
      </c>
      <c r="EA29" t="s">
        <v>836</v>
      </c>
      <c r="EB29" t="s">
        <v>836</v>
      </c>
      <c r="EC29" t="s">
        <v>836</v>
      </c>
      <c r="ED29" t="s">
        <v>836</v>
      </c>
      <c r="EE29" t="s">
        <v>836</v>
      </c>
      <c r="EF29" t="s">
        <v>836</v>
      </c>
      <c r="EG29" t="s">
        <v>836</v>
      </c>
      <c r="EH29" t="s">
        <v>836</v>
      </c>
      <c r="EI29" t="s">
        <v>836</v>
      </c>
      <c r="EJ29" t="s">
        <v>836</v>
      </c>
      <c r="EK29" t="s">
        <v>836</v>
      </c>
      <c r="EL29" t="s">
        <v>836</v>
      </c>
      <c r="EM29" t="s">
        <v>836</v>
      </c>
      <c r="EN29" t="s">
        <v>836</v>
      </c>
      <c r="EO29" t="s">
        <v>836</v>
      </c>
      <c r="EP29" t="s">
        <v>836</v>
      </c>
      <c r="EQ29" t="s">
        <v>836</v>
      </c>
      <c r="ER29" t="s">
        <v>836</v>
      </c>
      <c r="ES29" t="s">
        <v>836</v>
      </c>
      <c r="ET29" t="s">
        <v>836</v>
      </c>
      <c r="EU29" t="s">
        <v>836</v>
      </c>
      <c r="EV29" t="s">
        <v>836</v>
      </c>
      <c r="EW29" t="s">
        <v>836</v>
      </c>
      <c r="EX29" t="s">
        <v>836</v>
      </c>
      <c r="EY29" t="s">
        <v>836</v>
      </c>
      <c r="EZ29" t="s">
        <v>836</v>
      </c>
      <c r="FA29" t="s">
        <v>836</v>
      </c>
      <c r="FB29" t="s">
        <v>836</v>
      </c>
      <c r="FC29" t="s">
        <v>836</v>
      </c>
      <c r="FD29" t="s">
        <v>836</v>
      </c>
      <c r="FE29" t="s">
        <v>836</v>
      </c>
      <c r="FF29" t="s">
        <v>836</v>
      </c>
      <c r="FG29" t="s">
        <v>836</v>
      </c>
      <c r="FH29" t="s">
        <v>836</v>
      </c>
      <c r="FI29" t="s">
        <v>836</v>
      </c>
      <c r="FJ29" t="s">
        <v>836</v>
      </c>
      <c r="FK29" t="s">
        <v>836</v>
      </c>
      <c r="FL29" t="s">
        <v>836</v>
      </c>
      <c r="FM29" t="s">
        <v>836</v>
      </c>
      <c r="FN29" t="s">
        <v>836</v>
      </c>
      <c r="FO29" t="s">
        <v>836</v>
      </c>
      <c r="FP29" t="s">
        <v>836</v>
      </c>
      <c r="FQ29" t="s">
        <v>836</v>
      </c>
      <c r="FR29" t="s">
        <v>836</v>
      </c>
      <c r="FS29" t="s">
        <v>836</v>
      </c>
      <c r="FT29" t="s">
        <v>836</v>
      </c>
      <c r="FU29" t="s">
        <v>836</v>
      </c>
      <c r="FV29" t="s">
        <v>836</v>
      </c>
      <c r="FW29" t="s">
        <v>836</v>
      </c>
      <c r="FX29" t="s">
        <v>836</v>
      </c>
      <c r="FY29" t="s">
        <v>836</v>
      </c>
      <c r="FZ29" t="s">
        <v>836</v>
      </c>
      <c r="GA29" t="s">
        <v>836</v>
      </c>
      <c r="GB29" t="s">
        <v>836</v>
      </c>
      <c r="GC29" t="s">
        <v>836</v>
      </c>
      <c r="GD29" t="s">
        <v>836</v>
      </c>
      <c r="GE29" t="s">
        <v>836</v>
      </c>
      <c r="GF29" t="s">
        <v>836</v>
      </c>
      <c r="GG29" t="s">
        <v>836</v>
      </c>
      <c r="GH29" t="s">
        <v>836</v>
      </c>
      <c r="GI29" t="s">
        <v>836</v>
      </c>
      <c r="GJ29" t="s">
        <v>836</v>
      </c>
      <c r="GK29" t="s">
        <v>836</v>
      </c>
      <c r="GL29" t="s">
        <v>836</v>
      </c>
      <c r="GM29" t="s">
        <v>836</v>
      </c>
      <c r="GN29" t="s">
        <v>836</v>
      </c>
      <c r="GO29" t="s">
        <v>836</v>
      </c>
      <c r="GP29" t="s">
        <v>836</v>
      </c>
      <c r="GQ29" t="s">
        <v>836</v>
      </c>
      <c r="GR29" t="s">
        <v>836</v>
      </c>
      <c r="GS29" t="s">
        <v>836</v>
      </c>
      <c r="GT29" t="s">
        <v>836</v>
      </c>
      <c r="GU29" t="s">
        <v>836</v>
      </c>
      <c r="GV29" t="s">
        <v>836</v>
      </c>
      <c r="GW29" t="s">
        <v>836</v>
      </c>
      <c r="GX29" t="s">
        <v>836</v>
      </c>
      <c r="GY29" t="s">
        <v>836</v>
      </c>
      <c r="GZ29" t="s">
        <v>836</v>
      </c>
      <c r="HA29" t="s">
        <v>836</v>
      </c>
      <c r="HB29" t="s">
        <v>836</v>
      </c>
      <c r="HC29" t="s">
        <v>836</v>
      </c>
      <c r="HD29" t="s">
        <v>836</v>
      </c>
      <c r="HE29" t="s">
        <v>836</v>
      </c>
      <c r="HF29" t="s">
        <v>836</v>
      </c>
      <c r="HG29" t="s">
        <v>836</v>
      </c>
      <c r="HH29" t="s">
        <v>836</v>
      </c>
      <c r="HI29" t="s">
        <v>836</v>
      </c>
      <c r="HJ29" t="s">
        <v>836</v>
      </c>
      <c r="HK29" t="s">
        <v>836</v>
      </c>
      <c r="HL29" t="s">
        <v>836</v>
      </c>
      <c r="HM29" t="s">
        <v>836</v>
      </c>
      <c r="HN29" t="s">
        <v>836</v>
      </c>
      <c r="HO29" t="s">
        <v>836</v>
      </c>
      <c r="HP29" t="s">
        <v>836</v>
      </c>
      <c r="HQ29" t="s">
        <v>836</v>
      </c>
      <c r="HR29" t="s">
        <v>836</v>
      </c>
      <c r="HS29" t="s">
        <v>836</v>
      </c>
      <c r="HT29" t="s">
        <v>836</v>
      </c>
      <c r="HU29" t="s">
        <v>836</v>
      </c>
      <c r="HV29" t="s">
        <v>836</v>
      </c>
      <c r="HW29" t="s">
        <v>836</v>
      </c>
      <c r="HX29" t="s">
        <v>836</v>
      </c>
      <c r="HY29" t="s">
        <v>836</v>
      </c>
      <c r="HZ29" t="s">
        <v>836</v>
      </c>
      <c r="IA29" t="s">
        <v>836</v>
      </c>
      <c r="IB29" t="s">
        <v>836</v>
      </c>
      <c r="IC29" t="s">
        <v>836</v>
      </c>
      <c r="ID29" t="s">
        <v>836</v>
      </c>
      <c r="IE29" t="s">
        <v>836</v>
      </c>
      <c r="IF29" t="s">
        <v>836</v>
      </c>
      <c r="IG29" t="s">
        <v>836</v>
      </c>
      <c r="IH29" t="s">
        <v>836</v>
      </c>
      <c r="II29" t="s">
        <v>836</v>
      </c>
      <c r="IJ29" t="s">
        <v>836</v>
      </c>
      <c r="IK29" t="s">
        <v>836</v>
      </c>
      <c r="IL29" t="s">
        <v>836</v>
      </c>
      <c r="IM29" t="s">
        <v>836</v>
      </c>
      <c r="IN29" t="s">
        <v>836</v>
      </c>
      <c r="IO29" t="s">
        <v>836</v>
      </c>
      <c r="IP29" t="s">
        <v>836</v>
      </c>
      <c r="IQ29" t="s">
        <v>836</v>
      </c>
      <c r="IR29" t="s">
        <v>836</v>
      </c>
      <c r="IS29" t="s">
        <v>836</v>
      </c>
      <c r="IT29" t="s">
        <v>836</v>
      </c>
      <c r="IU29" t="s">
        <v>836</v>
      </c>
      <c r="IV29" t="s">
        <v>836</v>
      </c>
      <c r="IW29" t="s">
        <v>836</v>
      </c>
      <c r="IX29" t="s">
        <v>836</v>
      </c>
      <c r="IY29" t="s">
        <v>836</v>
      </c>
      <c r="IZ29" t="s">
        <v>836</v>
      </c>
      <c r="JA29" t="s">
        <v>836</v>
      </c>
      <c r="JB29" t="s">
        <v>836</v>
      </c>
      <c r="JC29" t="s">
        <v>836</v>
      </c>
      <c r="JD29" t="s">
        <v>836</v>
      </c>
      <c r="JE29" t="s">
        <v>836</v>
      </c>
      <c r="JF29" t="s">
        <v>836</v>
      </c>
      <c r="JG29" t="s">
        <v>836</v>
      </c>
      <c r="JH29" t="s">
        <v>836</v>
      </c>
      <c r="JI29" t="s">
        <v>836</v>
      </c>
      <c r="JJ29" t="s">
        <v>836</v>
      </c>
      <c r="JK29" t="s">
        <v>836</v>
      </c>
      <c r="JL29" t="s">
        <v>836</v>
      </c>
      <c r="JM29" t="s">
        <v>836</v>
      </c>
      <c r="JN29" t="s">
        <v>836</v>
      </c>
      <c r="JO29" t="s">
        <v>836</v>
      </c>
      <c r="JP29" t="s">
        <v>836</v>
      </c>
      <c r="JQ29" t="s">
        <v>836</v>
      </c>
      <c r="JR29" t="s">
        <v>836</v>
      </c>
      <c r="JS29" t="s">
        <v>836</v>
      </c>
      <c r="JT29" t="s">
        <v>836</v>
      </c>
      <c r="JU29" t="s">
        <v>836</v>
      </c>
      <c r="JV29" t="s">
        <v>836</v>
      </c>
      <c r="JW29" t="s">
        <v>836</v>
      </c>
      <c r="JX29" t="s">
        <v>836</v>
      </c>
      <c r="JY29" t="s">
        <v>836</v>
      </c>
      <c r="JZ29" t="s">
        <v>836</v>
      </c>
      <c r="KA29" t="s">
        <v>836</v>
      </c>
      <c r="KB29" t="s">
        <v>836</v>
      </c>
      <c r="KC29" t="s">
        <v>836</v>
      </c>
      <c r="KD29" t="s">
        <v>836</v>
      </c>
      <c r="KE29" t="s">
        <v>836</v>
      </c>
      <c r="KF29" t="s">
        <v>836</v>
      </c>
      <c r="KG29" t="s">
        <v>836</v>
      </c>
      <c r="KH29" t="s">
        <v>836</v>
      </c>
      <c r="KI29" t="s">
        <v>836</v>
      </c>
      <c r="KJ29" t="s">
        <v>836</v>
      </c>
      <c r="KK29" t="s">
        <v>836</v>
      </c>
      <c r="KL29" t="s">
        <v>836</v>
      </c>
      <c r="KM29" t="s">
        <v>836</v>
      </c>
      <c r="KN29" t="s">
        <v>836</v>
      </c>
      <c r="KO29" t="s">
        <v>836</v>
      </c>
      <c r="KP29" t="s">
        <v>836</v>
      </c>
      <c r="KQ29" t="s">
        <v>836</v>
      </c>
      <c r="KR29" t="s">
        <v>836</v>
      </c>
      <c r="KS29" t="s">
        <v>836</v>
      </c>
      <c r="KT29" t="s">
        <v>836</v>
      </c>
      <c r="KU29" t="s">
        <v>836</v>
      </c>
      <c r="KV29" t="s">
        <v>836</v>
      </c>
      <c r="KW29" t="s">
        <v>836</v>
      </c>
      <c r="KX29" t="s">
        <v>836</v>
      </c>
      <c r="KY29" t="s">
        <v>836</v>
      </c>
      <c r="KZ29" t="s">
        <v>836</v>
      </c>
      <c r="LA29" t="s">
        <v>836</v>
      </c>
      <c r="LB29" t="s">
        <v>836</v>
      </c>
      <c r="LC29" t="s">
        <v>836</v>
      </c>
      <c r="LD29" t="s">
        <v>836</v>
      </c>
      <c r="LE29" t="s">
        <v>836</v>
      </c>
      <c r="LF29" t="s">
        <v>836</v>
      </c>
      <c r="LG29" t="s">
        <v>836</v>
      </c>
      <c r="LH29" t="s">
        <v>836</v>
      </c>
      <c r="LI29" t="s">
        <v>836</v>
      </c>
      <c r="LJ29" t="s">
        <v>836</v>
      </c>
      <c r="LK29" t="s">
        <v>836</v>
      </c>
      <c r="LL29" t="s">
        <v>836</v>
      </c>
      <c r="LM29" t="s">
        <v>836</v>
      </c>
      <c r="LN29" t="s">
        <v>836</v>
      </c>
      <c r="LO29" t="s">
        <v>836</v>
      </c>
      <c r="LP29" t="s">
        <v>836</v>
      </c>
      <c r="LQ29" t="s">
        <v>836</v>
      </c>
      <c r="LR29" t="s">
        <v>836</v>
      </c>
      <c r="LS29" t="s">
        <v>836</v>
      </c>
      <c r="LT29" t="s">
        <v>836</v>
      </c>
      <c r="LU29" t="s">
        <v>836</v>
      </c>
      <c r="LV29" t="s">
        <v>836</v>
      </c>
      <c r="LW29" t="s">
        <v>836</v>
      </c>
      <c r="LX29" t="s">
        <v>836</v>
      </c>
      <c r="LY29" t="s">
        <v>836</v>
      </c>
      <c r="LZ29" t="s">
        <v>836</v>
      </c>
      <c r="MA29" t="s">
        <v>836</v>
      </c>
      <c r="MB29" t="s">
        <v>836</v>
      </c>
      <c r="MC29" t="s">
        <v>836</v>
      </c>
      <c r="MD29" t="s">
        <v>836</v>
      </c>
      <c r="ME29" t="s">
        <v>836</v>
      </c>
      <c r="MF29" t="s">
        <v>836</v>
      </c>
      <c r="MG29" t="s">
        <v>836</v>
      </c>
      <c r="MH29" t="s">
        <v>836</v>
      </c>
      <c r="MI29" t="s">
        <v>836</v>
      </c>
      <c r="MJ29" t="s">
        <v>836</v>
      </c>
      <c r="MK29" t="s">
        <v>836</v>
      </c>
      <c r="ML29" t="s">
        <v>836</v>
      </c>
      <c r="MM29" t="s">
        <v>836</v>
      </c>
      <c r="MN29" t="s">
        <v>836</v>
      </c>
      <c r="MO29" t="s">
        <v>836</v>
      </c>
      <c r="MP29" t="s">
        <v>836</v>
      </c>
      <c r="MQ29" t="s">
        <v>836</v>
      </c>
      <c r="MR29" t="s">
        <v>836</v>
      </c>
      <c r="MS29" t="s">
        <v>836</v>
      </c>
      <c r="MT29" t="s">
        <v>836</v>
      </c>
      <c r="MU29" t="s">
        <v>836</v>
      </c>
      <c r="MV29" t="s">
        <v>836</v>
      </c>
      <c r="MW29" t="s">
        <v>836</v>
      </c>
      <c r="MX29" t="s">
        <v>836</v>
      </c>
      <c r="MY29" t="s">
        <v>836</v>
      </c>
      <c r="MZ29" t="s">
        <v>836</v>
      </c>
      <c r="NA29" t="s">
        <v>836</v>
      </c>
      <c r="NB29" t="s">
        <v>836</v>
      </c>
      <c r="NC29" t="s">
        <v>836</v>
      </c>
      <c r="ND29" t="s">
        <v>836</v>
      </c>
      <c r="NE29" t="s">
        <v>836</v>
      </c>
      <c r="NF29" t="s">
        <v>836</v>
      </c>
      <c r="NG29" t="s">
        <v>836</v>
      </c>
      <c r="NH29" t="s">
        <v>836</v>
      </c>
      <c r="NI29" t="s">
        <v>836</v>
      </c>
      <c r="NJ29" t="s">
        <v>836</v>
      </c>
      <c r="NK29" t="s">
        <v>836</v>
      </c>
      <c r="NL29" t="s">
        <v>836</v>
      </c>
      <c r="NM29" t="s">
        <v>836</v>
      </c>
      <c r="NN29" t="s">
        <v>836</v>
      </c>
      <c r="NO29" t="s">
        <v>836</v>
      </c>
      <c r="NP29" t="s">
        <v>836</v>
      </c>
      <c r="NQ29" t="s">
        <v>836</v>
      </c>
      <c r="NR29" t="s">
        <v>836</v>
      </c>
      <c r="NS29" t="s">
        <v>836</v>
      </c>
      <c r="NT29" t="s">
        <v>836</v>
      </c>
      <c r="NU29" t="s">
        <v>836</v>
      </c>
      <c r="NV29" t="s">
        <v>836</v>
      </c>
      <c r="NW29" t="s">
        <v>836</v>
      </c>
      <c r="NX29" t="s">
        <v>836</v>
      </c>
      <c r="NY29" t="s">
        <v>836</v>
      </c>
      <c r="NZ29" t="s">
        <v>836</v>
      </c>
      <c r="OA29" t="s">
        <v>836</v>
      </c>
      <c r="OB29" t="s">
        <v>836</v>
      </c>
      <c r="OC29" t="s">
        <v>836</v>
      </c>
      <c r="OD29" t="s">
        <v>836</v>
      </c>
      <c r="OE29" t="s">
        <v>836</v>
      </c>
      <c r="OF29" t="s">
        <v>836</v>
      </c>
      <c r="OG29" t="s">
        <v>836</v>
      </c>
      <c r="OH29" t="s">
        <v>836</v>
      </c>
      <c r="OI29" t="s">
        <v>836</v>
      </c>
      <c r="OJ29" t="s">
        <v>836</v>
      </c>
      <c r="OK29" t="s">
        <v>836</v>
      </c>
      <c r="OL29" t="s">
        <v>836</v>
      </c>
      <c r="OM29" t="s">
        <v>836</v>
      </c>
      <c r="ON29" t="s">
        <v>836</v>
      </c>
      <c r="OO29" t="s">
        <v>836</v>
      </c>
      <c r="OP29" t="s">
        <v>836</v>
      </c>
      <c r="OQ29" t="s">
        <v>836</v>
      </c>
      <c r="OR29" t="s">
        <v>836</v>
      </c>
      <c r="OS29" t="s">
        <v>836</v>
      </c>
      <c r="OT29" t="s">
        <v>836</v>
      </c>
      <c r="OU29" t="s">
        <v>836</v>
      </c>
      <c r="OV29" t="s">
        <v>836</v>
      </c>
      <c r="OW29" t="s">
        <v>836</v>
      </c>
      <c r="OX29" t="s">
        <v>836</v>
      </c>
      <c r="OY29" t="s">
        <v>836</v>
      </c>
      <c r="OZ29" t="s">
        <v>836</v>
      </c>
      <c r="PA29" t="s">
        <v>836</v>
      </c>
      <c r="PB29" t="s">
        <v>836</v>
      </c>
      <c r="PC29" t="s">
        <v>836</v>
      </c>
      <c r="PD29" t="s">
        <v>836</v>
      </c>
      <c r="PE29" t="s">
        <v>836</v>
      </c>
      <c r="PF29" t="s">
        <v>836</v>
      </c>
      <c r="PG29" t="s">
        <v>836</v>
      </c>
      <c r="PH29" t="s">
        <v>836</v>
      </c>
      <c r="PI29" t="s">
        <v>836</v>
      </c>
      <c r="PJ29" t="s">
        <v>836</v>
      </c>
      <c r="PK29" t="s">
        <v>836</v>
      </c>
      <c r="PL29" t="s">
        <v>836</v>
      </c>
      <c r="PM29" t="s">
        <v>836</v>
      </c>
      <c r="PN29" t="s">
        <v>836</v>
      </c>
      <c r="PO29" t="s">
        <v>836</v>
      </c>
      <c r="PP29" t="s">
        <v>836</v>
      </c>
      <c r="PQ29" t="s">
        <v>836</v>
      </c>
      <c r="PR29" t="s">
        <v>836</v>
      </c>
      <c r="PS29" t="s">
        <v>836</v>
      </c>
      <c r="PT29" t="s">
        <v>836</v>
      </c>
      <c r="PU29" t="s">
        <v>836</v>
      </c>
      <c r="PV29" t="s">
        <v>836</v>
      </c>
      <c r="PW29" t="s">
        <v>836</v>
      </c>
      <c r="PX29" t="s">
        <v>836</v>
      </c>
      <c r="PY29" t="s">
        <v>836</v>
      </c>
      <c r="PZ29" t="s">
        <v>836</v>
      </c>
      <c r="QA29" t="s">
        <v>836</v>
      </c>
      <c r="QB29" t="s">
        <v>836</v>
      </c>
      <c r="QC29" t="s">
        <v>836</v>
      </c>
      <c r="QD29" t="s">
        <v>836</v>
      </c>
      <c r="QE29" t="s">
        <v>836</v>
      </c>
      <c r="QF29" t="s">
        <v>836</v>
      </c>
      <c r="QG29" t="s">
        <v>836</v>
      </c>
      <c r="QH29" t="s">
        <v>836</v>
      </c>
      <c r="QI29" t="s">
        <v>836</v>
      </c>
      <c r="QJ29" t="s">
        <v>836</v>
      </c>
      <c r="QK29" t="s">
        <v>836</v>
      </c>
      <c r="QL29" t="s">
        <v>836</v>
      </c>
      <c r="QM29" t="s">
        <v>836</v>
      </c>
      <c r="QN29" t="s">
        <v>836</v>
      </c>
      <c r="QO29" t="s">
        <v>836</v>
      </c>
      <c r="QP29" t="s">
        <v>836</v>
      </c>
      <c r="QQ29" t="s">
        <v>836</v>
      </c>
      <c r="QR29" t="s">
        <v>836</v>
      </c>
      <c r="QS29" t="s">
        <v>836</v>
      </c>
      <c r="QT29" t="s">
        <v>836</v>
      </c>
      <c r="QU29" t="s">
        <v>836</v>
      </c>
      <c r="QV29" t="s">
        <v>836</v>
      </c>
      <c r="QW29" t="s">
        <v>836</v>
      </c>
      <c r="QX29" t="s">
        <v>836</v>
      </c>
      <c r="QY29" t="s">
        <v>836</v>
      </c>
      <c r="QZ29" t="s">
        <v>836</v>
      </c>
      <c r="RA29" t="s">
        <v>836</v>
      </c>
      <c r="RB29" t="s">
        <v>836</v>
      </c>
      <c r="RC29" t="s">
        <v>836</v>
      </c>
      <c r="RD29" t="s">
        <v>836</v>
      </c>
      <c r="RE29" t="s">
        <v>836</v>
      </c>
      <c r="RF29" t="s">
        <v>836</v>
      </c>
      <c r="RG29" t="s">
        <v>836</v>
      </c>
      <c r="RH29" t="s">
        <v>836</v>
      </c>
      <c r="RI29" t="s">
        <v>836</v>
      </c>
      <c r="RJ29" t="s">
        <v>836</v>
      </c>
      <c r="RK29" t="s">
        <v>836</v>
      </c>
      <c r="RL29" t="s">
        <v>836</v>
      </c>
      <c r="RM29" t="s">
        <v>836</v>
      </c>
      <c r="RN29" t="s">
        <v>836</v>
      </c>
      <c r="RO29" t="s">
        <v>836</v>
      </c>
      <c r="RP29" t="s">
        <v>836</v>
      </c>
      <c r="RQ29" t="s">
        <v>836</v>
      </c>
      <c r="RR29" t="s">
        <v>836</v>
      </c>
      <c r="RS29" t="s">
        <v>836</v>
      </c>
      <c r="RT29" t="s">
        <v>836</v>
      </c>
      <c r="RU29" t="s">
        <v>836</v>
      </c>
      <c r="RV29" t="s">
        <v>836</v>
      </c>
      <c r="RW29" t="s">
        <v>836</v>
      </c>
      <c r="RX29" t="s">
        <v>836</v>
      </c>
      <c r="RY29" t="s">
        <v>836</v>
      </c>
      <c r="RZ29" t="s">
        <v>836</v>
      </c>
      <c r="SA29" t="s">
        <v>836</v>
      </c>
      <c r="SB29" t="s">
        <v>836</v>
      </c>
      <c r="SC29" t="s">
        <v>836</v>
      </c>
      <c r="SD29" t="s">
        <v>836</v>
      </c>
      <c r="SE29" t="s">
        <v>836</v>
      </c>
      <c r="SF29" t="s">
        <v>836</v>
      </c>
      <c r="SG29" t="s">
        <v>836</v>
      </c>
      <c r="SH29" t="s">
        <v>836</v>
      </c>
      <c r="SI29" t="s">
        <v>836</v>
      </c>
      <c r="SJ29" t="s">
        <v>836</v>
      </c>
      <c r="SK29" t="s">
        <v>836</v>
      </c>
      <c r="SL29" t="s">
        <v>836</v>
      </c>
      <c r="SM29" t="s">
        <v>836</v>
      </c>
      <c r="SN29" t="s">
        <v>836</v>
      </c>
      <c r="SO29" t="s">
        <v>836</v>
      </c>
      <c r="SP29" t="s">
        <v>836</v>
      </c>
      <c r="SQ29" t="s">
        <v>836</v>
      </c>
      <c r="SR29" t="s">
        <v>836</v>
      </c>
      <c r="SS29" t="s">
        <v>836</v>
      </c>
      <c r="ST29" t="s">
        <v>836</v>
      </c>
      <c r="SU29" t="s">
        <v>836</v>
      </c>
      <c r="SV29" t="s">
        <v>836</v>
      </c>
      <c r="SW29" t="s">
        <v>836</v>
      </c>
      <c r="SX29" t="s">
        <v>836</v>
      </c>
      <c r="SY29" t="s">
        <v>836</v>
      </c>
      <c r="SZ29" t="s">
        <v>836</v>
      </c>
      <c r="TA29" t="s">
        <v>836</v>
      </c>
      <c r="TB29" t="s">
        <v>836</v>
      </c>
      <c r="TC29" t="s">
        <v>836</v>
      </c>
      <c r="TD29" t="s">
        <v>836</v>
      </c>
      <c r="TE29" t="s">
        <v>836</v>
      </c>
      <c r="TF29" t="s">
        <v>836</v>
      </c>
      <c r="TG29" t="s">
        <v>836</v>
      </c>
      <c r="TH29" t="s">
        <v>836</v>
      </c>
      <c r="TI29" t="s">
        <v>836</v>
      </c>
      <c r="TJ29" t="s">
        <v>836</v>
      </c>
      <c r="TK29" t="s">
        <v>836</v>
      </c>
      <c r="TL29" t="s">
        <v>836</v>
      </c>
      <c r="TM29" t="s">
        <v>836</v>
      </c>
      <c r="TN29" t="s">
        <v>836</v>
      </c>
      <c r="TO29" t="s">
        <v>836</v>
      </c>
      <c r="TP29" t="s">
        <v>836</v>
      </c>
      <c r="TQ29" t="s">
        <v>836</v>
      </c>
      <c r="TR29" t="s">
        <v>836</v>
      </c>
      <c r="TS29" t="s">
        <v>836</v>
      </c>
      <c r="TT29" t="s">
        <v>836</v>
      </c>
      <c r="TU29" t="s">
        <v>836</v>
      </c>
      <c r="TV29" t="s">
        <v>836</v>
      </c>
      <c r="TW29" t="s">
        <v>836</v>
      </c>
      <c r="TX29" t="s">
        <v>836</v>
      </c>
      <c r="TY29" t="s">
        <v>836</v>
      </c>
      <c r="TZ29" t="s">
        <v>836</v>
      </c>
      <c r="UA29" t="s">
        <v>836</v>
      </c>
      <c r="UB29" t="s">
        <v>836</v>
      </c>
      <c r="UC29" t="s">
        <v>836</v>
      </c>
      <c r="UD29" t="s">
        <v>836</v>
      </c>
      <c r="UE29" t="s">
        <v>836</v>
      </c>
      <c r="UF29" t="s">
        <v>836</v>
      </c>
      <c r="UG29" t="s">
        <v>836</v>
      </c>
      <c r="UH29" t="s">
        <v>836</v>
      </c>
      <c r="UI29" t="s">
        <v>836</v>
      </c>
      <c r="UJ29" t="s">
        <v>836</v>
      </c>
      <c r="UK29" t="s">
        <v>836</v>
      </c>
      <c r="UL29" t="s">
        <v>836</v>
      </c>
      <c r="UM29" t="s">
        <v>836</v>
      </c>
      <c r="UN29" t="s">
        <v>836</v>
      </c>
      <c r="UO29" t="s">
        <v>836</v>
      </c>
      <c r="UP29" t="s">
        <v>836</v>
      </c>
      <c r="UQ29" t="s">
        <v>836</v>
      </c>
      <c r="UR29" t="s">
        <v>836</v>
      </c>
      <c r="US29" t="s">
        <v>836</v>
      </c>
      <c r="UT29" t="s">
        <v>836</v>
      </c>
      <c r="UU29" t="s">
        <v>836</v>
      </c>
      <c r="UV29" t="s">
        <v>836</v>
      </c>
      <c r="UW29" t="s">
        <v>836</v>
      </c>
      <c r="UX29" t="s">
        <v>836</v>
      </c>
      <c r="UY29" t="s">
        <v>836</v>
      </c>
      <c r="UZ29" t="s">
        <v>836</v>
      </c>
      <c r="VA29" t="s">
        <v>836</v>
      </c>
      <c r="VB29" t="s">
        <v>836</v>
      </c>
      <c r="VC29" t="s">
        <v>836</v>
      </c>
      <c r="VD29" t="s">
        <v>836</v>
      </c>
      <c r="VE29" t="s">
        <v>836</v>
      </c>
      <c r="VF29" t="s">
        <v>836</v>
      </c>
      <c r="VG29" t="s">
        <v>836</v>
      </c>
      <c r="VH29" t="s">
        <v>836</v>
      </c>
      <c r="VI29" t="s">
        <v>836</v>
      </c>
      <c r="VJ29" t="s">
        <v>836</v>
      </c>
      <c r="VK29" t="s">
        <v>836</v>
      </c>
      <c r="VL29" t="s">
        <v>836</v>
      </c>
      <c r="VM29" t="s">
        <v>836</v>
      </c>
      <c r="VN29" t="s">
        <v>836</v>
      </c>
      <c r="VO29" t="s">
        <v>836</v>
      </c>
      <c r="VP29" t="s">
        <v>836</v>
      </c>
      <c r="VQ29" t="s">
        <v>836</v>
      </c>
      <c r="VR29" t="s">
        <v>836</v>
      </c>
      <c r="VS29" t="s">
        <v>836</v>
      </c>
      <c r="VT29" t="s">
        <v>836</v>
      </c>
      <c r="VU29" t="s">
        <v>836</v>
      </c>
      <c r="VV29" t="s">
        <v>836</v>
      </c>
      <c r="VW29" t="s">
        <v>836</v>
      </c>
      <c r="VX29" t="s">
        <v>836</v>
      </c>
      <c r="VY29" t="s">
        <v>836</v>
      </c>
      <c r="VZ29" t="s">
        <v>836</v>
      </c>
      <c r="WA29" t="s">
        <v>836</v>
      </c>
      <c r="WB29" t="s">
        <v>836</v>
      </c>
      <c r="WC29" t="s">
        <v>836</v>
      </c>
      <c r="WD29" t="s">
        <v>836</v>
      </c>
      <c r="WE29" t="s">
        <v>836</v>
      </c>
      <c r="WF29" t="s">
        <v>836</v>
      </c>
      <c r="WG29" t="s">
        <v>836</v>
      </c>
      <c r="WH29" t="s">
        <v>836</v>
      </c>
      <c r="WI29" t="s">
        <v>836</v>
      </c>
      <c r="WJ29" t="s">
        <v>836</v>
      </c>
      <c r="WK29" t="s">
        <v>836</v>
      </c>
      <c r="WL29" t="s">
        <v>836</v>
      </c>
      <c r="WM29" t="s">
        <v>836</v>
      </c>
      <c r="WN29" t="s">
        <v>836</v>
      </c>
      <c r="WO29" t="s">
        <v>836</v>
      </c>
      <c r="WP29" t="s">
        <v>836</v>
      </c>
      <c r="WQ29" t="s">
        <v>836</v>
      </c>
      <c r="WR29" t="s">
        <v>836</v>
      </c>
      <c r="WS29" t="s">
        <v>836</v>
      </c>
      <c r="WT29" t="s">
        <v>836</v>
      </c>
      <c r="WU29" t="s">
        <v>836</v>
      </c>
      <c r="WV29" t="s">
        <v>836</v>
      </c>
      <c r="WW29" t="s">
        <v>836</v>
      </c>
      <c r="WX29" t="s">
        <v>836</v>
      </c>
      <c r="WY29" t="s">
        <v>836</v>
      </c>
      <c r="WZ29" t="s">
        <v>836</v>
      </c>
      <c r="XA29" t="s">
        <v>836</v>
      </c>
      <c r="XB29" t="s">
        <v>836</v>
      </c>
      <c r="XC29" t="s">
        <v>836</v>
      </c>
      <c r="XD29" t="s">
        <v>836</v>
      </c>
      <c r="XE29" t="s">
        <v>836</v>
      </c>
      <c r="XF29" t="s">
        <v>836</v>
      </c>
      <c r="XG29" t="s">
        <v>836</v>
      </c>
      <c r="XH29" t="s">
        <v>836</v>
      </c>
      <c r="XI29" t="s">
        <v>836</v>
      </c>
      <c r="XJ29" t="s">
        <v>836</v>
      </c>
      <c r="XK29" t="s">
        <v>836</v>
      </c>
      <c r="XL29" t="s">
        <v>836</v>
      </c>
      <c r="XM29" t="s">
        <v>836</v>
      </c>
      <c r="XN29" t="s">
        <v>836</v>
      </c>
      <c r="XO29" t="s">
        <v>836</v>
      </c>
      <c r="XP29" t="s">
        <v>836</v>
      </c>
      <c r="XQ29" t="s">
        <v>836</v>
      </c>
      <c r="XR29" t="s">
        <v>836</v>
      </c>
      <c r="XS29" t="s">
        <v>836</v>
      </c>
      <c r="XT29" t="s">
        <v>836</v>
      </c>
      <c r="XU29" t="s">
        <v>836</v>
      </c>
      <c r="XV29" t="s">
        <v>836</v>
      </c>
      <c r="XW29" t="s">
        <v>836</v>
      </c>
      <c r="XX29" t="s">
        <v>836</v>
      </c>
      <c r="XY29" t="s">
        <v>836</v>
      </c>
      <c r="XZ29" t="s">
        <v>836</v>
      </c>
      <c r="YA29" t="s">
        <v>836</v>
      </c>
      <c r="YB29" t="s">
        <v>836</v>
      </c>
      <c r="YC29" t="s">
        <v>836</v>
      </c>
      <c r="YD29" t="s">
        <v>836</v>
      </c>
      <c r="YE29" t="s">
        <v>836</v>
      </c>
      <c r="YF29" t="s">
        <v>836</v>
      </c>
      <c r="YG29" t="s">
        <v>836</v>
      </c>
      <c r="YH29" t="s">
        <v>836</v>
      </c>
      <c r="YI29" t="s">
        <v>836</v>
      </c>
      <c r="YJ29" t="s">
        <v>836</v>
      </c>
      <c r="YK29" t="s">
        <v>836</v>
      </c>
      <c r="YL29" t="s">
        <v>836</v>
      </c>
      <c r="YM29" t="s">
        <v>836</v>
      </c>
      <c r="YN29" t="s">
        <v>836</v>
      </c>
      <c r="YO29" t="s">
        <v>836</v>
      </c>
      <c r="YP29" t="s">
        <v>836</v>
      </c>
      <c r="YQ29" t="s">
        <v>836</v>
      </c>
      <c r="YR29" t="s">
        <v>836</v>
      </c>
      <c r="YS29" t="s">
        <v>836</v>
      </c>
      <c r="YT29" t="s">
        <v>836</v>
      </c>
      <c r="YU29" t="s">
        <v>836</v>
      </c>
      <c r="YV29" t="s">
        <v>836</v>
      </c>
      <c r="YW29" t="s">
        <v>836</v>
      </c>
      <c r="YX29" t="s">
        <v>836</v>
      </c>
      <c r="YY29" t="s">
        <v>836</v>
      </c>
      <c r="YZ29" t="s">
        <v>836</v>
      </c>
      <c r="ZA29" t="s">
        <v>836</v>
      </c>
      <c r="ZB29" t="s">
        <v>836</v>
      </c>
      <c r="ZC29" t="s">
        <v>836</v>
      </c>
      <c r="ZD29" t="s">
        <v>836</v>
      </c>
      <c r="ZE29" t="s">
        <v>836</v>
      </c>
      <c r="ZF29" t="s">
        <v>836</v>
      </c>
      <c r="ZG29" t="s">
        <v>836</v>
      </c>
      <c r="ZH29" t="s">
        <v>836</v>
      </c>
      <c r="ZI29" t="s">
        <v>836</v>
      </c>
      <c r="ZJ29" t="s">
        <v>836</v>
      </c>
      <c r="ZK29" t="s">
        <v>836</v>
      </c>
      <c r="ZL29" t="s">
        <v>836</v>
      </c>
      <c r="ZM29" t="s">
        <v>836</v>
      </c>
      <c r="ZN29" t="s">
        <v>836</v>
      </c>
      <c r="ZO29" t="s">
        <v>836</v>
      </c>
      <c r="ZP29" t="s">
        <v>836</v>
      </c>
      <c r="ZQ29" t="s">
        <v>836</v>
      </c>
      <c r="ZR29" t="s">
        <v>836</v>
      </c>
      <c r="ZS29" t="s">
        <v>836</v>
      </c>
      <c r="ZT29" t="s">
        <v>836</v>
      </c>
      <c r="ZU29" t="s">
        <v>836</v>
      </c>
      <c r="ZV29" t="s">
        <v>836</v>
      </c>
      <c r="ZW29" t="s">
        <v>836</v>
      </c>
      <c r="ZX29" t="s">
        <v>836</v>
      </c>
      <c r="ZY29" t="s">
        <v>836</v>
      </c>
      <c r="ZZ29" t="s">
        <v>836</v>
      </c>
      <c r="AAA29" t="s">
        <v>836</v>
      </c>
      <c r="AAB29" t="s">
        <v>836</v>
      </c>
      <c r="AAC29" t="s">
        <v>836</v>
      </c>
      <c r="AAD29" t="s">
        <v>836</v>
      </c>
      <c r="AAE29" t="s">
        <v>836</v>
      </c>
      <c r="AAF29" t="s">
        <v>836</v>
      </c>
      <c r="AAG29" t="s">
        <v>836</v>
      </c>
      <c r="AAH29" t="s">
        <v>836</v>
      </c>
      <c r="AAI29" t="s">
        <v>836</v>
      </c>
      <c r="AAJ29" t="s">
        <v>836</v>
      </c>
      <c r="AAK29" t="s">
        <v>836</v>
      </c>
      <c r="AAL29" t="s">
        <v>836</v>
      </c>
      <c r="AAM29" t="s">
        <v>836</v>
      </c>
      <c r="AAN29" t="s">
        <v>836</v>
      </c>
      <c r="AAO29" t="s">
        <v>836</v>
      </c>
      <c r="AAP29" t="s">
        <v>836</v>
      </c>
      <c r="AAQ29" t="s">
        <v>836</v>
      </c>
      <c r="AAR29" t="s">
        <v>836</v>
      </c>
      <c r="AAS29" t="s">
        <v>836</v>
      </c>
      <c r="AAT29" t="s">
        <v>836</v>
      </c>
      <c r="AAU29" t="s">
        <v>836</v>
      </c>
      <c r="AAV29" t="s">
        <v>836</v>
      </c>
      <c r="AAW29" t="s">
        <v>836</v>
      </c>
      <c r="AAX29" t="s">
        <v>836</v>
      </c>
      <c r="AAY29" t="s">
        <v>836</v>
      </c>
      <c r="AAZ29" t="s">
        <v>836</v>
      </c>
      <c r="ABA29" t="s">
        <v>836</v>
      </c>
      <c r="ABB29" t="s">
        <v>836</v>
      </c>
      <c r="ABC29" t="s">
        <v>836</v>
      </c>
      <c r="ABD29" t="s">
        <v>836</v>
      </c>
      <c r="ABE29" t="s">
        <v>836</v>
      </c>
      <c r="ABF29" t="s">
        <v>836</v>
      </c>
      <c r="ABG29" t="s">
        <v>836</v>
      </c>
      <c r="ABH29" t="s">
        <v>836</v>
      </c>
      <c r="ABI29" t="s">
        <v>836</v>
      </c>
      <c r="ABJ29" t="s">
        <v>836</v>
      </c>
      <c r="ABK29" t="s">
        <v>836</v>
      </c>
      <c r="ABL29" t="s">
        <v>836</v>
      </c>
      <c r="ABM29" t="s">
        <v>836</v>
      </c>
      <c r="ABN29" t="s">
        <v>836</v>
      </c>
      <c r="ABO29" t="s">
        <v>836</v>
      </c>
      <c r="ABP29" t="s">
        <v>836</v>
      </c>
      <c r="ABQ29" t="s">
        <v>836</v>
      </c>
      <c r="ABR29" t="s">
        <v>836</v>
      </c>
      <c r="ABS29" t="s">
        <v>836</v>
      </c>
      <c r="ABT29" t="s">
        <v>836</v>
      </c>
      <c r="ABU29" t="s">
        <v>836</v>
      </c>
      <c r="ABV29" t="s">
        <v>836</v>
      </c>
      <c r="ABW29" t="s">
        <v>836</v>
      </c>
      <c r="ABX29" t="s">
        <v>836</v>
      </c>
      <c r="ABY29" t="s">
        <v>836</v>
      </c>
      <c r="ABZ29" t="s">
        <v>836</v>
      </c>
      <c r="ACA29" t="s">
        <v>836</v>
      </c>
      <c r="ACB29" t="s">
        <v>836</v>
      </c>
      <c r="ACC29" t="s">
        <v>836</v>
      </c>
      <c r="ACD29" t="s">
        <v>836</v>
      </c>
      <c r="ACE29" t="s">
        <v>836</v>
      </c>
      <c r="ACF29" t="s">
        <v>836</v>
      </c>
      <c r="ACG29" t="s">
        <v>836</v>
      </c>
      <c r="ACH29" t="s">
        <v>836</v>
      </c>
      <c r="ACI29" t="s">
        <v>836</v>
      </c>
      <c r="ACJ29" t="s">
        <v>836</v>
      </c>
      <c r="ACK29" t="s">
        <v>836</v>
      </c>
      <c r="ACL29" t="s">
        <v>836</v>
      </c>
      <c r="ACM29" t="s">
        <v>836</v>
      </c>
      <c r="ACN29" t="s">
        <v>836</v>
      </c>
      <c r="ACO29" t="s">
        <v>836</v>
      </c>
      <c r="ACP29" t="s">
        <v>836</v>
      </c>
      <c r="ACQ29" t="s">
        <v>836</v>
      </c>
      <c r="ACR29" t="s">
        <v>836</v>
      </c>
      <c r="ACS29" t="s">
        <v>836</v>
      </c>
      <c r="ACT29" t="s">
        <v>836</v>
      </c>
      <c r="ACU29" t="s">
        <v>836</v>
      </c>
      <c r="ACV29" t="s">
        <v>836</v>
      </c>
      <c r="ACW29" t="s">
        <v>836</v>
      </c>
      <c r="ACX29" t="s">
        <v>836</v>
      </c>
      <c r="ACY29" t="s">
        <v>836</v>
      </c>
      <c r="ACZ29" t="s">
        <v>836</v>
      </c>
      <c r="ADA29" t="s">
        <v>836</v>
      </c>
      <c r="ADB29" t="s">
        <v>836</v>
      </c>
      <c r="ADC29" t="s">
        <v>836</v>
      </c>
      <c r="ADD29" t="s">
        <v>836</v>
      </c>
      <c r="ADE29" t="s">
        <v>836</v>
      </c>
      <c r="ADF29" t="s">
        <v>836</v>
      </c>
      <c r="ADG29" t="s">
        <v>836</v>
      </c>
      <c r="ADH29" t="s">
        <v>836</v>
      </c>
      <c r="ADI29" t="s">
        <v>836</v>
      </c>
      <c r="ADJ29" t="s">
        <v>836</v>
      </c>
      <c r="ADK29" t="s">
        <v>836</v>
      </c>
      <c r="ADL29" t="s">
        <v>836</v>
      </c>
      <c r="ADM29" t="s">
        <v>836</v>
      </c>
      <c r="ADN29" t="s">
        <v>836</v>
      </c>
      <c r="ADO29" t="s">
        <v>836</v>
      </c>
      <c r="ADP29" t="s">
        <v>836</v>
      </c>
      <c r="ADQ29" t="s">
        <v>836</v>
      </c>
      <c r="ADR29" t="s">
        <v>836</v>
      </c>
      <c r="ADS29" t="s">
        <v>836</v>
      </c>
      <c r="ADT29" t="s">
        <v>836</v>
      </c>
      <c r="ADU29" t="s">
        <v>836</v>
      </c>
      <c r="ADV29" t="s">
        <v>836</v>
      </c>
      <c r="ADW29" t="s">
        <v>836</v>
      </c>
      <c r="ADX29" t="s">
        <v>836</v>
      </c>
      <c r="ADY29" t="s">
        <v>836</v>
      </c>
      <c r="ADZ29" t="s">
        <v>836</v>
      </c>
      <c r="AEA29" t="s">
        <v>836</v>
      </c>
      <c r="AEB29" t="s">
        <v>836</v>
      </c>
      <c r="AEC29" t="s">
        <v>836</v>
      </c>
      <c r="AED29" t="s">
        <v>836</v>
      </c>
      <c r="AEE29" t="s">
        <v>836</v>
      </c>
      <c r="AEF29" t="s">
        <v>836</v>
      </c>
      <c r="AEG29" t="s">
        <v>836</v>
      </c>
      <c r="AEH29" t="s">
        <v>836</v>
      </c>
      <c r="AEI29" t="s">
        <v>836</v>
      </c>
      <c r="AEJ29" t="s">
        <v>836</v>
      </c>
      <c r="AEK29" t="s">
        <v>836</v>
      </c>
      <c r="AEL29" t="s">
        <v>836</v>
      </c>
      <c r="AEM29" t="s">
        <v>836</v>
      </c>
      <c r="AEN29" t="s">
        <v>836</v>
      </c>
      <c r="AEO29" t="s">
        <v>836</v>
      </c>
      <c r="AEP29" t="s">
        <v>836</v>
      </c>
      <c r="AEQ29" t="s">
        <v>836</v>
      </c>
      <c r="AER29" t="s">
        <v>836</v>
      </c>
      <c r="AES29" t="s">
        <v>836</v>
      </c>
      <c r="AET29" t="s">
        <v>836</v>
      </c>
      <c r="AEU29" t="s">
        <v>836</v>
      </c>
      <c r="AEV29" t="s">
        <v>836</v>
      </c>
      <c r="AEW29" t="s">
        <v>836</v>
      </c>
      <c r="AEX29" t="s">
        <v>836</v>
      </c>
      <c r="AEY29" t="s">
        <v>836</v>
      </c>
      <c r="AEZ29" t="s">
        <v>836</v>
      </c>
      <c r="AFA29" t="s">
        <v>836</v>
      </c>
      <c r="AFB29" t="s">
        <v>836</v>
      </c>
      <c r="AFC29" t="s">
        <v>836</v>
      </c>
      <c r="AFD29" t="s">
        <v>836</v>
      </c>
      <c r="AFE29" t="s">
        <v>836</v>
      </c>
      <c r="AFF29" t="s">
        <v>836</v>
      </c>
      <c r="AFG29" t="s">
        <v>836</v>
      </c>
      <c r="AFH29" t="s">
        <v>836</v>
      </c>
      <c r="AFI29" t="s">
        <v>836</v>
      </c>
      <c r="AFJ29" t="s">
        <v>836</v>
      </c>
      <c r="AFK29" t="s">
        <v>836</v>
      </c>
      <c r="AFL29" t="s">
        <v>836</v>
      </c>
      <c r="AFM29" t="s">
        <v>836</v>
      </c>
      <c r="AFN29" t="s">
        <v>836</v>
      </c>
      <c r="AFO29" t="s">
        <v>836</v>
      </c>
      <c r="AFP29" t="s">
        <v>836</v>
      </c>
      <c r="AFQ29" t="s">
        <v>836</v>
      </c>
      <c r="AFR29" t="s">
        <v>836</v>
      </c>
      <c r="AFS29" t="s">
        <v>836</v>
      </c>
      <c r="AFT29" t="s">
        <v>836</v>
      </c>
      <c r="AFU29" t="s">
        <v>836</v>
      </c>
      <c r="AFV29" t="s">
        <v>836</v>
      </c>
      <c r="AFW29" t="s">
        <v>836</v>
      </c>
      <c r="AFX29" t="s">
        <v>836</v>
      </c>
      <c r="AFY29" t="s">
        <v>836</v>
      </c>
      <c r="AFZ29" t="s">
        <v>836</v>
      </c>
      <c r="AGA29" t="s">
        <v>836</v>
      </c>
      <c r="AGB29" t="s">
        <v>836</v>
      </c>
      <c r="AGC29" t="s">
        <v>836</v>
      </c>
      <c r="AGD29" t="s">
        <v>836</v>
      </c>
      <c r="AGE29" t="s">
        <v>836</v>
      </c>
      <c r="AGF29" t="s">
        <v>836</v>
      </c>
      <c r="AGG29" t="s">
        <v>836</v>
      </c>
      <c r="AGH29" t="s">
        <v>836</v>
      </c>
      <c r="AGI29" t="s">
        <v>836</v>
      </c>
      <c r="AGJ29" t="s">
        <v>836</v>
      </c>
      <c r="AGK29" t="s">
        <v>836</v>
      </c>
      <c r="AGL29" t="s">
        <v>836</v>
      </c>
      <c r="AGM29" t="s">
        <v>836</v>
      </c>
      <c r="AGN29" t="s">
        <v>836</v>
      </c>
      <c r="AGO29" t="s">
        <v>836</v>
      </c>
      <c r="AGP29" t="s">
        <v>836</v>
      </c>
      <c r="AGQ29" t="s">
        <v>836</v>
      </c>
      <c r="AGR29" t="s">
        <v>836</v>
      </c>
      <c r="AGS29" t="s">
        <v>836</v>
      </c>
      <c r="AGT29" t="s">
        <v>836</v>
      </c>
      <c r="AGU29" t="s">
        <v>836</v>
      </c>
      <c r="AGV29" t="s">
        <v>836</v>
      </c>
      <c r="AGW29" t="s">
        <v>836</v>
      </c>
      <c r="AGX29" t="s">
        <v>836</v>
      </c>
      <c r="AGY29" t="s">
        <v>836</v>
      </c>
      <c r="AGZ29" t="s">
        <v>836</v>
      </c>
      <c r="AHA29" t="s">
        <v>836</v>
      </c>
      <c r="AHB29" t="s">
        <v>836</v>
      </c>
      <c r="AHC29" t="s">
        <v>836</v>
      </c>
      <c r="AHD29" t="s">
        <v>836</v>
      </c>
      <c r="AHE29" t="s">
        <v>836</v>
      </c>
      <c r="AHF29" t="s">
        <v>836</v>
      </c>
      <c r="AHG29" t="s">
        <v>836</v>
      </c>
      <c r="AHH29" t="s">
        <v>836</v>
      </c>
      <c r="AHI29" t="s">
        <v>836</v>
      </c>
      <c r="AHJ29" t="s">
        <v>836</v>
      </c>
      <c r="AHK29" t="s">
        <v>836</v>
      </c>
      <c r="AHL29" t="s">
        <v>836</v>
      </c>
      <c r="AHM29" t="s">
        <v>836</v>
      </c>
      <c r="AHN29" t="s">
        <v>836</v>
      </c>
      <c r="AHO29" t="s">
        <v>836</v>
      </c>
      <c r="AHP29" t="s">
        <v>836</v>
      </c>
      <c r="AHQ29" t="s">
        <v>836</v>
      </c>
      <c r="AHR29" t="s">
        <v>836</v>
      </c>
      <c r="AHS29" t="s">
        <v>836</v>
      </c>
      <c r="AHT29" t="s">
        <v>836</v>
      </c>
      <c r="AHU29" t="s">
        <v>836</v>
      </c>
      <c r="AHV29" t="s">
        <v>836</v>
      </c>
      <c r="AHW29" t="s">
        <v>836</v>
      </c>
      <c r="AHX29" t="s">
        <v>836</v>
      </c>
      <c r="AHY29" t="s">
        <v>836</v>
      </c>
      <c r="AHZ29" t="s">
        <v>836</v>
      </c>
      <c r="AIA29" t="s">
        <v>836</v>
      </c>
      <c r="AIB29" t="s">
        <v>836</v>
      </c>
      <c r="AIC29" t="s">
        <v>836</v>
      </c>
      <c r="AID29" t="s">
        <v>836</v>
      </c>
      <c r="AIE29" t="s">
        <v>836</v>
      </c>
      <c r="AIF29" t="s">
        <v>836</v>
      </c>
      <c r="AIG29" t="s">
        <v>836</v>
      </c>
      <c r="AIH29" t="s">
        <v>836</v>
      </c>
      <c r="AII29" t="s">
        <v>836</v>
      </c>
      <c r="AIJ29" t="s">
        <v>836</v>
      </c>
      <c r="AIK29" t="s">
        <v>836</v>
      </c>
      <c r="AIL29" t="s">
        <v>836</v>
      </c>
      <c r="AIM29" t="s">
        <v>836</v>
      </c>
      <c r="AIN29" t="s">
        <v>836</v>
      </c>
      <c r="AIO29" t="s">
        <v>836</v>
      </c>
      <c r="AIP29" t="s">
        <v>836</v>
      </c>
      <c r="AIQ29" t="s">
        <v>836</v>
      </c>
      <c r="AIR29" t="s">
        <v>836</v>
      </c>
      <c r="AIS29" t="s">
        <v>836</v>
      </c>
      <c r="AIT29" t="s">
        <v>836</v>
      </c>
      <c r="AIU29" t="s">
        <v>836</v>
      </c>
      <c r="AIV29" t="s">
        <v>836</v>
      </c>
      <c r="AIW29" t="s">
        <v>836</v>
      </c>
      <c r="AIX29" t="s">
        <v>836</v>
      </c>
      <c r="AIY29" t="s">
        <v>836</v>
      </c>
      <c r="AIZ29" t="s">
        <v>836</v>
      </c>
      <c r="AJA29" t="s">
        <v>836</v>
      </c>
      <c r="AJB29" t="s">
        <v>836</v>
      </c>
      <c r="AJC29" t="s">
        <v>836</v>
      </c>
      <c r="AJD29" t="s">
        <v>836</v>
      </c>
      <c r="AJE29" t="s">
        <v>836</v>
      </c>
      <c r="AJF29" t="s">
        <v>836</v>
      </c>
      <c r="AJG29" t="s">
        <v>836</v>
      </c>
      <c r="AJH29" t="s">
        <v>836</v>
      </c>
      <c r="AJI29" t="s">
        <v>836</v>
      </c>
      <c r="AJJ29" t="s">
        <v>836</v>
      </c>
      <c r="AJK29" t="s">
        <v>836</v>
      </c>
      <c r="AJL29" t="s">
        <v>836</v>
      </c>
      <c r="AJM29" t="s">
        <v>836</v>
      </c>
      <c r="AJN29" t="s">
        <v>836</v>
      </c>
      <c r="AJO29" t="s">
        <v>836</v>
      </c>
      <c r="AJP29" t="s">
        <v>836</v>
      </c>
      <c r="AJQ29" t="s">
        <v>836</v>
      </c>
      <c r="AJR29" t="s">
        <v>836</v>
      </c>
      <c r="AJS29" t="s">
        <v>836</v>
      </c>
      <c r="AJT29" t="s">
        <v>836</v>
      </c>
      <c r="AJU29" t="s">
        <v>836</v>
      </c>
      <c r="AJV29" t="s">
        <v>836</v>
      </c>
      <c r="AJW29" t="s">
        <v>836</v>
      </c>
      <c r="AJX29" t="s">
        <v>836</v>
      </c>
      <c r="AJY29" t="s">
        <v>836</v>
      </c>
      <c r="AJZ29" t="s">
        <v>836</v>
      </c>
      <c r="AKA29" t="s">
        <v>836</v>
      </c>
      <c r="AKB29" t="s">
        <v>836</v>
      </c>
      <c r="AKC29" t="s">
        <v>836</v>
      </c>
      <c r="AKD29" t="s">
        <v>836</v>
      </c>
      <c r="AKE29" t="s">
        <v>836</v>
      </c>
      <c r="AKF29" t="s">
        <v>836</v>
      </c>
      <c r="AKG29" t="s">
        <v>836</v>
      </c>
      <c r="AKH29" t="s">
        <v>836</v>
      </c>
      <c r="AKI29" t="s">
        <v>836</v>
      </c>
      <c r="AKJ29" t="s">
        <v>836</v>
      </c>
      <c r="AKK29" t="s">
        <v>836</v>
      </c>
      <c r="AKL29" t="s">
        <v>836</v>
      </c>
      <c r="AKM29" t="s">
        <v>836</v>
      </c>
      <c r="AKN29" t="s">
        <v>836</v>
      </c>
      <c r="AKO29" t="s">
        <v>836</v>
      </c>
      <c r="AKP29" t="s">
        <v>836</v>
      </c>
      <c r="AKQ29" t="s">
        <v>836</v>
      </c>
      <c r="AKR29" t="s">
        <v>836</v>
      </c>
      <c r="AKS29" t="s">
        <v>836</v>
      </c>
      <c r="AKT29" t="s">
        <v>836</v>
      </c>
      <c r="AKU29" t="s">
        <v>836</v>
      </c>
      <c r="AKV29" t="s">
        <v>836</v>
      </c>
      <c r="AKW29" t="s">
        <v>836</v>
      </c>
      <c r="AKX29" t="s">
        <v>836</v>
      </c>
      <c r="AKY29" t="s">
        <v>836</v>
      </c>
      <c r="AKZ29" t="s">
        <v>836</v>
      </c>
      <c r="ALA29" t="s">
        <v>836</v>
      </c>
      <c r="ALB29" t="s">
        <v>836</v>
      </c>
      <c r="ALC29" t="s">
        <v>836</v>
      </c>
      <c r="ALD29" t="s">
        <v>836</v>
      </c>
      <c r="ALE29" t="s">
        <v>836</v>
      </c>
      <c r="ALF29" t="s">
        <v>836</v>
      </c>
      <c r="ALG29" t="s">
        <v>836</v>
      </c>
      <c r="ALH29" t="s">
        <v>836</v>
      </c>
      <c r="ALI29" t="s">
        <v>836</v>
      </c>
      <c r="ALJ29" t="s">
        <v>836</v>
      </c>
      <c r="ALK29" t="s">
        <v>836</v>
      </c>
      <c r="ALL29" t="s">
        <v>836</v>
      </c>
      <c r="ALM29" t="s">
        <v>836</v>
      </c>
      <c r="ALN29" t="s">
        <v>836</v>
      </c>
      <c r="ALO29" t="s">
        <v>836</v>
      </c>
      <c r="ALP29" t="s">
        <v>836</v>
      </c>
      <c r="ALQ29" t="s">
        <v>836</v>
      </c>
      <c r="ALR29" t="s">
        <v>836</v>
      </c>
      <c r="ALS29" t="s">
        <v>836</v>
      </c>
      <c r="ALT29" t="s">
        <v>836</v>
      </c>
      <c r="ALU29" t="s">
        <v>836</v>
      </c>
      <c r="ALV29" t="s">
        <v>836</v>
      </c>
      <c r="ALW29" t="s">
        <v>836</v>
      </c>
      <c r="ALX29" t="s">
        <v>836</v>
      </c>
      <c r="ALY29" t="s">
        <v>836</v>
      </c>
      <c r="ALZ29" t="s">
        <v>836</v>
      </c>
      <c r="AMA29" t="s">
        <v>836</v>
      </c>
      <c r="AMB29" t="s">
        <v>836</v>
      </c>
      <c r="AMC29" t="s">
        <v>836</v>
      </c>
      <c r="AMD29" t="s">
        <v>836</v>
      </c>
      <c r="AME29" t="s">
        <v>836</v>
      </c>
      <c r="AMF29" t="s">
        <v>836</v>
      </c>
      <c r="AMG29" t="s">
        <v>836</v>
      </c>
      <c r="AMH29" t="s">
        <v>836</v>
      </c>
      <c r="AMI29" t="s">
        <v>836</v>
      </c>
      <c r="AMJ29" t="s">
        <v>836</v>
      </c>
      <c r="AMK29" t="s">
        <v>836</v>
      </c>
      <c r="AML29" t="s">
        <v>836</v>
      </c>
      <c r="AMM29" t="s">
        <v>836</v>
      </c>
      <c r="AMN29" t="s">
        <v>836</v>
      </c>
      <c r="AMO29" t="s">
        <v>836</v>
      </c>
      <c r="AMP29" t="s">
        <v>836</v>
      </c>
      <c r="AMQ29" t="s">
        <v>836</v>
      </c>
      <c r="AMR29" t="s">
        <v>836</v>
      </c>
      <c r="AMS29" t="s">
        <v>836</v>
      </c>
      <c r="AMT29" t="s">
        <v>836</v>
      </c>
      <c r="AMU29" t="s">
        <v>836</v>
      </c>
      <c r="AMV29" t="s">
        <v>836</v>
      </c>
      <c r="AMW29" t="s">
        <v>836</v>
      </c>
      <c r="AMX29" t="s">
        <v>836</v>
      </c>
      <c r="AMY29" t="s">
        <v>836</v>
      </c>
      <c r="AMZ29" t="s">
        <v>836</v>
      </c>
      <c r="ANA29" t="s">
        <v>836</v>
      </c>
      <c r="ANB29" t="s">
        <v>836</v>
      </c>
      <c r="ANC29" t="s">
        <v>836</v>
      </c>
      <c r="AND29" t="s">
        <v>836</v>
      </c>
      <c r="ANE29" t="s">
        <v>836</v>
      </c>
      <c r="ANF29" t="s">
        <v>836</v>
      </c>
      <c r="ANG29" t="s">
        <v>836</v>
      </c>
      <c r="ANH29" t="s">
        <v>836</v>
      </c>
      <c r="ANI29" t="s">
        <v>836</v>
      </c>
      <c r="ANJ29" t="s">
        <v>836</v>
      </c>
      <c r="ANK29" t="s">
        <v>836</v>
      </c>
      <c r="ANL29" t="s">
        <v>836</v>
      </c>
      <c r="ANM29" t="s">
        <v>836</v>
      </c>
      <c r="ANN29" t="s">
        <v>836</v>
      </c>
      <c r="ANO29" t="s">
        <v>836</v>
      </c>
      <c r="ANP29" t="s">
        <v>836</v>
      </c>
      <c r="ANQ29" t="s">
        <v>836</v>
      </c>
      <c r="ANR29" t="s">
        <v>836</v>
      </c>
      <c r="ANS29" t="s">
        <v>836</v>
      </c>
      <c r="ANT29" t="s">
        <v>836</v>
      </c>
      <c r="ANU29" t="s">
        <v>836</v>
      </c>
      <c r="ANV29" t="s">
        <v>836</v>
      </c>
      <c r="ANW29" t="s">
        <v>836</v>
      </c>
      <c r="ANX29" t="s">
        <v>836</v>
      </c>
      <c r="ANY29" t="s">
        <v>836</v>
      </c>
      <c r="ANZ29" t="s">
        <v>836</v>
      </c>
      <c r="AOA29" t="s">
        <v>836</v>
      </c>
      <c r="AOB29" t="s">
        <v>836</v>
      </c>
      <c r="AOC29" t="s">
        <v>836</v>
      </c>
      <c r="AOD29" t="s">
        <v>836</v>
      </c>
      <c r="AOE29" t="s">
        <v>836</v>
      </c>
      <c r="AOF29" t="s">
        <v>836</v>
      </c>
      <c r="AOG29" t="s">
        <v>836</v>
      </c>
      <c r="AOH29" t="s">
        <v>836</v>
      </c>
      <c r="AOI29" t="s">
        <v>836</v>
      </c>
      <c r="AOJ29" t="s">
        <v>836</v>
      </c>
      <c r="AOK29" t="s">
        <v>836</v>
      </c>
      <c r="AOL29" t="s">
        <v>836</v>
      </c>
      <c r="AOM29" t="s">
        <v>836</v>
      </c>
      <c r="AON29" t="s">
        <v>836</v>
      </c>
      <c r="AOO29" t="s">
        <v>836</v>
      </c>
      <c r="AOP29" t="s">
        <v>836</v>
      </c>
      <c r="AOQ29" t="s">
        <v>836</v>
      </c>
      <c r="AOR29" t="s">
        <v>836</v>
      </c>
      <c r="AOS29" t="s">
        <v>836</v>
      </c>
      <c r="AOT29" t="s">
        <v>836</v>
      </c>
      <c r="AOU29" t="s">
        <v>836</v>
      </c>
      <c r="AOV29" t="s">
        <v>836</v>
      </c>
      <c r="AOW29" t="s">
        <v>836</v>
      </c>
      <c r="AOX29" t="s">
        <v>836</v>
      </c>
      <c r="AOY29" t="s">
        <v>836</v>
      </c>
      <c r="AOZ29" t="s">
        <v>836</v>
      </c>
      <c r="APA29" t="s">
        <v>836</v>
      </c>
      <c r="APB29" t="s">
        <v>836</v>
      </c>
      <c r="APC29" t="s">
        <v>836</v>
      </c>
      <c r="APD29" t="s">
        <v>836</v>
      </c>
      <c r="APE29" t="s">
        <v>836</v>
      </c>
      <c r="APF29" t="s">
        <v>836</v>
      </c>
      <c r="APG29" t="s">
        <v>836</v>
      </c>
      <c r="APH29" t="s">
        <v>836</v>
      </c>
      <c r="API29" t="s">
        <v>836</v>
      </c>
      <c r="APJ29" t="s">
        <v>836</v>
      </c>
      <c r="APK29" t="s">
        <v>836</v>
      </c>
      <c r="APL29" t="s">
        <v>836</v>
      </c>
      <c r="APM29" t="s">
        <v>836</v>
      </c>
      <c r="APN29" t="s">
        <v>836</v>
      </c>
      <c r="APO29" t="s">
        <v>836</v>
      </c>
      <c r="APP29" t="s">
        <v>836</v>
      </c>
      <c r="APQ29" t="s">
        <v>836</v>
      </c>
      <c r="APR29" t="s">
        <v>836</v>
      </c>
      <c r="APS29" t="s">
        <v>836</v>
      </c>
      <c r="APT29" t="s">
        <v>836</v>
      </c>
      <c r="APU29" t="s">
        <v>836</v>
      </c>
      <c r="APV29" t="s">
        <v>836</v>
      </c>
      <c r="APW29" t="s">
        <v>836</v>
      </c>
      <c r="APX29" t="s">
        <v>836</v>
      </c>
      <c r="APY29" t="s">
        <v>836</v>
      </c>
      <c r="APZ29" t="s">
        <v>836</v>
      </c>
      <c r="AQA29" t="s">
        <v>836</v>
      </c>
      <c r="AQB29" t="s">
        <v>836</v>
      </c>
      <c r="AQC29" t="s">
        <v>836</v>
      </c>
      <c r="AQD29" t="s">
        <v>836</v>
      </c>
      <c r="AQE29" t="s">
        <v>836</v>
      </c>
      <c r="AQF29" t="s">
        <v>836</v>
      </c>
      <c r="AQG29" t="s">
        <v>836</v>
      </c>
      <c r="AQH29" t="s">
        <v>836</v>
      </c>
      <c r="AQI29" t="s">
        <v>836</v>
      </c>
      <c r="AQJ29" t="s">
        <v>836</v>
      </c>
      <c r="AQK29" t="s">
        <v>836</v>
      </c>
      <c r="AQL29" t="s">
        <v>836</v>
      </c>
      <c r="AQM29" t="s">
        <v>836</v>
      </c>
      <c r="AQN29" t="s">
        <v>836</v>
      </c>
      <c r="AQO29" t="s">
        <v>836</v>
      </c>
      <c r="AQP29" t="s">
        <v>836</v>
      </c>
      <c r="AQQ29" t="s">
        <v>836</v>
      </c>
      <c r="AQR29" t="s">
        <v>836</v>
      </c>
      <c r="AQS29" t="s">
        <v>836</v>
      </c>
      <c r="AQT29" t="s">
        <v>836</v>
      </c>
      <c r="AQU29" t="s">
        <v>836</v>
      </c>
      <c r="AQV29" t="s">
        <v>836</v>
      </c>
      <c r="AQW29" t="s">
        <v>836</v>
      </c>
      <c r="AQX29" t="s">
        <v>836</v>
      </c>
      <c r="AQY29" t="s">
        <v>836</v>
      </c>
      <c r="AQZ29" t="s">
        <v>836</v>
      </c>
      <c r="ARA29" t="s">
        <v>836</v>
      </c>
      <c r="ARB29" t="s">
        <v>836</v>
      </c>
      <c r="ARC29" t="s">
        <v>836</v>
      </c>
      <c r="ARD29" t="s">
        <v>836</v>
      </c>
      <c r="ARE29" t="s">
        <v>836</v>
      </c>
      <c r="ARF29" t="s">
        <v>836</v>
      </c>
      <c r="ARG29" t="s">
        <v>836</v>
      </c>
      <c r="ARH29" t="s">
        <v>836</v>
      </c>
      <c r="ARI29" t="s">
        <v>836</v>
      </c>
      <c r="ARJ29" t="s">
        <v>836</v>
      </c>
      <c r="ARK29" t="s">
        <v>836</v>
      </c>
      <c r="ARL29" t="s">
        <v>836</v>
      </c>
      <c r="ARM29" t="s">
        <v>836</v>
      </c>
      <c r="ARN29" t="s">
        <v>836</v>
      </c>
      <c r="ARO29" t="s">
        <v>836</v>
      </c>
      <c r="ARP29" t="s">
        <v>836</v>
      </c>
      <c r="ARQ29" t="s">
        <v>836</v>
      </c>
      <c r="ARR29" t="s">
        <v>836</v>
      </c>
      <c r="ARS29" t="s">
        <v>836</v>
      </c>
      <c r="ART29" t="s">
        <v>836</v>
      </c>
      <c r="ARU29" t="s">
        <v>836</v>
      </c>
      <c r="ARV29" t="s">
        <v>836</v>
      </c>
      <c r="ARW29" t="s">
        <v>836</v>
      </c>
      <c r="ARX29" t="s">
        <v>836</v>
      </c>
      <c r="ARY29" t="s">
        <v>836</v>
      </c>
      <c r="ARZ29" t="s">
        <v>836</v>
      </c>
      <c r="ASA29" t="s">
        <v>836</v>
      </c>
      <c r="ASB29" t="s">
        <v>836</v>
      </c>
      <c r="ASC29" t="s">
        <v>836</v>
      </c>
      <c r="ASD29" t="s">
        <v>836</v>
      </c>
      <c r="ASE29" t="s">
        <v>836</v>
      </c>
      <c r="ASF29" t="s">
        <v>836</v>
      </c>
      <c r="ASG29" t="s">
        <v>836</v>
      </c>
      <c r="ASH29" t="s">
        <v>836</v>
      </c>
      <c r="ASI29" t="s">
        <v>836</v>
      </c>
      <c r="ASJ29" t="s">
        <v>836</v>
      </c>
      <c r="ASK29" t="s">
        <v>836</v>
      </c>
      <c r="ASL29" t="s">
        <v>836</v>
      </c>
      <c r="ASM29" t="s">
        <v>836</v>
      </c>
      <c r="ASN29" t="s">
        <v>836</v>
      </c>
      <c r="ASO29" t="s">
        <v>836</v>
      </c>
      <c r="ASP29" t="s">
        <v>836</v>
      </c>
      <c r="ASQ29" t="s">
        <v>836</v>
      </c>
      <c r="ASR29" t="s">
        <v>836</v>
      </c>
      <c r="ASS29" t="s">
        <v>836</v>
      </c>
      <c r="AST29" t="s">
        <v>836</v>
      </c>
      <c r="ASU29" t="s">
        <v>836</v>
      </c>
      <c r="ASV29" t="s">
        <v>836</v>
      </c>
      <c r="ASW29" t="s">
        <v>836</v>
      </c>
      <c r="ASX29" t="s">
        <v>836</v>
      </c>
      <c r="ASY29" t="s">
        <v>836</v>
      </c>
      <c r="ASZ29" t="s">
        <v>836</v>
      </c>
      <c r="ATA29" t="s">
        <v>836</v>
      </c>
      <c r="ATB29" t="s">
        <v>836</v>
      </c>
      <c r="ATC29" t="s">
        <v>836</v>
      </c>
      <c r="ATD29" t="s">
        <v>836</v>
      </c>
      <c r="ATE29" t="s">
        <v>836</v>
      </c>
      <c r="ATF29" t="s">
        <v>836</v>
      </c>
      <c r="ATG29" t="s">
        <v>836</v>
      </c>
      <c r="ATH29" t="s">
        <v>836</v>
      </c>
      <c r="ATI29" t="s">
        <v>836</v>
      </c>
      <c r="ATJ29" t="s">
        <v>836</v>
      </c>
      <c r="ATK29" t="s">
        <v>836</v>
      </c>
      <c r="ATL29" t="s">
        <v>836</v>
      </c>
      <c r="ATM29" t="s">
        <v>836</v>
      </c>
      <c r="ATN29" t="s">
        <v>836</v>
      </c>
      <c r="ATO29" t="s">
        <v>836</v>
      </c>
      <c r="ATP29" t="s">
        <v>836</v>
      </c>
      <c r="ATQ29" t="s">
        <v>836</v>
      </c>
      <c r="ATR29" t="s">
        <v>836</v>
      </c>
      <c r="ATS29" t="s">
        <v>836</v>
      </c>
      <c r="ATT29" t="s">
        <v>836</v>
      </c>
      <c r="ATU29" t="s">
        <v>836</v>
      </c>
      <c r="ATV29" t="s">
        <v>836</v>
      </c>
      <c r="ATW29" t="s">
        <v>836</v>
      </c>
      <c r="ATX29" t="s">
        <v>836</v>
      </c>
      <c r="ATY29" t="s">
        <v>836</v>
      </c>
      <c r="ATZ29" t="s">
        <v>836</v>
      </c>
      <c r="AUA29" t="s">
        <v>836</v>
      </c>
      <c r="AUB29" t="s">
        <v>836</v>
      </c>
      <c r="AUC29" t="s">
        <v>836</v>
      </c>
      <c r="AUD29" t="s">
        <v>836</v>
      </c>
      <c r="AUE29" t="s">
        <v>836</v>
      </c>
      <c r="AUF29" t="s">
        <v>836</v>
      </c>
      <c r="AUG29" t="s">
        <v>836</v>
      </c>
      <c r="AUH29" t="s">
        <v>836</v>
      </c>
      <c r="AUI29" t="s">
        <v>836</v>
      </c>
      <c r="AUJ29" t="s">
        <v>836</v>
      </c>
      <c r="AUK29" t="s">
        <v>836</v>
      </c>
      <c r="AUL29" t="s">
        <v>836</v>
      </c>
      <c r="AUM29" t="s">
        <v>836</v>
      </c>
      <c r="AUN29" t="s">
        <v>836</v>
      </c>
      <c r="AUO29" t="s">
        <v>836</v>
      </c>
      <c r="AUP29" t="s">
        <v>836</v>
      </c>
      <c r="AUQ29" t="s">
        <v>836</v>
      </c>
      <c r="AUR29" t="s">
        <v>836</v>
      </c>
      <c r="AUS29" t="s">
        <v>836</v>
      </c>
      <c r="AUT29" t="s">
        <v>836</v>
      </c>
      <c r="AUU29" t="s">
        <v>836</v>
      </c>
      <c r="AUV29" t="s">
        <v>836</v>
      </c>
      <c r="AUW29" t="s">
        <v>836</v>
      </c>
      <c r="AUX29" t="s">
        <v>836</v>
      </c>
      <c r="AUY29" t="s">
        <v>836</v>
      </c>
      <c r="AUZ29" t="s">
        <v>836</v>
      </c>
      <c r="AVA29" t="s">
        <v>836</v>
      </c>
      <c r="AVB29" t="s">
        <v>836</v>
      </c>
      <c r="AVC29" t="s">
        <v>836</v>
      </c>
      <c r="AVD29" t="s">
        <v>836</v>
      </c>
      <c r="AVE29" t="s">
        <v>836</v>
      </c>
      <c r="AVF29" t="s">
        <v>836</v>
      </c>
      <c r="AVG29" t="s">
        <v>836</v>
      </c>
      <c r="AVH29" t="s">
        <v>836</v>
      </c>
      <c r="AVI29" t="s">
        <v>836</v>
      </c>
      <c r="AVJ29" t="s">
        <v>836</v>
      </c>
      <c r="AVK29" t="s">
        <v>836</v>
      </c>
      <c r="AVL29" t="s">
        <v>836</v>
      </c>
      <c r="AVM29" t="s">
        <v>836</v>
      </c>
      <c r="AVN29" t="s">
        <v>836</v>
      </c>
      <c r="AVO29" t="s">
        <v>836</v>
      </c>
      <c r="AVP29" t="s">
        <v>836</v>
      </c>
      <c r="AVQ29" t="s">
        <v>836</v>
      </c>
      <c r="AVR29" t="s">
        <v>836</v>
      </c>
      <c r="AVS29" t="s">
        <v>836</v>
      </c>
      <c r="AVT29" t="s">
        <v>836</v>
      </c>
      <c r="AVU29" t="s">
        <v>836</v>
      </c>
      <c r="AVV29" t="s">
        <v>836</v>
      </c>
      <c r="AVW29" t="s">
        <v>836</v>
      </c>
      <c r="AVX29" t="s">
        <v>836</v>
      </c>
      <c r="AVY29" t="s">
        <v>836</v>
      </c>
      <c r="AVZ29" t="s">
        <v>836</v>
      </c>
      <c r="AWA29" t="s">
        <v>836</v>
      </c>
      <c r="AWB29" t="s">
        <v>836</v>
      </c>
      <c r="AWC29" t="s">
        <v>836</v>
      </c>
      <c r="AWD29" t="s">
        <v>836</v>
      </c>
      <c r="AWE29" t="s">
        <v>836</v>
      </c>
      <c r="AWF29" t="s">
        <v>836</v>
      </c>
      <c r="AWG29" t="s">
        <v>836</v>
      </c>
      <c r="AWH29" t="s">
        <v>836</v>
      </c>
      <c r="AWI29" t="s">
        <v>836</v>
      </c>
      <c r="AWJ29" t="s">
        <v>836</v>
      </c>
      <c r="AWK29" t="s">
        <v>836</v>
      </c>
      <c r="AWL29" t="s">
        <v>836</v>
      </c>
      <c r="AWM29" t="s">
        <v>836</v>
      </c>
      <c r="AWN29" t="s">
        <v>836</v>
      </c>
      <c r="AWO29" t="s">
        <v>836</v>
      </c>
      <c r="AWP29" t="s">
        <v>836</v>
      </c>
      <c r="AWQ29" t="s">
        <v>836</v>
      </c>
      <c r="AWR29" t="s">
        <v>836</v>
      </c>
      <c r="AWS29" t="s">
        <v>836</v>
      </c>
      <c r="AWT29" t="s">
        <v>836</v>
      </c>
      <c r="AWU29" t="s">
        <v>836</v>
      </c>
      <c r="AWV29" t="s">
        <v>836</v>
      </c>
      <c r="AWW29" t="s">
        <v>836</v>
      </c>
      <c r="AWX29" t="s">
        <v>836</v>
      </c>
      <c r="AWY29" t="s">
        <v>836</v>
      </c>
      <c r="AWZ29" t="s">
        <v>836</v>
      </c>
      <c r="AXA29" t="s">
        <v>836</v>
      </c>
      <c r="AXB29" t="s">
        <v>836</v>
      </c>
      <c r="AXC29" t="s">
        <v>836</v>
      </c>
      <c r="AXD29" t="s">
        <v>836</v>
      </c>
      <c r="AXE29" t="s">
        <v>836</v>
      </c>
      <c r="AXF29" t="s">
        <v>836</v>
      </c>
      <c r="AXG29" t="s">
        <v>836</v>
      </c>
      <c r="AXH29" t="s">
        <v>836</v>
      </c>
      <c r="AXI29" t="s">
        <v>836</v>
      </c>
      <c r="AXJ29" t="s">
        <v>836</v>
      </c>
      <c r="AXK29" t="s">
        <v>836</v>
      </c>
      <c r="AXL29" t="s">
        <v>836</v>
      </c>
      <c r="AXM29" t="s">
        <v>836</v>
      </c>
      <c r="AXN29" t="s">
        <v>836</v>
      </c>
      <c r="AXO29" t="s">
        <v>836</v>
      </c>
      <c r="AXP29" t="s">
        <v>836</v>
      </c>
      <c r="AXQ29" t="s">
        <v>836</v>
      </c>
      <c r="AXR29" t="s">
        <v>836</v>
      </c>
      <c r="AXS29" t="s">
        <v>836</v>
      </c>
      <c r="AXT29" t="s">
        <v>836</v>
      </c>
      <c r="AXU29" t="s">
        <v>836</v>
      </c>
      <c r="AXV29" t="s">
        <v>836</v>
      </c>
      <c r="AXW29" t="s">
        <v>836</v>
      </c>
      <c r="AXX29" t="s">
        <v>836</v>
      </c>
      <c r="AXY29" t="s">
        <v>836</v>
      </c>
      <c r="AXZ29" t="s">
        <v>836</v>
      </c>
      <c r="AYA29" t="s">
        <v>836</v>
      </c>
      <c r="AYB29" t="s">
        <v>836</v>
      </c>
      <c r="AYC29" t="s">
        <v>836</v>
      </c>
      <c r="AYD29" t="s">
        <v>836</v>
      </c>
      <c r="AYE29" t="s">
        <v>836</v>
      </c>
      <c r="AYF29" t="s">
        <v>836</v>
      </c>
      <c r="AYG29" t="s">
        <v>836</v>
      </c>
      <c r="AYH29" t="s">
        <v>836</v>
      </c>
      <c r="AYI29" t="s">
        <v>836</v>
      </c>
      <c r="AYJ29" t="s">
        <v>836</v>
      </c>
      <c r="AYK29" t="s">
        <v>836</v>
      </c>
      <c r="AYL29" t="s">
        <v>836</v>
      </c>
      <c r="AYM29" t="s">
        <v>836</v>
      </c>
      <c r="AYN29" t="s">
        <v>836</v>
      </c>
      <c r="AYO29" t="s">
        <v>836</v>
      </c>
      <c r="AYP29" t="s">
        <v>836</v>
      </c>
      <c r="AYQ29" t="s">
        <v>836</v>
      </c>
      <c r="AYR29" t="s">
        <v>836</v>
      </c>
      <c r="AYS29" t="s">
        <v>836</v>
      </c>
      <c r="AYT29" t="s">
        <v>836</v>
      </c>
      <c r="AYU29" t="s">
        <v>836</v>
      </c>
      <c r="AYV29" t="s">
        <v>836</v>
      </c>
      <c r="AYW29" t="s">
        <v>836</v>
      </c>
      <c r="AYX29" t="s">
        <v>836</v>
      </c>
      <c r="AYY29" t="s">
        <v>836</v>
      </c>
      <c r="AYZ29" t="s">
        <v>836</v>
      </c>
      <c r="AZA29" t="s">
        <v>836</v>
      </c>
      <c r="AZB29" t="s">
        <v>836</v>
      </c>
      <c r="AZC29" t="s">
        <v>836</v>
      </c>
      <c r="AZD29" t="s">
        <v>836</v>
      </c>
      <c r="AZE29" t="s">
        <v>836</v>
      </c>
      <c r="AZF29" t="s">
        <v>836</v>
      </c>
      <c r="AZG29" t="s">
        <v>836</v>
      </c>
      <c r="AZH29" t="s">
        <v>836</v>
      </c>
      <c r="AZI29" t="s">
        <v>836</v>
      </c>
      <c r="AZJ29" t="s">
        <v>836</v>
      </c>
      <c r="AZK29" t="s">
        <v>836</v>
      </c>
      <c r="AZL29" t="s">
        <v>836</v>
      </c>
      <c r="AZM29" t="s">
        <v>836</v>
      </c>
      <c r="AZN29" t="s">
        <v>836</v>
      </c>
      <c r="AZO29" t="s">
        <v>836</v>
      </c>
      <c r="AZP29" t="s">
        <v>836</v>
      </c>
      <c r="AZQ29" t="s">
        <v>836</v>
      </c>
      <c r="AZR29" t="s">
        <v>836</v>
      </c>
      <c r="AZS29" t="s">
        <v>836</v>
      </c>
      <c r="AZT29" t="s">
        <v>836</v>
      </c>
      <c r="AZU29" t="s">
        <v>836</v>
      </c>
      <c r="AZV29" t="s">
        <v>836</v>
      </c>
      <c r="AZW29" t="s">
        <v>836</v>
      </c>
      <c r="AZX29" t="s">
        <v>836</v>
      </c>
      <c r="AZY29" t="s">
        <v>836</v>
      </c>
      <c r="AZZ29" t="s">
        <v>836</v>
      </c>
      <c r="BAA29" t="s">
        <v>836</v>
      </c>
      <c r="BAB29" t="s">
        <v>836</v>
      </c>
      <c r="BAC29" t="s">
        <v>836</v>
      </c>
      <c r="BAD29" t="s">
        <v>836</v>
      </c>
      <c r="BAE29" t="s">
        <v>836</v>
      </c>
      <c r="BAF29" t="s">
        <v>836</v>
      </c>
      <c r="BAG29" t="s">
        <v>836</v>
      </c>
      <c r="BAH29" t="s">
        <v>836</v>
      </c>
      <c r="BAI29" t="s">
        <v>836</v>
      </c>
      <c r="BAJ29" t="s">
        <v>836</v>
      </c>
      <c r="BAK29" t="s">
        <v>836</v>
      </c>
      <c r="BAL29" t="s">
        <v>836</v>
      </c>
      <c r="BAM29" t="s">
        <v>836</v>
      </c>
      <c r="BAN29" t="s">
        <v>836</v>
      </c>
      <c r="BAO29" t="s">
        <v>836</v>
      </c>
      <c r="BAP29" t="s">
        <v>836</v>
      </c>
      <c r="BAQ29" t="s">
        <v>836</v>
      </c>
      <c r="BAR29" t="s">
        <v>836</v>
      </c>
      <c r="BAS29" t="s">
        <v>836</v>
      </c>
      <c r="BAT29" t="s">
        <v>836</v>
      </c>
      <c r="BAU29" t="s">
        <v>836</v>
      </c>
      <c r="BAV29" t="s">
        <v>836</v>
      </c>
      <c r="BAW29" t="s">
        <v>836</v>
      </c>
      <c r="BAX29" t="s">
        <v>836</v>
      </c>
      <c r="BAY29" t="s">
        <v>836</v>
      </c>
      <c r="BAZ29" t="s">
        <v>836</v>
      </c>
      <c r="BBA29" t="s">
        <v>836</v>
      </c>
      <c r="BBB29" t="s">
        <v>836</v>
      </c>
      <c r="BBC29" t="s">
        <v>836</v>
      </c>
      <c r="BBD29" t="s">
        <v>836</v>
      </c>
      <c r="BBE29" t="s">
        <v>836</v>
      </c>
      <c r="BBF29" t="s">
        <v>836</v>
      </c>
      <c r="BBG29" t="s">
        <v>836</v>
      </c>
      <c r="BBH29" t="s">
        <v>836</v>
      </c>
      <c r="BBI29" t="s">
        <v>836</v>
      </c>
      <c r="BBJ29" t="s">
        <v>836</v>
      </c>
      <c r="BBK29" t="s">
        <v>836</v>
      </c>
      <c r="BBL29" t="s">
        <v>836</v>
      </c>
      <c r="BBM29" t="s">
        <v>836</v>
      </c>
      <c r="BBN29" t="s">
        <v>836</v>
      </c>
      <c r="BBO29" t="s">
        <v>836</v>
      </c>
      <c r="BBP29" t="s">
        <v>836</v>
      </c>
      <c r="BBQ29" t="s">
        <v>836</v>
      </c>
      <c r="BBR29" t="s">
        <v>836</v>
      </c>
      <c r="BBS29" t="s">
        <v>836</v>
      </c>
      <c r="BBT29" t="s">
        <v>836</v>
      </c>
      <c r="BBU29" t="s">
        <v>836</v>
      </c>
      <c r="BBV29" t="s">
        <v>836</v>
      </c>
      <c r="BBW29" t="s">
        <v>836</v>
      </c>
      <c r="BBX29" t="s">
        <v>836</v>
      </c>
      <c r="BBY29" t="s">
        <v>836</v>
      </c>
      <c r="BBZ29" t="s">
        <v>836</v>
      </c>
      <c r="BCA29" t="s">
        <v>836</v>
      </c>
      <c r="BCB29" t="s">
        <v>836</v>
      </c>
      <c r="BCC29" t="s">
        <v>836</v>
      </c>
      <c r="BCD29" t="s">
        <v>836</v>
      </c>
      <c r="BCE29" t="s">
        <v>836</v>
      </c>
      <c r="BCF29" t="s">
        <v>836</v>
      </c>
      <c r="BCG29" t="s">
        <v>836</v>
      </c>
      <c r="BCH29" t="s">
        <v>836</v>
      </c>
      <c r="BCI29" t="s">
        <v>836</v>
      </c>
      <c r="BCJ29" t="s">
        <v>836</v>
      </c>
      <c r="BCK29" t="s">
        <v>836</v>
      </c>
      <c r="BCL29" t="s">
        <v>836</v>
      </c>
      <c r="BCM29" t="s">
        <v>836</v>
      </c>
      <c r="BCN29" t="s">
        <v>836</v>
      </c>
      <c r="BCO29" t="s">
        <v>836</v>
      </c>
      <c r="BCP29" t="s">
        <v>836</v>
      </c>
      <c r="BCQ29" t="s">
        <v>836</v>
      </c>
      <c r="BCR29" t="s">
        <v>836</v>
      </c>
      <c r="BCS29" t="s">
        <v>836</v>
      </c>
      <c r="BCT29" t="s">
        <v>836</v>
      </c>
      <c r="BCU29" t="s">
        <v>836</v>
      </c>
      <c r="BCV29" t="s">
        <v>836</v>
      </c>
      <c r="BCW29" t="s">
        <v>836</v>
      </c>
      <c r="BCX29" t="s">
        <v>836</v>
      </c>
      <c r="BCY29" t="s">
        <v>836</v>
      </c>
      <c r="BCZ29" t="s">
        <v>836</v>
      </c>
      <c r="BDA29" t="s">
        <v>836</v>
      </c>
      <c r="BDB29" t="s">
        <v>836</v>
      </c>
      <c r="BDC29" t="s">
        <v>836</v>
      </c>
      <c r="BDD29" t="s">
        <v>836</v>
      </c>
      <c r="BDE29" t="s">
        <v>836</v>
      </c>
      <c r="BDF29" t="s">
        <v>836</v>
      </c>
      <c r="BDG29" t="s">
        <v>836</v>
      </c>
      <c r="BDH29" t="s">
        <v>836</v>
      </c>
      <c r="BDI29" t="s">
        <v>836</v>
      </c>
      <c r="BDJ29" t="s">
        <v>836</v>
      </c>
      <c r="BDK29" t="s">
        <v>836</v>
      </c>
      <c r="BDL29" t="s">
        <v>836</v>
      </c>
      <c r="BDM29" t="s">
        <v>836</v>
      </c>
      <c r="BDN29" t="s">
        <v>836</v>
      </c>
      <c r="BDO29" t="s">
        <v>836</v>
      </c>
      <c r="BDP29" t="s">
        <v>836</v>
      </c>
      <c r="BDQ29" t="s">
        <v>836</v>
      </c>
      <c r="BDR29" t="s">
        <v>836</v>
      </c>
      <c r="BDS29" t="s">
        <v>836</v>
      </c>
      <c r="BDT29" t="s">
        <v>836</v>
      </c>
      <c r="BDU29" t="s">
        <v>836</v>
      </c>
      <c r="BDV29" t="s">
        <v>836</v>
      </c>
      <c r="BDW29" t="s">
        <v>836</v>
      </c>
      <c r="BDX29" t="s">
        <v>836</v>
      </c>
      <c r="BDY29" t="s">
        <v>836</v>
      </c>
      <c r="BDZ29" t="s">
        <v>836</v>
      </c>
      <c r="BEA29" t="s">
        <v>836</v>
      </c>
      <c r="BEB29" t="s">
        <v>836</v>
      </c>
      <c r="BEC29" t="s">
        <v>836</v>
      </c>
      <c r="BED29" t="s">
        <v>836</v>
      </c>
      <c r="BEE29" t="s">
        <v>836</v>
      </c>
      <c r="BEF29" t="s">
        <v>836</v>
      </c>
      <c r="BEG29" t="s">
        <v>836</v>
      </c>
      <c r="BEH29" t="s">
        <v>836</v>
      </c>
      <c r="BEI29" t="s">
        <v>836</v>
      </c>
      <c r="BEJ29" t="s">
        <v>836</v>
      </c>
      <c r="BEK29" t="s">
        <v>836</v>
      </c>
      <c r="BEL29" t="s">
        <v>836</v>
      </c>
      <c r="BEM29" t="s">
        <v>836</v>
      </c>
      <c r="BEN29" t="s">
        <v>836</v>
      </c>
      <c r="BEO29" t="s">
        <v>836</v>
      </c>
      <c r="BEP29" t="s">
        <v>836</v>
      </c>
      <c r="BEQ29" t="s">
        <v>836</v>
      </c>
      <c r="BER29" t="s">
        <v>836</v>
      </c>
      <c r="BES29" t="s">
        <v>836</v>
      </c>
      <c r="BET29" t="s">
        <v>836</v>
      </c>
      <c r="BEU29" t="s">
        <v>836</v>
      </c>
      <c r="BEV29" t="s">
        <v>836</v>
      </c>
      <c r="BEW29" t="s">
        <v>836</v>
      </c>
      <c r="BEX29" t="s">
        <v>836</v>
      </c>
      <c r="BEY29" t="s">
        <v>836</v>
      </c>
      <c r="BEZ29" t="s">
        <v>836</v>
      </c>
      <c r="BFA29" t="s">
        <v>836</v>
      </c>
      <c r="BFB29" t="s">
        <v>836</v>
      </c>
      <c r="BFC29" t="s">
        <v>836</v>
      </c>
      <c r="BFD29" t="s">
        <v>836</v>
      </c>
      <c r="BFE29" t="s">
        <v>836</v>
      </c>
      <c r="BFF29" t="s">
        <v>836</v>
      </c>
      <c r="BFG29" t="s">
        <v>836</v>
      </c>
      <c r="BFH29" t="s">
        <v>836</v>
      </c>
      <c r="BFI29" t="s">
        <v>836</v>
      </c>
      <c r="BFJ29" t="s">
        <v>836</v>
      </c>
      <c r="BFK29" t="s">
        <v>836</v>
      </c>
      <c r="BFL29" t="s">
        <v>836</v>
      </c>
      <c r="BFM29" t="s">
        <v>836</v>
      </c>
      <c r="BFN29" t="s">
        <v>836</v>
      </c>
      <c r="BFO29" t="s">
        <v>836</v>
      </c>
      <c r="BFP29" t="s">
        <v>836</v>
      </c>
      <c r="BFQ29" t="s">
        <v>836</v>
      </c>
      <c r="BFR29" t="s">
        <v>836</v>
      </c>
      <c r="BFS29" t="s">
        <v>836</v>
      </c>
      <c r="BFT29" t="s">
        <v>836</v>
      </c>
      <c r="BFU29" t="s">
        <v>836</v>
      </c>
      <c r="BFV29" t="s">
        <v>836</v>
      </c>
      <c r="BFW29" t="s">
        <v>836</v>
      </c>
      <c r="BFX29" t="s">
        <v>836</v>
      </c>
      <c r="BFY29" t="s">
        <v>836</v>
      </c>
      <c r="BFZ29" t="s">
        <v>836</v>
      </c>
      <c r="BGA29" t="s">
        <v>836</v>
      </c>
      <c r="BGB29" t="s">
        <v>836</v>
      </c>
      <c r="BGC29" t="s">
        <v>836</v>
      </c>
      <c r="BGD29" t="s">
        <v>836</v>
      </c>
      <c r="BGE29" t="s">
        <v>836</v>
      </c>
      <c r="BGF29" t="s">
        <v>836</v>
      </c>
      <c r="BGG29" t="s">
        <v>836</v>
      </c>
      <c r="BGH29" t="s">
        <v>836</v>
      </c>
      <c r="BGI29" t="s">
        <v>836</v>
      </c>
      <c r="BGJ29" t="s">
        <v>836</v>
      </c>
      <c r="BGK29" t="s">
        <v>836</v>
      </c>
      <c r="BGL29" t="s">
        <v>836</v>
      </c>
      <c r="BGM29" t="s">
        <v>836</v>
      </c>
      <c r="BGN29" t="s">
        <v>836</v>
      </c>
      <c r="BGO29" t="s">
        <v>836</v>
      </c>
      <c r="BGP29" t="s">
        <v>836</v>
      </c>
      <c r="BGQ29" t="s">
        <v>836</v>
      </c>
      <c r="BGR29" t="s">
        <v>836</v>
      </c>
      <c r="BGS29" t="s">
        <v>836</v>
      </c>
      <c r="BGT29" t="s">
        <v>836</v>
      </c>
      <c r="BGU29" t="s">
        <v>836</v>
      </c>
      <c r="BGV29" t="s">
        <v>836</v>
      </c>
      <c r="BGW29" t="s">
        <v>836</v>
      </c>
      <c r="BGX29" t="s">
        <v>836</v>
      </c>
      <c r="BGY29" t="s">
        <v>836</v>
      </c>
      <c r="BGZ29" t="s">
        <v>836</v>
      </c>
      <c r="BHA29" t="s">
        <v>836</v>
      </c>
      <c r="BHB29" t="s">
        <v>836</v>
      </c>
      <c r="BHC29" t="s">
        <v>836</v>
      </c>
      <c r="BHD29" t="s">
        <v>836</v>
      </c>
      <c r="BHE29" t="s">
        <v>836</v>
      </c>
      <c r="BHF29" t="s">
        <v>836</v>
      </c>
      <c r="BHG29" t="s">
        <v>836</v>
      </c>
      <c r="BHH29" t="s">
        <v>836</v>
      </c>
      <c r="BHI29" t="s">
        <v>836</v>
      </c>
      <c r="BHJ29" t="s">
        <v>836</v>
      </c>
      <c r="BHK29" t="s">
        <v>836</v>
      </c>
      <c r="BHL29" t="s">
        <v>836</v>
      </c>
      <c r="BHM29" t="s">
        <v>836</v>
      </c>
      <c r="BHN29" t="s">
        <v>836</v>
      </c>
      <c r="BHO29" t="s">
        <v>836</v>
      </c>
      <c r="BHP29" t="s">
        <v>836</v>
      </c>
      <c r="BHQ29" t="s">
        <v>836</v>
      </c>
      <c r="BHR29" t="s">
        <v>836</v>
      </c>
      <c r="BHS29" t="s">
        <v>836</v>
      </c>
      <c r="BHT29" t="s">
        <v>836</v>
      </c>
      <c r="BHU29" t="s">
        <v>836</v>
      </c>
      <c r="BHV29" t="s">
        <v>836</v>
      </c>
      <c r="BHW29" t="s">
        <v>836</v>
      </c>
      <c r="BHX29" t="s">
        <v>836</v>
      </c>
      <c r="BHY29" t="s">
        <v>836</v>
      </c>
      <c r="BHZ29" t="s">
        <v>836</v>
      </c>
      <c r="BIA29" t="s">
        <v>836</v>
      </c>
      <c r="BIB29" t="s">
        <v>836</v>
      </c>
      <c r="BIC29" t="s">
        <v>836</v>
      </c>
      <c r="BID29" t="s">
        <v>836</v>
      </c>
      <c r="BIE29" t="s">
        <v>836</v>
      </c>
      <c r="BIF29" t="s">
        <v>836</v>
      </c>
      <c r="BIG29" t="s">
        <v>836</v>
      </c>
      <c r="BIH29" t="s">
        <v>836</v>
      </c>
      <c r="BII29" t="s">
        <v>836</v>
      </c>
      <c r="BIJ29" t="s">
        <v>836</v>
      </c>
      <c r="BIK29" t="s">
        <v>836</v>
      </c>
      <c r="BIL29" t="s">
        <v>836</v>
      </c>
      <c r="BIM29" t="s">
        <v>836</v>
      </c>
      <c r="BIN29" t="s">
        <v>836</v>
      </c>
      <c r="BIO29" t="s">
        <v>836</v>
      </c>
      <c r="BIP29" t="s">
        <v>836</v>
      </c>
      <c r="BIQ29" t="s">
        <v>836</v>
      </c>
      <c r="BIR29" t="s">
        <v>836</v>
      </c>
      <c r="BIS29" t="s">
        <v>836</v>
      </c>
      <c r="BIT29" t="s">
        <v>836</v>
      </c>
      <c r="BIU29" t="s">
        <v>836</v>
      </c>
      <c r="BIV29" t="s">
        <v>836</v>
      </c>
      <c r="BIW29" t="s">
        <v>836</v>
      </c>
      <c r="BIX29" t="s">
        <v>836</v>
      </c>
      <c r="BIY29" t="s">
        <v>836</v>
      </c>
      <c r="BIZ29" t="s">
        <v>836</v>
      </c>
      <c r="BJA29" t="s">
        <v>836</v>
      </c>
      <c r="BJB29" t="s">
        <v>836</v>
      </c>
      <c r="BJC29" t="s">
        <v>836</v>
      </c>
      <c r="BJD29" t="s">
        <v>836</v>
      </c>
      <c r="BJE29" t="s">
        <v>836</v>
      </c>
      <c r="BJF29" t="s">
        <v>836</v>
      </c>
      <c r="BJG29" t="s">
        <v>836</v>
      </c>
      <c r="BJH29" t="s">
        <v>836</v>
      </c>
      <c r="BJI29" t="s">
        <v>836</v>
      </c>
      <c r="BJJ29" t="s">
        <v>836</v>
      </c>
      <c r="BJK29" t="s">
        <v>836</v>
      </c>
      <c r="BJL29" t="s">
        <v>836</v>
      </c>
      <c r="BJM29" t="s">
        <v>836</v>
      </c>
      <c r="BJN29" t="s">
        <v>836</v>
      </c>
      <c r="BJO29" t="s">
        <v>836</v>
      </c>
      <c r="BJP29" t="s">
        <v>836</v>
      </c>
      <c r="BJQ29" t="s">
        <v>836</v>
      </c>
      <c r="BJR29" t="s">
        <v>836</v>
      </c>
      <c r="BJS29" t="s">
        <v>836</v>
      </c>
      <c r="BJT29" t="s">
        <v>836</v>
      </c>
      <c r="BJU29" t="s">
        <v>836</v>
      </c>
      <c r="BJV29" t="s">
        <v>836</v>
      </c>
      <c r="BJW29" t="s">
        <v>836</v>
      </c>
      <c r="BJX29" t="s">
        <v>836</v>
      </c>
      <c r="BJY29" t="s">
        <v>836</v>
      </c>
      <c r="BJZ29" t="s">
        <v>836</v>
      </c>
      <c r="BKA29" t="s">
        <v>836</v>
      </c>
      <c r="BKB29" t="s">
        <v>836</v>
      </c>
      <c r="BKC29" t="s">
        <v>836</v>
      </c>
      <c r="BKD29" t="s">
        <v>836</v>
      </c>
      <c r="BKE29" t="s">
        <v>836</v>
      </c>
      <c r="BKF29" t="s">
        <v>836</v>
      </c>
      <c r="BKG29" t="s">
        <v>836</v>
      </c>
      <c r="BKH29" t="s">
        <v>836</v>
      </c>
      <c r="BKI29" t="s">
        <v>836</v>
      </c>
      <c r="BKJ29" t="s">
        <v>836</v>
      </c>
      <c r="BKK29" t="s">
        <v>836</v>
      </c>
      <c r="BKL29" t="s">
        <v>836</v>
      </c>
      <c r="BKM29" t="s">
        <v>836</v>
      </c>
      <c r="BKN29" t="s">
        <v>836</v>
      </c>
      <c r="BKO29" t="s">
        <v>836</v>
      </c>
      <c r="BKP29" t="s">
        <v>836</v>
      </c>
      <c r="BKQ29" t="s">
        <v>836</v>
      </c>
      <c r="BKR29" t="s">
        <v>836</v>
      </c>
      <c r="BKS29" t="s">
        <v>836</v>
      </c>
      <c r="BKT29" t="s">
        <v>836</v>
      </c>
      <c r="BKU29" t="s">
        <v>836</v>
      </c>
      <c r="BKV29" t="s">
        <v>836</v>
      </c>
      <c r="BKW29" t="s">
        <v>836</v>
      </c>
      <c r="BKX29" t="s">
        <v>836</v>
      </c>
      <c r="BKY29" t="s">
        <v>836</v>
      </c>
      <c r="BKZ29" t="s">
        <v>836</v>
      </c>
      <c r="BLA29" t="s">
        <v>836</v>
      </c>
      <c r="BLB29" t="s">
        <v>836</v>
      </c>
      <c r="BLC29" t="s">
        <v>836</v>
      </c>
      <c r="BLD29" t="s">
        <v>836</v>
      </c>
      <c r="BLE29" t="s">
        <v>836</v>
      </c>
      <c r="BLF29" t="s">
        <v>836</v>
      </c>
      <c r="BLG29" t="s">
        <v>836</v>
      </c>
      <c r="BLH29" t="s">
        <v>836</v>
      </c>
      <c r="BLI29" t="s">
        <v>836</v>
      </c>
      <c r="BLJ29" t="s">
        <v>836</v>
      </c>
      <c r="BLK29" t="s">
        <v>836</v>
      </c>
      <c r="BLL29" t="s">
        <v>836</v>
      </c>
      <c r="BLM29" t="s">
        <v>836</v>
      </c>
      <c r="BLN29" t="s">
        <v>836</v>
      </c>
      <c r="BLO29" t="s">
        <v>836</v>
      </c>
      <c r="BLP29" t="s">
        <v>836</v>
      </c>
      <c r="BLQ29" t="s">
        <v>836</v>
      </c>
      <c r="BLR29" t="s">
        <v>836</v>
      </c>
      <c r="BLS29" t="s">
        <v>836</v>
      </c>
      <c r="BLT29" t="s">
        <v>836</v>
      </c>
      <c r="BLU29" t="s">
        <v>836</v>
      </c>
      <c r="BLV29" t="s">
        <v>836</v>
      </c>
      <c r="BLW29" t="s">
        <v>836</v>
      </c>
      <c r="BLX29" t="s">
        <v>836</v>
      </c>
      <c r="BLY29" t="s">
        <v>836</v>
      </c>
      <c r="BLZ29" t="s">
        <v>836</v>
      </c>
      <c r="BMA29" t="s">
        <v>836</v>
      </c>
      <c r="BMB29" t="s">
        <v>836</v>
      </c>
      <c r="BMC29" t="s">
        <v>836</v>
      </c>
      <c r="BMD29" t="s">
        <v>836</v>
      </c>
      <c r="BME29" t="s">
        <v>836</v>
      </c>
      <c r="BMF29" t="s">
        <v>836</v>
      </c>
      <c r="BMG29" t="s">
        <v>836</v>
      </c>
      <c r="BMH29" t="s">
        <v>836</v>
      </c>
      <c r="BMI29" t="s">
        <v>836</v>
      </c>
      <c r="BMJ29" t="s">
        <v>836</v>
      </c>
      <c r="BMK29" t="s">
        <v>836</v>
      </c>
      <c r="BML29" t="s">
        <v>836</v>
      </c>
      <c r="BMM29" t="s">
        <v>836</v>
      </c>
      <c r="BMN29" t="s">
        <v>836</v>
      </c>
      <c r="BMO29" t="s">
        <v>836</v>
      </c>
      <c r="BMP29" t="s">
        <v>836</v>
      </c>
      <c r="BMQ29" t="s">
        <v>836</v>
      </c>
      <c r="BMR29" t="s">
        <v>836</v>
      </c>
      <c r="BMS29" t="s">
        <v>836</v>
      </c>
      <c r="BMT29" t="s">
        <v>836</v>
      </c>
      <c r="BMU29" t="s">
        <v>836</v>
      </c>
      <c r="BMV29" t="s">
        <v>836</v>
      </c>
      <c r="BMW29" t="s">
        <v>836</v>
      </c>
      <c r="BMX29" t="s">
        <v>836</v>
      </c>
      <c r="BMY29" t="s">
        <v>836</v>
      </c>
      <c r="BMZ29" t="s">
        <v>836</v>
      </c>
      <c r="BNA29" t="s">
        <v>836</v>
      </c>
      <c r="BNB29" t="s">
        <v>836</v>
      </c>
      <c r="BNC29" t="s">
        <v>836</v>
      </c>
      <c r="BND29" t="s">
        <v>836</v>
      </c>
      <c r="BNE29" t="s">
        <v>836</v>
      </c>
      <c r="BNF29" t="s">
        <v>836</v>
      </c>
      <c r="BNG29" t="s">
        <v>836</v>
      </c>
      <c r="BNH29" t="s">
        <v>836</v>
      </c>
      <c r="BNI29" t="s">
        <v>836</v>
      </c>
      <c r="BNJ29" t="s">
        <v>836</v>
      </c>
      <c r="BNK29" t="s">
        <v>836</v>
      </c>
      <c r="BNL29" t="s">
        <v>836</v>
      </c>
      <c r="BNM29" t="s">
        <v>836</v>
      </c>
      <c r="BNN29" t="s">
        <v>836</v>
      </c>
      <c r="BNO29" t="s">
        <v>836</v>
      </c>
      <c r="BNP29" t="s">
        <v>836</v>
      </c>
      <c r="BNQ29" t="s">
        <v>836</v>
      </c>
      <c r="BNR29" t="s">
        <v>836</v>
      </c>
      <c r="BNS29" t="s">
        <v>836</v>
      </c>
      <c r="BNT29" t="s">
        <v>836</v>
      </c>
      <c r="BNU29" t="s">
        <v>836</v>
      </c>
      <c r="BNV29" t="s">
        <v>836</v>
      </c>
      <c r="BNW29" t="s">
        <v>836</v>
      </c>
      <c r="BNX29" t="s">
        <v>836</v>
      </c>
      <c r="BNY29" t="s">
        <v>836</v>
      </c>
      <c r="BNZ29" t="s">
        <v>836</v>
      </c>
      <c r="BOA29" t="s">
        <v>836</v>
      </c>
      <c r="BOB29" t="s">
        <v>836</v>
      </c>
      <c r="BOC29" t="s">
        <v>836</v>
      </c>
      <c r="BOD29" t="s">
        <v>836</v>
      </c>
      <c r="BOE29" t="s">
        <v>836</v>
      </c>
      <c r="BOF29" t="s">
        <v>836</v>
      </c>
      <c r="BOG29" t="s">
        <v>836</v>
      </c>
      <c r="BOH29" t="s">
        <v>836</v>
      </c>
      <c r="BOI29" t="s">
        <v>836</v>
      </c>
      <c r="BOJ29" t="s">
        <v>836</v>
      </c>
      <c r="BOK29" t="s">
        <v>836</v>
      </c>
      <c r="BOL29" t="s">
        <v>836</v>
      </c>
      <c r="BOM29" t="s">
        <v>836</v>
      </c>
      <c r="BON29" t="s">
        <v>836</v>
      </c>
      <c r="BOO29" t="s">
        <v>836</v>
      </c>
      <c r="BOP29" t="s">
        <v>836</v>
      </c>
      <c r="BOQ29" t="s">
        <v>836</v>
      </c>
      <c r="BOR29" t="s">
        <v>836</v>
      </c>
      <c r="BOS29" t="s">
        <v>836</v>
      </c>
      <c r="BOT29" t="s">
        <v>836</v>
      </c>
      <c r="BOU29" t="s">
        <v>836</v>
      </c>
      <c r="BOV29" t="s">
        <v>836</v>
      </c>
      <c r="BOW29" t="s">
        <v>836</v>
      </c>
      <c r="BOX29" t="s">
        <v>836</v>
      </c>
      <c r="BOY29" t="s">
        <v>836</v>
      </c>
      <c r="BOZ29" t="s">
        <v>836</v>
      </c>
      <c r="BPA29" t="s">
        <v>836</v>
      </c>
      <c r="BPB29" t="s">
        <v>836</v>
      </c>
      <c r="BPC29" t="s">
        <v>836</v>
      </c>
      <c r="BPD29" t="s">
        <v>836</v>
      </c>
      <c r="BPE29" t="s">
        <v>836</v>
      </c>
      <c r="BPF29" t="s">
        <v>836</v>
      </c>
      <c r="BPG29" t="s">
        <v>836</v>
      </c>
      <c r="BPH29" t="s">
        <v>836</v>
      </c>
      <c r="BPI29" t="s">
        <v>836</v>
      </c>
      <c r="BPJ29" t="s">
        <v>836</v>
      </c>
      <c r="BPK29" t="s">
        <v>836</v>
      </c>
      <c r="BPL29" t="s">
        <v>836</v>
      </c>
      <c r="BPM29" t="s">
        <v>836</v>
      </c>
      <c r="BPN29" t="s">
        <v>836</v>
      </c>
      <c r="BPO29" t="s">
        <v>836</v>
      </c>
      <c r="BPP29" t="s">
        <v>836</v>
      </c>
      <c r="BPQ29" t="s">
        <v>836</v>
      </c>
      <c r="BPR29" t="s">
        <v>836</v>
      </c>
      <c r="BPS29" t="s">
        <v>836</v>
      </c>
      <c r="BPT29" t="s">
        <v>836</v>
      </c>
      <c r="BPU29" t="s">
        <v>836</v>
      </c>
      <c r="BPV29" t="s">
        <v>836</v>
      </c>
      <c r="BPW29" t="s">
        <v>836</v>
      </c>
      <c r="BPX29" t="s">
        <v>836</v>
      </c>
      <c r="BPY29" t="s">
        <v>836</v>
      </c>
      <c r="BPZ29" t="s">
        <v>836</v>
      </c>
      <c r="BQA29" t="s">
        <v>836</v>
      </c>
      <c r="BQB29" t="s">
        <v>836</v>
      </c>
      <c r="BQC29" t="s">
        <v>836</v>
      </c>
      <c r="BQD29" t="s">
        <v>836</v>
      </c>
      <c r="BQE29" t="s">
        <v>836</v>
      </c>
      <c r="BQF29" t="s">
        <v>836</v>
      </c>
      <c r="BQG29" t="s">
        <v>836</v>
      </c>
      <c r="BQH29" t="s">
        <v>836</v>
      </c>
      <c r="BQI29" t="s">
        <v>836</v>
      </c>
      <c r="BQJ29" t="s">
        <v>836</v>
      </c>
      <c r="BQK29" t="s">
        <v>836</v>
      </c>
      <c r="BQL29" t="s">
        <v>836</v>
      </c>
      <c r="BQM29" t="s">
        <v>836</v>
      </c>
      <c r="BQN29" t="s">
        <v>836</v>
      </c>
      <c r="BQO29" t="s">
        <v>836</v>
      </c>
      <c r="BQP29" t="s">
        <v>836</v>
      </c>
      <c r="BQQ29" t="s">
        <v>836</v>
      </c>
      <c r="BQR29" t="s">
        <v>836</v>
      </c>
      <c r="BQS29" t="s">
        <v>836</v>
      </c>
      <c r="BQT29" t="s">
        <v>836</v>
      </c>
      <c r="BQU29" t="s">
        <v>836</v>
      </c>
      <c r="BQV29" t="s">
        <v>836</v>
      </c>
      <c r="BQW29" t="s">
        <v>836</v>
      </c>
      <c r="BQX29" t="s">
        <v>836</v>
      </c>
      <c r="BQY29" t="s">
        <v>836</v>
      </c>
      <c r="BQZ29" t="s">
        <v>836</v>
      </c>
      <c r="BRA29" t="s">
        <v>836</v>
      </c>
      <c r="BRB29" t="s">
        <v>836</v>
      </c>
      <c r="BRC29" t="s">
        <v>836</v>
      </c>
      <c r="BRD29" t="s">
        <v>836</v>
      </c>
      <c r="BRE29" t="s">
        <v>836</v>
      </c>
      <c r="BRF29" t="s">
        <v>836</v>
      </c>
      <c r="BRG29" t="s">
        <v>836</v>
      </c>
      <c r="BRH29" t="s">
        <v>836</v>
      </c>
      <c r="BRI29" t="s">
        <v>836</v>
      </c>
      <c r="BRJ29" t="s">
        <v>836</v>
      </c>
      <c r="BRK29" t="s">
        <v>836</v>
      </c>
      <c r="BRL29" t="s">
        <v>836</v>
      </c>
      <c r="BRM29" t="s">
        <v>836</v>
      </c>
      <c r="BRN29" t="s">
        <v>836</v>
      </c>
      <c r="BRO29" t="s">
        <v>836</v>
      </c>
      <c r="BRP29" t="s">
        <v>836</v>
      </c>
      <c r="BRQ29" t="s">
        <v>836</v>
      </c>
      <c r="BRR29" t="s">
        <v>836</v>
      </c>
      <c r="BRS29" t="s">
        <v>836</v>
      </c>
      <c r="BRT29" t="s">
        <v>836</v>
      </c>
      <c r="BRU29" t="s">
        <v>836</v>
      </c>
      <c r="BRV29" t="s">
        <v>836</v>
      </c>
      <c r="BRW29" t="s">
        <v>836</v>
      </c>
      <c r="BRX29" t="s">
        <v>836</v>
      </c>
      <c r="BRY29" t="s">
        <v>836</v>
      </c>
      <c r="BRZ29" t="s">
        <v>836</v>
      </c>
      <c r="BSA29" t="s">
        <v>836</v>
      </c>
      <c r="BSB29" t="s">
        <v>836</v>
      </c>
      <c r="BSC29" t="s">
        <v>836</v>
      </c>
      <c r="BSD29" t="s">
        <v>836</v>
      </c>
      <c r="BSE29" t="s">
        <v>836</v>
      </c>
      <c r="BSF29" t="s">
        <v>836</v>
      </c>
      <c r="BSG29" t="s">
        <v>836</v>
      </c>
      <c r="BSH29" t="s">
        <v>836</v>
      </c>
      <c r="BSI29" t="s">
        <v>836</v>
      </c>
      <c r="BSJ29" t="s">
        <v>836</v>
      </c>
      <c r="BSK29" t="s">
        <v>836</v>
      </c>
      <c r="BSL29" t="s">
        <v>836</v>
      </c>
      <c r="BSM29" t="s">
        <v>836</v>
      </c>
      <c r="BSN29" t="s">
        <v>836</v>
      </c>
      <c r="BSO29" t="s">
        <v>836</v>
      </c>
      <c r="BSP29" t="s">
        <v>836</v>
      </c>
      <c r="BSQ29" t="s">
        <v>836</v>
      </c>
      <c r="BSR29" t="s">
        <v>836</v>
      </c>
      <c r="BSS29" t="s">
        <v>836</v>
      </c>
      <c r="BST29" t="s">
        <v>836</v>
      </c>
      <c r="BSU29" t="s">
        <v>836</v>
      </c>
      <c r="BSV29" t="s">
        <v>836</v>
      </c>
      <c r="BSW29" t="s">
        <v>836</v>
      </c>
      <c r="BSX29" t="s">
        <v>836</v>
      </c>
      <c r="BSY29" t="s">
        <v>836</v>
      </c>
      <c r="BSZ29" t="s">
        <v>836</v>
      </c>
      <c r="BTA29" t="s">
        <v>836</v>
      </c>
      <c r="BTB29" t="s">
        <v>836</v>
      </c>
      <c r="BTC29" t="s">
        <v>836</v>
      </c>
      <c r="BTD29" t="s">
        <v>836</v>
      </c>
      <c r="BTE29" t="s">
        <v>836</v>
      </c>
      <c r="BTF29" t="s">
        <v>836</v>
      </c>
      <c r="BTG29" t="s">
        <v>836</v>
      </c>
      <c r="BTH29" t="s">
        <v>836</v>
      </c>
      <c r="BTI29" t="s">
        <v>836</v>
      </c>
      <c r="BTJ29" t="s">
        <v>836</v>
      </c>
      <c r="BTK29" t="s">
        <v>836</v>
      </c>
      <c r="BTL29" t="s">
        <v>836</v>
      </c>
      <c r="BTM29" t="s">
        <v>836</v>
      </c>
      <c r="BTN29" t="s">
        <v>836</v>
      </c>
      <c r="BTO29" t="s">
        <v>836</v>
      </c>
      <c r="BTP29" t="s">
        <v>836</v>
      </c>
      <c r="BTQ29" t="s">
        <v>836</v>
      </c>
      <c r="BTR29" t="s">
        <v>836</v>
      </c>
      <c r="BTS29" t="s">
        <v>836</v>
      </c>
      <c r="BTT29" t="s">
        <v>836</v>
      </c>
      <c r="BTU29" t="s">
        <v>836</v>
      </c>
      <c r="BTV29" t="s">
        <v>836</v>
      </c>
      <c r="BTW29" t="s">
        <v>836</v>
      </c>
      <c r="BTX29" t="s">
        <v>836</v>
      </c>
      <c r="BTY29" t="s">
        <v>836</v>
      </c>
      <c r="BTZ29" t="s">
        <v>836</v>
      </c>
      <c r="BUA29" t="s">
        <v>836</v>
      </c>
      <c r="BUB29" t="s">
        <v>836</v>
      </c>
      <c r="BUC29" t="s">
        <v>836</v>
      </c>
      <c r="BUD29" t="s">
        <v>836</v>
      </c>
      <c r="BUE29" t="s">
        <v>836</v>
      </c>
      <c r="BUF29" t="s">
        <v>836</v>
      </c>
      <c r="BUG29" t="s">
        <v>836</v>
      </c>
      <c r="BUH29" t="s">
        <v>836</v>
      </c>
      <c r="BUI29" t="s">
        <v>836</v>
      </c>
      <c r="BUJ29" t="s">
        <v>836</v>
      </c>
      <c r="BUK29" t="s">
        <v>836</v>
      </c>
      <c r="BUL29" t="s">
        <v>836</v>
      </c>
      <c r="BUM29" t="s">
        <v>836</v>
      </c>
      <c r="BUN29" t="s">
        <v>836</v>
      </c>
      <c r="BUO29" t="s">
        <v>836</v>
      </c>
      <c r="BUP29" t="s">
        <v>836</v>
      </c>
      <c r="BUQ29" t="s">
        <v>836</v>
      </c>
      <c r="BUR29" t="s">
        <v>836</v>
      </c>
      <c r="BUS29" t="s">
        <v>836</v>
      </c>
      <c r="BUT29" t="s">
        <v>836</v>
      </c>
      <c r="BUU29" t="s">
        <v>836</v>
      </c>
      <c r="BUV29" t="s">
        <v>836</v>
      </c>
      <c r="BUW29" t="s">
        <v>836</v>
      </c>
      <c r="BUX29" t="s">
        <v>836</v>
      </c>
      <c r="BUY29" t="s">
        <v>836</v>
      </c>
      <c r="BUZ29" t="s">
        <v>836</v>
      </c>
      <c r="BVA29" t="s">
        <v>836</v>
      </c>
      <c r="BVB29" t="s">
        <v>836</v>
      </c>
      <c r="BVC29" t="s">
        <v>836</v>
      </c>
      <c r="BVD29" t="s">
        <v>836</v>
      </c>
      <c r="BVE29" t="s">
        <v>836</v>
      </c>
      <c r="BVF29" t="s">
        <v>836</v>
      </c>
      <c r="BVG29" t="s">
        <v>836</v>
      </c>
      <c r="BVH29" t="s">
        <v>836</v>
      </c>
      <c r="BVI29" t="s">
        <v>836</v>
      </c>
      <c r="BVJ29" t="s">
        <v>836</v>
      </c>
      <c r="BVK29" t="s">
        <v>836</v>
      </c>
      <c r="BVL29" t="s">
        <v>836</v>
      </c>
      <c r="BVM29" t="s">
        <v>836</v>
      </c>
      <c r="BVN29" t="s">
        <v>836</v>
      </c>
      <c r="BVO29" t="s">
        <v>836</v>
      </c>
      <c r="BVP29" t="s">
        <v>836</v>
      </c>
      <c r="BVQ29" t="s">
        <v>836</v>
      </c>
      <c r="BVR29" t="s">
        <v>836</v>
      </c>
      <c r="BVS29" t="s">
        <v>836</v>
      </c>
      <c r="BVT29" t="s">
        <v>836</v>
      </c>
      <c r="BVU29" t="s">
        <v>836</v>
      </c>
      <c r="BVV29" t="s">
        <v>836</v>
      </c>
      <c r="BVW29" t="s">
        <v>836</v>
      </c>
      <c r="BVX29" t="s">
        <v>836</v>
      </c>
      <c r="BVY29" t="s">
        <v>836</v>
      </c>
      <c r="BVZ29" t="s">
        <v>836</v>
      </c>
      <c r="BWA29" t="s">
        <v>836</v>
      </c>
      <c r="BWB29" t="s">
        <v>836</v>
      </c>
      <c r="BWC29" t="s">
        <v>836</v>
      </c>
      <c r="BWD29" t="s">
        <v>836</v>
      </c>
      <c r="BWE29" t="s">
        <v>836</v>
      </c>
      <c r="BWF29" t="s">
        <v>836</v>
      </c>
      <c r="BWG29" t="s">
        <v>836</v>
      </c>
      <c r="BWH29" t="s">
        <v>836</v>
      </c>
      <c r="BWI29" t="s">
        <v>836</v>
      </c>
      <c r="BWJ29" t="s">
        <v>836</v>
      </c>
      <c r="BWK29" t="s">
        <v>836</v>
      </c>
      <c r="BWL29" t="s">
        <v>836</v>
      </c>
      <c r="BWM29" t="s">
        <v>836</v>
      </c>
      <c r="BWN29" t="s">
        <v>836</v>
      </c>
      <c r="BWO29" t="s">
        <v>836</v>
      </c>
      <c r="BWP29" t="s">
        <v>836</v>
      </c>
      <c r="BWQ29" t="s">
        <v>836</v>
      </c>
      <c r="BWR29" t="s">
        <v>836</v>
      </c>
      <c r="BWS29" t="s">
        <v>836</v>
      </c>
      <c r="BWT29" t="s">
        <v>836</v>
      </c>
      <c r="BWU29" t="s">
        <v>836</v>
      </c>
      <c r="BWV29" t="s">
        <v>836</v>
      </c>
      <c r="BWW29" t="s">
        <v>836</v>
      </c>
      <c r="BWX29" t="s">
        <v>836</v>
      </c>
      <c r="BWY29" t="s">
        <v>836</v>
      </c>
      <c r="BWZ29" t="s">
        <v>836</v>
      </c>
      <c r="BXA29" t="s">
        <v>836</v>
      </c>
      <c r="BXB29" t="s">
        <v>836</v>
      </c>
      <c r="BXC29" t="s">
        <v>836</v>
      </c>
      <c r="BXD29" t="s">
        <v>836</v>
      </c>
      <c r="BXE29" t="s">
        <v>836</v>
      </c>
      <c r="BXF29" t="s">
        <v>836</v>
      </c>
      <c r="BXG29" t="s">
        <v>836</v>
      </c>
      <c r="BXH29" t="s">
        <v>836</v>
      </c>
      <c r="BXI29" t="s">
        <v>836</v>
      </c>
      <c r="BXJ29" t="s">
        <v>836</v>
      </c>
      <c r="BXK29" t="s">
        <v>836</v>
      </c>
      <c r="BXL29" t="s">
        <v>836</v>
      </c>
      <c r="BXM29" t="s">
        <v>836</v>
      </c>
      <c r="BXN29" t="s">
        <v>836</v>
      </c>
      <c r="BXO29" t="s">
        <v>836</v>
      </c>
      <c r="BXP29" t="s">
        <v>836</v>
      </c>
      <c r="BXQ29" t="s">
        <v>836</v>
      </c>
      <c r="BXR29" t="s">
        <v>836</v>
      </c>
      <c r="BXS29" t="s">
        <v>836</v>
      </c>
      <c r="BXT29" t="s">
        <v>836</v>
      </c>
      <c r="BXU29" t="s">
        <v>836</v>
      </c>
      <c r="BXV29" t="s">
        <v>836</v>
      </c>
      <c r="BXW29" t="s">
        <v>836</v>
      </c>
      <c r="BXX29" t="s">
        <v>836</v>
      </c>
      <c r="BXY29" t="s">
        <v>836</v>
      </c>
      <c r="BXZ29" t="s">
        <v>836</v>
      </c>
      <c r="BYA29" t="s">
        <v>836</v>
      </c>
      <c r="BYB29" t="s">
        <v>836</v>
      </c>
      <c r="BYC29" t="s">
        <v>836</v>
      </c>
      <c r="BYD29" t="s">
        <v>836</v>
      </c>
      <c r="BYE29" t="s">
        <v>836</v>
      </c>
      <c r="BYF29" t="s">
        <v>836</v>
      </c>
      <c r="BYG29" t="s">
        <v>836</v>
      </c>
      <c r="BYH29" t="s">
        <v>836</v>
      </c>
      <c r="BYI29" t="s">
        <v>836</v>
      </c>
      <c r="BYJ29" t="s">
        <v>836</v>
      </c>
      <c r="BYK29" t="s">
        <v>836</v>
      </c>
      <c r="BYL29" t="s">
        <v>836</v>
      </c>
      <c r="BYM29" t="s">
        <v>836</v>
      </c>
      <c r="BYN29" t="s">
        <v>836</v>
      </c>
      <c r="BYO29" t="s">
        <v>836</v>
      </c>
      <c r="BYP29" t="s">
        <v>836</v>
      </c>
      <c r="BYQ29" t="s">
        <v>836</v>
      </c>
      <c r="BYR29" t="s">
        <v>836</v>
      </c>
      <c r="BYS29" t="s">
        <v>836</v>
      </c>
      <c r="BYT29" t="s">
        <v>836</v>
      </c>
      <c r="BYU29" t="s">
        <v>836</v>
      </c>
      <c r="BYV29" t="s">
        <v>836</v>
      </c>
      <c r="BYW29" t="s">
        <v>836</v>
      </c>
      <c r="BYX29" t="s">
        <v>836</v>
      </c>
      <c r="BYY29" t="s">
        <v>836</v>
      </c>
      <c r="BYZ29" t="s">
        <v>836</v>
      </c>
      <c r="BZA29" t="s">
        <v>836</v>
      </c>
      <c r="BZB29" t="s">
        <v>836</v>
      </c>
      <c r="BZC29" t="s">
        <v>836</v>
      </c>
      <c r="BZD29" t="s">
        <v>836</v>
      </c>
      <c r="BZE29" t="s">
        <v>836</v>
      </c>
      <c r="BZF29" t="s">
        <v>836</v>
      </c>
      <c r="BZG29" t="s">
        <v>836</v>
      </c>
      <c r="BZH29" t="s">
        <v>836</v>
      </c>
      <c r="BZI29" t="s">
        <v>836</v>
      </c>
      <c r="BZJ29" t="s">
        <v>836</v>
      </c>
      <c r="BZK29" t="s">
        <v>836</v>
      </c>
      <c r="BZL29" t="s">
        <v>836</v>
      </c>
      <c r="BZM29" t="s">
        <v>836</v>
      </c>
      <c r="BZN29" t="s">
        <v>836</v>
      </c>
      <c r="BZO29" t="s">
        <v>836</v>
      </c>
      <c r="BZP29" t="s">
        <v>836</v>
      </c>
      <c r="BZQ29" t="s">
        <v>836</v>
      </c>
      <c r="BZR29" t="s">
        <v>836</v>
      </c>
      <c r="BZS29" t="s">
        <v>836</v>
      </c>
      <c r="BZT29" t="s">
        <v>836</v>
      </c>
      <c r="BZU29" t="s">
        <v>836</v>
      </c>
      <c r="BZV29" t="s">
        <v>836</v>
      </c>
      <c r="BZW29" t="s">
        <v>836</v>
      </c>
      <c r="BZX29" t="s">
        <v>836</v>
      </c>
      <c r="BZY29" t="s">
        <v>836</v>
      </c>
      <c r="BZZ29" t="s">
        <v>836</v>
      </c>
      <c r="CAA29" t="s">
        <v>836</v>
      </c>
      <c r="CAB29" t="s">
        <v>836</v>
      </c>
      <c r="CAC29" t="s">
        <v>836</v>
      </c>
      <c r="CAD29" t="s">
        <v>836</v>
      </c>
      <c r="CAE29" t="s">
        <v>836</v>
      </c>
      <c r="CAF29" t="s">
        <v>836</v>
      </c>
      <c r="CAG29" t="s">
        <v>836</v>
      </c>
      <c r="CAH29" t="s">
        <v>836</v>
      </c>
      <c r="CAI29" t="s">
        <v>836</v>
      </c>
      <c r="CAJ29" t="s">
        <v>836</v>
      </c>
      <c r="CAK29" t="s">
        <v>836</v>
      </c>
      <c r="CAL29" t="s">
        <v>836</v>
      </c>
      <c r="CAM29" t="s">
        <v>836</v>
      </c>
      <c r="CAN29" t="s">
        <v>836</v>
      </c>
      <c r="CAO29" t="s">
        <v>836</v>
      </c>
      <c r="CAP29" t="s">
        <v>836</v>
      </c>
      <c r="CAQ29" t="s">
        <v>836</v>
      </c>
      <c r="CAR29" t="s">
        <v>836</v>
      </c>
      <c r="CAS29" t="s">
        <v>836</v>
      </c>
      <c r="CAT29" t="s">
        <v>836</v>
      </c>
      <c r="CAU29" t="s">
        <v>836</v>
      </c>
      <c r="CAV29" t="s">
        <v>836</v>
      </c>
      <c r="CAW29" t="s">
        <v>836</v>
      </c>
      <c r="CAX29" t="s">
        <v>836</v>
      </c>
      <c r="CAY29" t="s">
        <v>836</v>
      </c>
      <c r="CAZ29" t="s">
        <v>836</v>
      </c>
      <c r="CBA29" t="s">
        <v>836</v>
      </c>
      <c r="CBB29" t="s">
        <v>836</v>
      </c>
      <c r="CBC29" t="s">
        <v>836</v>
      </c>
      <c r="CBD29" t="s">
        <v>836</v>
      </c>
      <c r="CBE29" t="s">
        <v>836</v>
      </c>
      <c r="CBF29" t="s">
        <v>836</v>
      </c>
      <c r="CBG29" t="s">
        <v>836</v>
      </c>
      <c r="CBH29" t="s">
        <v>836</v>
      </c>
      <c r="CBI29" t="s">
        <v>836</v>
      </c>
      <c r="CBJ29" t="s">
        <v>836</v>
      </c>
      <c r="CBK29" t="s">
        <v>836</v>
      </c>
      <c r="CBL29" t="s">
        <v>836</v>
      </c>
      <c r="CBM29" t="s">
        <v>836</v>
      </c>
      <c r="CBN29" t="s">
        <v>836</v>
      </c>
      <c r="CBO29" t="s">
        <v>836</v>
      </c>
      <c r="CBP29" t="s">
        <v>836</v>
      </c>
      <c r="CBQ29" t="s">
        <v>836</v>
      </c>
      <c r="CBR29" t="s">
        <v>836</v>
      </c>
      <c r="CBS29" t="s">
        <v>836</v>
      </c>
      <c r="CBT29" t="s">
        <v>836</v>
      </c>
      <c r="CBU29" t="s">
        <v>836</v>
      </c>
      <c r="CBV29" t="s">
        <v>836</v>
      </c>
      <c r="CBW29" t="s">
        <v>836</v>
      </c>
      <c r="CBX29" t="s">
        <v>836</v>
      </c>
      <c r="CBY29" t="s">
        <v>836</v>
      </c>
      <c r="CBZ29" t="s">
        <v>836</v>
      </c>
      <c r="CCA29" t="s">
        <v>836</v>
      </c>
      <c r="CCB29" t="s">
        <v>836</v>
      </c>
      <c r="CCC29" t="s">
        <v>836</v>
      </c>
      <c r="CCD29" t="s">
        <v>836</v>
      </c>
      <c r="CCE29" t="s">
        <v>836</v>
      </c>
      <c r="CCF29" t="s">
        <v>836</v>
      </c>
      <c r="CCG29" t="s">
        <v>836</v>
      </c>
      <c r="CCH29" t="s">
        <v>836</v>
      </c>
      <c r="CCI29" t="s">
        <v>836</v>
      </c>
      <c r="CCJ29" t="s">
        <v>836</v>
      </c>
      <c r="CCK29" t="s">
        <v>836</v>
      </c>
      <c r="CCL29" t="s">
        <v>836</v>
      </c>
      <c r="CCM29" t="s">
        <v>836</v>
      </c>
      <c r="CCN29" t="s">
        <v>836</v>
      </c>
      <c r="CCO29" t="s">
        <v>836</v>
      </c>
      <c r="CCP29" t="s">
        <v>836</v>
      </c>
      <c r="CCQ29" t="s">
        <v>836</v>
      </c>
      <c r="CCR29" t="s">
        <v>836</v>
      </c>
      <c r="CCS29" t="s">
        <v>836</v>
      </c>
      <c r="CCT29" t="s">
        <v>836</v>
      </c>
      <c r="CCU29" t="s">
        <v>836</v>
      </c>
      <c r="CCV29" t="s">
        <v>836</v>
      </c>
      <c r="CCW29" t="s">
        <v>836</v>
      </c>
      <c r="CCX29" t="s">
        <v>836</v>
      </c>
      <c r="CCY29" t="s">
        <v>836</v>
      </c>
      <c r="CCZ29" t="s">
        <v>836</v>
      </c>
      <c r="CDA29" t="s">
        <v>836</v>
      </c>
      <c r="CDB29" t="s">
        <v>836</v>
      </c>
      <c r="CDC29" t="s">
        <v>836</v>
      </c>
      <c r="CDD29" t="s">
        <v>836</v>
      </c>
      <c r="CDE29" t="s">
        <v>836</v>
      </c>
      <c r="CDF29" t="s">
        <v>836</v>
      </c>
      <c r="CDG29" t="s">
        <v>836</v>
      </c>
      <c r="CDH29" t="s">
        <v>836</v>
      </c>
      <c r="CDI29" t="s">
        <v>836</v>
      </c>
      <c r="CDJ29" t="s">
        <v>836</v>
      </c>
      <c r="CDK29" t="s">
        <v>836</v>
      </c>
      <c r="CDL29" t="s">
        <v>836</v>
      </c>
      <c r="CDM29" t="s">
        <v>836</v>
      </c>
      <c r="CDN29" t="s">
        <v>836</v>
      </c>
      <c r="CDO29" t="s">
        <v>836</v>
      </c>
      <c r="CDP29" t="s">
        <v>836</v>
      </c>
      <c r="CDQ29" t="s">
        <v>836</v>
      </c>
      <c r="CDR29" t="s">
        <v>836</v>
      </c>
      <c r="CDS29" t="s">
        <v>836</v>
      </c>
      <c r="CDT29" t="s">
        <v>836</v>
      </c>
      <c r="CDU29" t="s">
        <v>836</v>
      </c>
      <c r="CDV29" t="s">
        <v>836</v>
      </c>
      <c r="CDW29" t="s">
        <v>836</v>
      </c>
      <c r="CDX29" t="s">
        <v>836</v>
      </c>
      <c r="CDY29" t="s">
        <v>836</v>
      </c>
      <c r="CDZ29" t="s">
        <v>836</v>
      </c>
      <c r="CEA29" t="s">
        <v>836</v>
      </c>
      <c r="CEB29" t="s">
        <v>836</v>
      </c>
      <c r="CEC29" t="s">
        <v>836</v>
      </c>
      <c r="CED29" t="s">
        <v>836</v>
      </c>
      <c r="CEE29" t="s">
        <v>836</v>
      </c>
      <c r="CEF29" t="s">
        <v>836</v>
      </c>
      <c r="CEG29" t="s">
        <v>836</v>
      </c>
      <c r="CEH29" t="s">
        <v>836</v>
      </c>
      <c r="CEI29" t="s">
        <v>836</v>
      </c>
      <c r="CEJ29" t="s">
        <v>836</v>
      </c>
      <c r="CEK29" t="s">
        <v>836</v>
      </c>
      <c r="CEL29" t="s">
        <v>836</v>
      </c>
      <c r="CEM29" t="s">
        <v>836</v>
      </c>
      <c r="CEN29" t="s">
        <v>836</v>
      </c>
      <c r="CEO29" t="s">
        <v>836</v>
      </c>
      <c r="CEP29" t="s">
        <v>836</v>
      </c>
      <c r="CEQ29" t="s">
        <v>836</v>
      </c>
      <c r="CER29" t="s">
        <v>836</v>
      </c>
      <c r="CES29" t="s">
        <v>836</v>
      </c>
      <c r="CET29" t="s">
        <v>836</v>
      </c>
      <c r="CEU29" t="s">
        <v>836</v>
      </c>
      <c r="CEV29" t="s">
        <v>836</v>
      </c>
      <c r="CEW29" t="s">
        <v>836</v>
      </c>
      <c r="CEX29" t="s">
        <v>836</v>
      </c>
      <c r="CEY29" t="s">
        <v>836</v>
      </c>
      <c r="CEZ29" t="s">
        <v>836</v>
      </c>
      <c r="CFA29" t="s">
        <v>836</v>
      </c>
      <c r="CFB29" t="s">
        <v>836</v>
      </c>
      <c r="CFC29" t="s">
        <v>836</v>
      </c>
      <c r="CFD29" t="s">
        <v>836</v>
      </c>
      <c r="CFE29" t="s">
        <v>836</v>
      </c>
      <c r="CFF29" t="s">
        <v>836</v>
      </c>
      <c r="CFG29" t="s">
        <v>836</v>
      </c>
      <c r="CFH29" t="s">
        <v>836</v>
      </c>
      <c r="CFI29" t="s">
        <v>836</v>
      </c>
      <c r="CFJ29" t="s">
        <v>836</v>
      </c>
      <c r="CFK29" t="s">
        <v>836</v>
      </c>
      <c r="CFL29" t="s">
        <v>836</v>
      </c>
      <c r="CFM29" t="s">
        <v>836</v>
      </c>
      <c r="CFN29" t="s">
        <v>836</v>
      </c>
      <c r="CFO29" t="s">
        <v>836</v>
      </c>
      <c r="CFP29" t="s">
        <v>836</v>
      </c>
      <c r="CFQ29" t="s">
        <v>836</v>
      </c>
      <c r="CFR29" t="s">
        <v>836</v>
      </c>
      <c r="CFS29" t="s">
        <v>836</v>
      </c>
      <c r="CFT29" t="s">
        <v>836</v>
      </c>
      <c r="CFU29" t="s">
        <v>836</v>
      </c>
      <c r="CFV29" t="s">
        <v>836</v>
      </c>
      <c r="CFW29" t="s">
        <v>836</v>
      </c>
      <c r="CFX29" t="s">
        <v>836</v>
      </c>
      <c r="CFY29" t="s">
        <v>836</v>
      </c>
      <c r="CFZ29" t="s">
        <v>836</v>
      </c>
      <c r="CGA29" t="s">
        <v>836</v>
      </c>
      <c r="CGB29" t="s">
        <v>836</v>
      </c>
      <c r="CGC29" t="s">
        <v>836</v>
      </c>
      <c r="CGD29" t="s">
        <v>836</v>
      </c>
      <c r="CGE29" t="s">
        <v>836</v>
      </c>
      <c r="CGF29" t="s">
        <v>836</v>
      </c>
      <c r="CGG29" t="s">
        <v>836</v>
      </c>
      <c r="CGH29" t="s">
        <v>836</v>
      </c>
      <c r="CGI29" t="s">
        <v>836</v>
      </c>
      <c r="CGJ29" t="s">
        <v>836</v>
      </c>
      <c r="CGK29" t="s">
        <v>836</v>
      </c>
      <c r="CGL29" t="s">
        <v>836</v>
      </c>
      <c r="CGM29" t="s">
        <v>836</v>
      </c>
      <c r="CGN29" t="s">
        <v>836</v>
      </c>
      <c r="CGO29" t="s">
        <v>836</v>
      </c>
      <c r="CGP29" t="s">
        <v>836</v>
      </c>
      <c r="CGQ29" t="s">
        <v>836</v>
      </c>
      <c r="CGR29" t="s">
        <v>836</v>
      </c>
      <c r="CGS29" t="s">
        <v>836</v>
      </c>
      <c r="CGT29" t="s">
        <v>836</v>
      </c>
      <c r="CGU29" t="s">
        <v>836</v>
      </c>
      <c r="CGV29" t="s">
        <v>836</v>
      </c>
      <c r="CGW29" t="s">
        <v>836</v>
      </c>
      <c r="CGX29" t="s">
        <v>836</v>
      </c>
      <c r="CGY29" t="s">
        <v>836</v>
      </c>
      <c r="CGZ29" t="s">
        <v>836</v>
      </c>
      <c r="CHA29" t="s">
        <v>836</v>
      </c>
      <c r="CHB29" t="s">
        <v>836</v>
      </c>
      <c r="CHC29" t="s">
        <v>836</v>
      </c>
      <c r="CHD29" t="s">
        <v>836</v>
      </c>
      <c r="CHE29" t="s">
        <v>836</v>
      </c>
      <c r="CHF29" t="s">
        <v>836</v>
      </c>
      <c r="CHG29" t="s">
        <v>836</v>
      </c>
      <c r="CHH29" t="s">
        <v>836</v>
      </c>
      <c r="CHI29" t="s">
        <v>836</v>
      </c>
      <c r="CHJ29" t="s">
        <v>836</v>
      </c>
      <c r="CHK29" t="s">
        <v>836</v>
      </c>
      <c r="CHL29" t="s">
        <v>836</v>
      </c>
      <c r="CHM29" t="s">
        <v>836</v>
      </c>
      <c r="CHN29" t="s">
        <v>836</v>
      </c>
      <c r="CHO29" t="s">
        <v>836</v>
      </c>
      <c r="CHP29" t="s">
        <v>836</v>
      </c>
      <c r="CHQ29" t="s">
        <v>836</v>
      </c>
      <c r="CHR29" t="s">
        <v>836</v>
      </c>
      <c r="CHS29" t="s">
        <v>836</v>
      </c>
      <c r="CHT29" t="s">
        <v>836</v>
      </c>
      <c r="CHU29" t="s">
        <v>836</v>
      </c>
      <c r="CHV29" t="s">
        <v>836</v>
      </c>
      <c r="CHW29" t="s">
        <v>836</v>
      </c>
      <c r="CHX29" t="s">
        <v>836</v>
      </c>
      <c r="CHY29" t="s">
        <v>836</v>
      </c>
      <c r="CHZ29" t="s">
        <v>836</v>
      </c>
      <c r="CIA29" t="s">
        <v>836</v>
      </c>
      <c r="CIB29" t="s">
        <v>836</v>
      </c>
      <c r="CIC29" t="s">
        <v>836</v>
      </c>
      <c r="CID29" t="s">
        <v>836</v>
      </c>
      <c r="CIE29" t="s">
        <v>836</v>
      </c>
      <c r="CIF29" t="s">
        <v>836</v>
      </c>
      <c r="CIG29" t="s">
        <v>836</v>
      </c>
      <c r="CIH29" t="s">
        <v>836</v>
      </c>
      <c r="CII29" t="s">
        <v>836</v>
      </c>
      <c r="CIJ29" t="s">
        <v>836</v>
      </c>
      <c r="CIK29" t="s">
        <v>836</v>
      </c>
      <c r="CIL29" t="s">
        <v>836</v>
      </c>
      <c r="CIM29" t="s">
        <v>836</v>
      </c>
      <c r="CIN29" t="s">
        <v>836</v>
      </c>
      <c r="CIO29" t="s">
        <v>836</v>
      </c>
      <c r="CIP29" t="s">
        <v>836</v>
      </c>
      <c r="CIQ29" t="s">
        <v>836</v>
      </c>
      <c r="CIR29" t="s">
        <v>836</v>
      </c>
      <c r="CIS29" t="s">
        <v>836</v>
      </c>
      <c r="CIT29" t="s">
        <v>836</v>
      </c>
      <c r="CIU29" t="s">
        <v>836</v>
      </c>
      <c r="CIV29" t="s">
        <v>836</v>
      </c>
      <c r="CIW29" t="s">
        <v>836</v>
      </c>
      <c r="CIX29" t="s">
        <v>836</v>
      </c>
      <c r="CIY29" t="s">
        <v>836</v>
      </c>
      <c r="CIZ29" t="s">
        <v>836</v>
      </c>
      <c r="CJA29" t="s">
        <v>836</v>
      </c>
      <c r="CJB29" t="s">
        <v>836</v>
      </c>
      <c r="CJC29" t="s">
        <v>836</v>
      </c>
      <c r="CJD29" t="s">
        <v>836</v>
      </c>
      <c r="CJE29" t="s">
        <v>836</v>
      </c>
      <c r="CJF29" t="s">
        <v>836</v>
      </c>
      <c r="CJG29" t="s">
        <v>836</v>
      </c>
      <c r="CJH29" t="s">
        <v>836</v>
      </c>
      <c r="CJI29" t="s">
        <v>836</v>
      </c>
      <c r="CJJ29" t="s">
        <v>836</v>
      </c>
      <c r="CJK29" t="s">
        <v>836</v>
      </c>
      <c r="CJL29" t="s">
        <v>836</v>
      </c>
      <c r="CJM29" t="s">
        <v>836</v>
      </c>
      <c r="CJN29" t="s">
        <v>836</v>
      </c>
      <c r="CJO29" t="s">
        <v>836</v>
      </c>
      <c r="CJP29" t="s">
        <v>836</v>
      </c>
      <c r="CJQ29" t="s">
        <v>836</v>
      </c>
      <c r="CJR29" t="s">
        <v>836</v>
      </c>
      <c r="CJS29" t="s">
        <v>836</v>
      </c>
      <c r="CJT29" t="s">
        <v>836</v>
      </c>
      <c r="CJU29" t="s">
        <v>836</v>
      </c>
      <c r="CJV29" t="s">
        <v>836</v>
      </c>
      <c r="CJW29" t="s">
        <v>836</v>
      </c>
      <c r="CJX29" t="s">
        <v>836</v>
      </c>
      <c r="CJY29" t="s">
        <v>836</v>
      </c>
      <c r="CJZ29" t="s">
        <v>836</v>
      </c>
      <c r="CKA29" t="s">
        <v>836</v>
      </c>
      <c r="CKB29" t="s">
        <v>836</v>
      </c>
      <c r="CKC29" t="s">
        <v>836</v>
      </c>
      <c r="CKD29" t="s">
        <v>836</v>
      </c>
      <c r="CKE29" t="s">
        <v>836</v>
      </c>
      <c r="CKF29" t="s">
        <v>836</v>
      </c>
      <c r="CKG29" t="s">
        <v>836</v>
      </c>
      <c r="CKH29" t="s">
        <v>836</v>
      </c>
      <c r="CKI29" t="s">
        <v>836</v>
      </c>
      <c r="CKJ29" t="s">
        <v>836</v>
      </c>
      <c r="CKK29" t="s">
        <v>836</v>
      </c>
      <c r="CKL29" t="s">
        <v>836</v>
      </c>
      <c r="CKM29" t="s">
        <v>836</v>
      </c>
      <c r="CKN29" t="s">
        <v>836</v>
      </c>
      <c r="CKO29" t="s">
        <v>836</v>
      </c>
      <c r="CKP29" t="s">
        <v>836</v>
      </c>
      <c r="CKQ29" t="s">
        <v>836</v>
      </c>
      <c r="CKR29" t="s">
        <v>836</v>
      </c>
      <c r="CKS29" t="s">
        <v>836</v>
      </c>
      <c r="CKT29" t="s">
        <v>836</v>
      </c>
      <c r="CKU29" t="s">
        <v>836</v>
      </c>
      <c r="CKV29" t="s">
        <v>836</v>
      </c>
      <c r="CKW29" t="s">
        <v>836</v>
      </c>
      <c r="CKX29" t="s">
        <v>836</v>
      </c>
      <c r="CKY29" t="s">
        <v>836</v>
      </c>
      <c r="CKZ29" t="s">
        <v>836</v>
      </c>
      <c r="CLA29" t="s">
        <v>836</v>
      </c>
      <c r="CLB29" t="s">
        <v>836</v>
      </c>
      <c r="CLC29" t="s">
        <v>836</v>
      </c>
      <c r="CLD29" t="s">
        <v>836</v>
      </c>
      <c r="CLE29" t="s">
        <v>836</v>
      </c>
      <c r="CLF29" t="s">
        <v>836</v>
      </c>
      <c r="CLG29" t="s">
        <v>836</v>
      </c>
      <c r="CLH29" t="s">
        <v>836</v>
      </c>
      <c r="CLI29" t="s">
        <v>836</v>
      </c>
      <c r="CLJ29" t="s">
        <v>836</v>
      </c>
      <c r="CLK29" t="s">
        <v>836</v>
      </c>
      <c r="CLL29" t="s">
        <v>836</v>
      </c>
      <c r="CLM29" t="s">
        <v>836</v>
      </c>
      <c r="CLN29" t="s">
        <v>836</v>
      </c>
      <c r="CLO29" t="s">
        <v>836</v>
      </c>
      <c r="CLP29" t="s">
        <v>836</v>
      </c>
      <c r="CLQ29" t="s">
        <v>836</v>
      </c>
      <c r="CLR29" t="s">
        <v>836</v>
      </c>
      <c r="CLS29" t="s">
        <v>836</v>
      </c>
      <c r="CLT29" t="s">
        <v>836</v>
      </c>
      <c r="CLU29" t="s">
        <v>836</v>
      </c>
      <c r="CLV29" t="s">
        <v>836</v>
      </c>
      <c r="CLW29" t="s">
        <v>836</v>
      </c>
      <c r="CLX29" t="s">
        <v>836</v>
      </c>
      <c r="CLY29" t="s">
        <v>836</v>
      </c>
      <c r="CLZ29" t="s">
        <v>836</v>
      </c>
      <c r="CMA29" t="s">
        <v>836</v>
      </c>
      <c r="CMB29" t="s">
        <v>836</v>
      </c>
      <c r="CMC29" t="s">
        <v>836</v>
      </c>
      <c r="CMD29" t="s">
        <v>836</v>
      </c>
      <c r="CME29" t="s">
        <v>836</v>
      </c>
      <c r="CMF29" t="s">
        <v>836</v>
      </c>
      <c r="CMG29" t="s">
        <v>836</v>
      </c>
      <c r="CMH29" t="s">
        <v>836</v>
      </c>
      <c r="CMI29" t="s">
        <v>836</v>
      </c>
      <c r="CMJ29" t="s">
        <v>836</v>
      </c>
      <c r="CMK29" t="s">
        <v>836</v>
      </c>
      <c r="CML29" t="s">
        <v>836</v>
      </c>
      <c r="CMM29" t="s">
        <v>836</v>
      </c>
      <c r="CMN29" t="s">
        <v>836</v>
      </c>
      <c r="CMO29" t="s">
        <v>836</v>
      </c>
      <c r="CMP29" t="s">
        <v>836</v>
      </c>
      <c r="CMQ29" t="s">
        <v>836</v>
      </c>
      <c r="CMR29" t="s">
        <v>836</v>
      </c>
      <c r="CMS29" t="s">
        <v>836</v>
      </c>
      <c r="CMT29" t="s">
        <v>836</v>
      </c>
      <c r="CMU29" t="s">
        <v>836</v>
      </c>
      <c r="CMV29" t="s">
        <v>836</v>
      </c>
      <c r="CMW29" t="s">
        <v>836</v>
      </c>
      <c r="CMX29" t="s">
        <v>836</v>
      </c>
      <c r="CMY29" t="s">
        <v>836</v>
      </c>
      <c r="CMZ29" t="s">
        <v>836</v>
      </c>
      <c r="CNA29" t="s">
        <v>836</v>
      </c>
      <c r="CNB29" t="s">
        <v>836</v>
      </c>
      <c r="CNC29" t="s">
        <v>836</v>
      </c>
      <c r="CND29" t="s">
        <v>836</v>
      </c>
      <c r="CNE29" t="s">
        <v>836</v>
      </c>
      <c r="CNF29" t="s">
        <v>836</v>
      </c>
      <c r="CNG29" t="s">
        <v>836</v>
      </c>
      <c r="CNH29" t="s">
        <v>836</v>
      </c>
      <c r="CNI29" t="s">
        <v>836</v>
      </c>
      <c r="CNJ29" t="s">
        <v>836</v>
      </c>
      <c r="CNK29" t="s">
        <v>836</v>
      </c>
      <c r="CNL29" t="s">
        <v>836</v>
      </c>
      <c r="CNM29" t="s">
        <v>836</v>
      </c>
      <c r="CNN29" t="s">
        <v>836</v>
      </c>
      <c r="CNO29" t="s">
        <v>836</v>
      </c>
      <c r="CNP29" t="s">
        <v>836</v>
      </c>
      <c r="CNQ29" t="s">
        <v>836</v>
      </c>
      <c r="CNR29" t="s">
        <v>836</v>
      </c>
      <c r="CNS29" t="s">
        <v>836</v>
      </c>
      <c r="CNT29" t="s">
        <v>836</v>
      </c>
      <c r="CNU29" t="s">
        <v>836</v>
      </c>
      <c r="CNV29" t="s">
        <v>836</v>
      </c>
      <c r="CNW29" t="s">
        <v>836</v>
      </c>
      <c r="CNX29" t="s">
        <v>836</v>
      </c>
      <c r="CNY29" t="s">
        <v>836</v>
      </c>
      <c r="CNZ29" t="s">
        <v>836</v>
      </c>
      <c r="COA29" t="s">
        <v>836</v>
      </c>
      <c r="COB29" t="s">
        <v>836</v>
      </c>
      <c r="COC29" t="s">
        <v>836</v>
      </c>
      <c r="COD29" t="s">
        <v>836</v>
      </c>
      <c r="COE29" t="s">
        <v>836</v>
      </c>
      <c r="COF29" t="s">
        <v>836</v>
      </c>
      <c r="COG29" t="s">
        <v>836</v>
      </c>
      <c r="COH29" t="s">
        <v>836</v>
      </c>
      <c r="COI29" t="s">
        <v>836</v>
      </c>
      <c r="COJ29" t="s">
        <v>836</v>
      </c>
      <c r="COK29" t="s">
        <v>836</v>
      </c>
      <c r="COL29" t="s">
        <v>836</v>
      </c>
      <c r="COM29" t="s">
        <v>836</v>
      </c>
      <c r="CON29" t="s">
        <v>836</v>
      </c>
      <c r="COO29" t="s">
        <v>836</v>
      </c>
      <c r="COP29" t="s">
        <v>836</v>
      </c>
      <c r="COQ29" t="s">
        <v>836</v>
      </c>
      <c r="COR29" t="s">
        <v>836</v>
      </c>
      <c r="COS29" t="s">
        <v>836</v>
      </c>
      <c r="COT29" t="s">
        <v>836</v>
      </c>
      <c r="COU29" t="s">
        <v>836</v>
      </c>
      <c r="COV29" t="s">
        <v>836</v>
      </c>
      <c r="COW29" t="s">
        <v>836</v>
      </c>
      <c r="COX29" t="s">
        <v>836</v>
      </c>
      <c r="COY29" t="s">
        <v>836</v>
      </c>
      <c r="COZ29" t="s">
        <v>836</v>
      </c>
      <c r="CPA29" t="s">
        <v>836</v>
      </c>
      <c r="CPB29" t="s">
        <v>836</v>
      </c>
      <c r="CPC29" t="s">
        <v>836</v>
      </c>
      <c r="CPD29" t="s">
        <v>836</v>
      </c>
      <c r="CPE29" t="s">
        <v>836</v>
      </c>
      <c r="CPF29" t="s">
        <v>836</v>
      </c>
      <c r="CPG29" t="s">
        <v>836</v>
      </c>
      <c r="CPH29" t="s">
        <v>836</v>
      </c>
      <c r="CPI29" t="s">
        <v>836</v>
      </c>
      <c r="CPJ29" t="s">
        <v>836</v>
      </c>
      <c r="CPK29" t="s">
        <v>836</v>
      </c>
      <c r="CPL29" t="s">
        <v>836</v>
      </c>
      <c r="CPM29" t="s">
        <v>836</v>
      </c>
      <c r="CPN29" t="s">
        <v>836</v>
      </c>
      <c r="CPO29" t="s">
        <v>836</v>
      </c>
      <c r="CPP29" t="s">
        <v>836</v>
      </c>
      <c r="CPQ29" t="s">
        <v>836</v>
      </c>
      <c r="CPR29" t="s">
        <v>836</v>
      </c>
      <c r="CPS29" t="s">
        <v>836</v>
      </c>
      <c r="CPT29" t="s">
        <v>836</v>
      </c>
      <c r="CPU29" t="s">
        <v>836</v>
      </c>
      <c r="CPV29" t="s">
        <v>836</v>
      </c>
      <c r="CPW29" t="s">
        <v>836</v>
      </c>
      <c r="CPX29" t="s">
        <v>836</v>
      </c>
      <c r="CPY29" t="s">
        <v>836</v>
      </c>
      <c r="CPZ29" t="s">
        <v>836</v>
      </c>
      <c r="CQA29" t="s">
        <v>836</v>
      </c>
      <c r="CQB29" t="s">
        <v>836</v>
      </c>
      <c r="CQC29" t="s">
        <v>836</v>
      </c>
      <c r="CQD29" t="s">
        <v>836</v>
      </c>
      <c r="CQE29" t="s">
        <v>836</v>
      </c>
      <c r="CQF29" t="s">
        <v>836</v>
      </c>
      <c r="CQG29" t="s">
        <v>836</v>
      </c>
      <c r="CQH29" t="s">
        <v>836</v>
      </c>
      <c r="CQI29" t="s">
        <v>836</v>
      </c>
      <c r="CQJ29" t="s">
        <v>836</v>
      </c>
      <c r="CQK29" t="s">
        <v>836</v>
      </c>
      <c r="CQL29" t="s">
        <v>836</v>
      </c>
      <c r="CQM29" t="s">
        <v>836</v>
      </c>
      <c r="CQN29" t="s">
        <v>836</v>
      </c>
      <c r="CQO29" t="s">
        <v>836</v>
      </c>
      <c r="CQP29" t="s">
        <v>836</v>
      </c>
      <c r="CQQ29" t="s">
        <v>836</v>
      </c>
      <c r="CQR29" t="s">
        <v>836</v>
      </c>
      <c r="CQS29" t="s">
        <v>836</v>
      </c>
      <c r="CQT29" t="s">
        <v>836</v>
      </c>
      <c r="CQU29" t="s">
        <v>836</v>
      </c>
      <c r="CQV29" t="s">
        <v>836</v>
      </c>
      <c r="CQW29" t="s">
        <v>836</v>
      </c>
      <c r="CQX29" t="s">
        <v>836</v>
      </c>
      <c r="CQY29" t="s">
        <v>836</v>
      </c>
      <c r="CQZ29" t="s">
        <v>836</v>
      </c>
      <c r="CRA29" t="s">
        <v>836</v>
      </c>
      <c r="CRB29" t="s">
        <v>836</v>
      </c>
      <c r="CRC29" t="s">
        <v>836</v>
      </c>
      <c r="CRD29" t="s">
        <v>836</v>
      </c>
      <c r="CRE29" t="s">
        <v>836</v>
      </c>
      <c r="CRF29" t="s">
        <v>836</v>
      </c>
      <c r="CRG29" t="s">
        <v>836</v>
      </c>
      <c r="CRH29" t="s">
        <v>836</v>
      </c>
      <c r="CRI29" t="s">
        <v>836</v>
      </c>
      <c r="CRJ29" t="s">
        <v>836</v>
      </c>
      <c r="CRK29" t="s">
        <v>836</v>
      </c>
      <c r="CRL29" t="s">
        <v>836</v>
      </c>
      <c r="CRM29" t="s">
        <v>836</v>
      </c>
      <c r="CRN29" t="s">
        <v>836</v>
      </c>
      <c r="CRO29" t="s">
        <v>836</v>
      </c>
      <c r="CRP29" t="s">
        <v>836</v>
      </c>
      <c r="CRQ29" t="s">
        <v>836</v>
      </c>
      <c r="CRR29" t="s">
        <v>836</v>
      </c>
      <c r="CRS29" t="s">
        <v>836</v>
      </c>
      <c r="CRT29" t="s">
        <v>836</v>
      </c>
      <c r="CRU29" t="s">
        <v>836</v>
      </c>
      <c r="CRV29" t="s">
        <v>836</v>
      </c>
      <c r="CRW29" t="s">
        <v>836</v>
      </c>
      <c r="CRX29" t="s">
        <v>836</v>
      </c>
      <c r="CRY29" t="s">
        <v>836</v>
      </c>
      <c r="CRZ29" t="s">
        <v>836</v>
      </c>
      <c r="CSA29" t="s">
        <v>836</v>
      </c>
      <c r="CSB29" t="s">
        <v>836</v>
      </c>
      <c r="CSC29" t="s">
        <v>836</v>
      </c>
      <c r="CSD29" t="s">
        <v>836</v>
      </c>
      <c r="CSE29" t="s">
        <v>836</v>
      </c>
      <c r="CSF29" t="s">
        <v>836</v>
      </c>
      <c r="CSG29" t="s">
        <v>836</v>
      </c>
      <c r="CSH29" t="s">
        <v>836</v>
      </c>
      <c r="CSI29" t="s">
        <v>836</v>
      </c>
      <c r="CSJ29" t="s">
        <v>836</v>
      </c>
      <c r="CSK29" t="s">
        <v>836</v>
      </c>
      <c r="CSL29" t="s">
        <v>836</v>
      </c>
      <c r="CSM29" t="s">
        <v>836</v>
      </c>
      <c r="CSN29" t="s">
        <v>836</v>
      </c>
      <c r="CSO29" t="s">
        <v>836</v>
      </c>
      <c r="CSP29" t="s">
        <v>836</v>
      </c>
      <c r="CSQ29" t="s">
        <v>836</v>
      </c>
      <c r="CSR29" t="s">
        <v>836</v>
      </c>
      <c r="CSS29" t="s">
        <v>836</v>
      </c>
      <c r="CST29" t="s">
        <v>836</v>
      </c>
      <c r="CSU29" t="s">
        <v>836</v>
      </c>
      <c r="CSV29" t="s">
        <v>836</v>
      </c>
      <c r="CSW29" t="s">
        <v>836</v>
      </c>
      <c r="CSX29" t="s">
        <v>836</v>
      </c>
      <c r="CSY29" t="s">
        <v>836</v>
      </c>
      <c r="CSZ29" t="s">
        <v>836</v>
      </c>
      <c r="CTA29" t="s">
        <v>836</v>
      </c>
      <c r="CTB29" t="s">
        <v>836</v>
      </c>
      <c r="CTC29" t="s">
        <v>836</v>
      </c>
      <c r="CTD29" t="s">
        <v>836</v>
      </c>
      <c r="CTE29" t="s">
        <v>836</v>
      </c>
      <c r="CTF29" t="s">
        <v>836</v>
      </c>
      <c r="CTG29" t="s">
        <v>836</v>
      </c>
      <c r="CTH29" t="s">
        <v>836</v>
      </c>
      <c r="CTI29" t="s">
        <v>836</v>
      </c>
      <c r="CTJ29" t="s">
        <v>836</v>
      </c>
      <c r="CTK29" t="s">
        <v>836</v>
      </c>
      <c r="CTL29" t="s">
        <v>836</v>
      </c>
      <c r="CTM29" t="s">
        <v>836</v>
      </c>
      <c r="CTN29" t="s">
        <v>836</v>
      </c>
      <c r="CTO29" t="s">
        <v>836</v>
      </c>
      <c r="CTP29" t="s">
        <v>836</v>
      </c>
      <c r="CTQ29" t="s">
        <v>836</v>
      </c>
      <c r="CTR29" t="s">
        <v>836</v>
      </c>
      <c r="CTS29" t="s">
        <v>836</v>
      </c>
      <c r="CTT29" t="s">
        <v>836</v>
      </c>
      <c r="CTU29" t="s">
        <v>836</v>
      </c>
      <c r="CTV29" t="s">
        <v>836</v>
      </c>
      <c r="CTW29" t="s">
        <v>836</v>
      </c>
      <c r="CTX29" t="s">
        <v>836</v>
      </c>
      <c r="CTY29" t="s">
        <v>836</v>
      </c>
      <c r="CTZ29" t="s">
        <v>836</v>
      </c>
      <c r="CUA29" t="s">
        <v>836</v>
      </c>
      <c r="CUB29" t="s">
        <v>836</v>
      </c>
      <c r="CUC29" t="s">
        <v>836</v>
      </c>
      <c r="CUD29" t="s">
        <v>836</v>
      </c>
      <c r="CUE29" t="s">
        <v>836</v>
      </c>
      <c r="CUF29" t="s">
        <v>836</v>
      </c>
      <c r="CUG29" t="s">
        <v>836</v>
      </c>
      <c r="CUH29" t="s">
        <v>836</v>
      </c>
      <c r="CUI29" t="s">
        <v>836</v>
      </c>
      <c r="CUJ29" t="s">
        <v>836</v>
      </c>
      <c r="CUK29" t="s">
        <v>836</v>
      </c>
      <c r="CUL29" t="s">
        <v>836</v>
      </c>
      <c r="CUM29" t="s">
        <v>836</v>
      </c>
      <c r="CUN29" t="s">
        <v>836</v>
      </c>
      <c r="CUO29" t="s">
        <v>836</v>
      </c>
      <c r="CUP29" t="s">
        <v>836</v>
      </c>
      <c r="CUQ29" t="s">
        <v>836</v>
      </c>
      <c r="CUR29" t="s">
        <v>836</v>
      </c>
      <c r="CUS29" t="s">
        <v>836</v>
      </c>
      <c r="CUT29" t="s">
        <v>836</v>
      </c>
      <c r="CUU29" t="s">
        <v>836</v>
      </c>
      <c r="CUV29" t="s">
        <v>836</v>
      </c>
      <c r="CUW29" t="s">
        <v>836</v>
      </c>
      <c r="CUX29" t="s">
        <v>836</v>
      </c>
      <c r="CUY29" t="s">
        <v>836</v>
      </c>
      <c r="CUZ29" t="s">
        <v>836</v>
      </c>
      <c r="CVA29" t="s">
        <v>836</v>
      </c>
      <c r="CVB29" t="s">
        <v>836</v>
      </c>
      <c r="CVC29" t="s">
        <v>836</v>
      </c>
      <c r="CVD29" t="s">
        <v>836</v>
      </c>
      <c r="CVE29" t="s">
        <v>836</v>
      </c>
      <c r="CVF29" t="s">
        <v>836</v>
      </c>
      <c r="CVG29" t="s">
        <v>836</v>
      </c>
      <c r="CVH29" t="s">
        <v>836</v>
      </c>
      <c r="CVI29" t="s">
        <v>836</v>
      </c>
      <c r="CVJ29" t="s">
        <v>836</v>
      </c>
      <c r="CVK29" t="s">
        <v>836</v>
      </c>
      <c r="CVL29" t="s">
        <v>836</v>
      </c>
      <c r="CVM29" t="s">
        <v>836</v>
      </c>
      <c r="CVN29" t="s">
        <v>836</v>
      </c>
      <c r="CVO29" t="s">
        <v>836</v>
      </c>
      <c r="CVP29" t="s">
        <v>836</v>
      </c>
      <c r="CVQ29" t="s">
        <v>836</v>
      </c>
      <c r="CVR29" t="s">
        <v>836</v>
      </c>
      <c r="CVS29" t="s">
        <v>836</v>
      </c>
      <c r="CVT29" t="s">
        <v>836</v>
      </c>
      <c r="CVU29" t="s">
        <v>836</v>
      </c>
      <c r="CVV29" t="s">
        <v>836</v>
      </c>
      <c r="CVW29" t="s">
        <v>836</v>
      </c>
      <c r="CVX29" t="s">
        <v>836</v>
      </c>
      <c r="CVY29" t="s">
        <v>836</v>
      </c>
      <c r="CVZ29" t="s">
        <v>836</v>
      </c>
      <c r="CWA29" t="s">
        <v>836</v>
      </c>
      <c r="CWB29" t="s">
        <v>836</v>
      </c>
      <c r="CWC29" t="s">
        <v>836</v>
      </c>
      <c r="CWD29" t="s">
        <v>836</v>
      </c>
      <c r="CWE29" t="s">
        <v>836</v>
      </c>
      <c r="CWF29" t="s">
        <v>836</v>
      </c>
      <c r="CWG29" t="s">
        <v>836</v>
      </c>
      <c r="CWH29" t="s">
        <v>836</v>
      </c>
      <c r="CWI29" t="s">
        <v>836</v>
      </c>
      <c r="CWJ29" t="s">
        <v>836</v>
      </c>
      <c r="CWK29" t="s">
        <v>836</v>
      </c>
      <c r="CWL29" t="s">
        <v>836</v>
      </c>
      <c r="CWM29" t="s">
        <v>836</v>
      </c>
      <c r="CWN29" t="s">
        <v>836</v>
      </c>
      <c r="CWO29" t="s">
        <v>836</v>
      </c>
      <c r="CWP29" t="s">
        <v>836</v>
      </c>
      <c r="CWQ29" t="s">
        <v>836</v>
      </c>
      <c r="CWR29" t="s">
        <v>836</v>
      </c>
      <c r="CWS29" t="s">
        <v>836</v>
      </c>
      <c r="CWT29" t="s">
        <v>836</v>
      </c>
      <c r="CWU29" t="s">
        <v>836</v>
      </c>
      <c r="CWV29" t="s">
        <v>836</v>
      </c>
      <c r="CWW29" t="s">
        <v>836</v>
      </c>
      <c r="CWX29" t="s">
        <v>836</v>
      </c>
      <c r="CWY29" t="s">
        <v>836</v>
      </c>
      <c r="CWZ29" t="s">
        <v>836</v>
      </c>
      <c r="CXA29" t="s">
        <v>836</v>
      </c>
      <c r="CXB29" t="s">
        <v>836</v>
      </c>
      <c r="CXC29" t="s">
        <v>836</v>
      </c>
      <c r="CXD29" t="s">
        <v>836</v>
      </c>
      <c r="CXE29" t="s">
        <v>836</v>
      </c>
      <c r="CXF29" t="s">
        <v>836</v>
      </c>
      <c r="CXG29" t="s">
        <v>836</v>
      </c>
      <c r="CXH29" t="s">
        <v>836</v>
      </c>
      <c r="CXI29" t="s">
        <v>836</v>
      </c>
      <c r="CXJ29" t="s">
        <v>836</v>
      </c>
      <c r="CXK29" t="s">
        <v>836</v>
      </c>
      <c r="CXL29" t="s">
        <v>836</v>
      </c>
      <c r="CXM29" t="s">
        <v>836</v>
      </c>
      <c r="CXN29" t="s">
        <v>836</v>
      </c>
      <c r="CXO29" t="s">
        <v>836</v>
      </c>
      <c r="CXP29" t="s">
        <v>836</v>
      </c>
      <c r="CXQ29" t="s">
        <v>836</v>
      </c>
      <c r="CXR29" t="s">
        <v>836</v>
      </c>
      <c r="CXS29" t="s">
        <v>836</v>
      </c>
      <c r="CXT29" t="s">
        <v>836</v>
      </c>
      <c r="CXU29" t="s">
        <v>836</v>
      </c>
      <c r="CXV29" t="s">
        <v>836</v>
      </c>
      <c r="CXW29" t="s">
        <v>836</v>
      </c>
      <c r="CXX29" t="s">
        <v>836</v>
      </c>
      <c r="CXY29" t="s">
        <v>836</v>
      </c>
      <c r="CXZ29" t="s">
        <v>836</v>
      </c>
      <c r="CYA29" t="s">
        <v>836</v>
      </c>
      <c r="CYB29" t="s">
        <v>836</v>
      </c>
      <c r="CYC29" t="s">
        <v>836</v>
      </c>
      <c r="CYD29" t="s">
        <v>836</v>
      </c>
      <c r="CYE29" t="s">
        <v>836</v>
      </c>
      <c r="CYF29" t="s">
        <v>836</v>
      </c>
      <c r="CYG29" t="s">
        <v>836</v>
      </c>
      <c r="CYH29" t="s">
        <v>836</v>
      </c>
      <c r="CYI29" t="s">
        <v>836</v>
      </c>
      <c r="CYJ29" t="s">
        <v>836</v>
      </c>
      <c r="CYK29" t="s">
        <v>836</v>
      </c>
      <c r="CYL29" t="s">
        <v>836</v>
      </c>
      <c r="CYM29" t="s">
        <v>836</v>
      </c>
      <c r="CYN29" t="s">
        <v>836</v>
      </c>
      <c r="CYO29" t="s">
        <v>836</v>
      </c>
      <c r="CYP29" t="s">
        <v>836</v>
      </c>
      <c r="CYQ29" t="s">
        <v>836</v>
      </c>
      <c r="CYR29" t="s">
        <v>836</v>
      </c>
      <c r="CYS29" t="s">
        <v>836</v>
      </c>
      <c r="CYT29" t="s">
        <v>836</v>
      </c>
      <c r="CYU29" t="s">
        <v>836</v>
      </c>
      <c r="CYV29" t="s">
        <v>836</v>
      </c>
      <c r="CYW29" t="s">
        <v>836</v>
      </c>
      <c r="CYX29" t="s">
        <v>836</v>
      </c>
      <c r="CYY29" t="s">
        <v>836</v>
      </c>
      <c r="CYZ29" t="s">
        <v>836</v>
      </c>
      <c r="CZA29" t="s">
        <v>836</v>
      </c>
      <c r="CZB29" t="s">
        <v>836</v>
      </c>
      <c r="CZC29" t="s">
        <v>836</v>
      </c>
      <c r="CZD29" t="s">
        <v>836</v>
      </c>
      <c r="CZE29" t="s">
        <v>836</v>
      </c>
      <c r="CZF29" t="s">
        <v>836</v>
      </c>
      <c r="CZG29" t="s">
        <v>836</v>
      </c>
      <c r="CZH29" t="s">
        <v>836</v>
      </c>
      <c r="CZI29" t="s">
        <v>836</v>
      </c>
      <c r="CZJ29" t="s">
        <v>836</v>
      </c>
      <c r="CZK29" t="s">
        <v>836</v>
      </c>
      <c r="CZL29" t="s">
        <v>836</v>
      </c>
      <c r="CZM29" t="s">
        <v>836</v>
      </c>
      <c r="CZN29" t="s">
        <v>836</v>
      </c>
      <c r="CZO29" t="s">
        <v>836</v>
      </c>
      <c r="CZP29" t="s">
        <v>836</v>
      </c>
      <c r="CZQ29" t="s">
        <v>836</v>
      </c>
      <c r="CZR29" t="s">
        <v>836</v>
      </c>
      <c r="CZS29" t="s">
        <v>836</v>
      </c>
      <c r="CZT29" t="s">
        <v>836</v>
      </c>
      <c r="CZU29" t="s">
        <v>836</v>
      </c>
      <c r="CZV29" t="s">
        <v>836</v>
      </c>
      <c r="CZW29" t="s">
        <v>836</v>
      </c>
      <c r="CZX29" t="s">
        <v>836</v>
      </c>
      <c r="CZY29" t="s">
        <v>836</v>
      </c>
      <c r="CZZ29" t="s">
        <v>836</v>
      </c>
      <c r="DAA29" t="s">
        <v>836</v>
      </c>
      <c r="DAB29" t="s">
        <v>836</v>
      </c>
      <c r="DAC29" t="s">
        <v>836</v>
      </c>
      <c r="DAD29" t="s">
        <v>836</v>
      </c>
      <c r="DAE29" t="s">
        <v>836</v>
      </c>
      <c r="DAF29" t="s">
        <v>836</v>
      </c>
      <c r="DAG29" t="s">
        <v>836</v>
      </c>
      <c r="DAH29" t="s">
        <v>836</v>
      </c>
      <c r="DAI29" t="s">
        <v>836</v>
      </c>
      <c r="DAJ29" t="s">
        <v>836</v>
      </c>
      <c r="DAK29" t="s">
        <v>836</v>
      </c>
      <c r="DAL29" t="s">
        <v>836</v>
      </c>
      <c r="DAM29" t="s">
        <v>836</v>
      </c>
      <c r="DAN29" t="s">
        <v>836</v>
      </c>
      <c r="DAO29" t="s">
        <v>836</v>
      </c>
      <c r="DAP29" t="s">
        <v>836</v>
      </c>
      <c r="DAQ29" t="s">
        <v>836</v>
      </c>
      <c r="DAR29" t="s">
        <v>836</v>
      </c>
      <c r="DAS29" t="s">
        <v>836</v>
      </c>
      <c r="DAT29" t="s">
        <v>836</v>
      </c>
      <c r="DAU29" t="s">
        <v>836</v>
      </c>
      <c r="DAV29" t="s">
        <v>836</v>
      </c>
      <c r="DAW29" t="s">
        <v>836</v>
      </c>
      <c r="DAX29" t="s">
        <v>836</v>
      </c>
      <c r="DAY29" t="s">
        <v>836</v>
      </c>
      <c r="DAZ29" t="s">
        <v>836</v>
      </c>
      <c r="DBA29" t="s">
        <v>836</v>
      </c>
      <c r="DBB29" t="s">
        <v>836</v>
      </c>
      <c r="DBC29" t="s">
        <v>836</v>
      </c>
      <c r="DBD29" t="s">
        <v>836</v>
      </c>
      <c r="DBE29" t="s">
        <v>836</v>
      </c>
      <c r="DBF29" t="s">
        <v>836</v>
      </c>
      <c r="DBG29" t="s">
        <v>836</v>
      </c>
      <c r="DBH29" t="s">
        <v>836</v>
      </c>
      <c r="DBI29" t="s">
        <v>836</v>
      </c>
      <c r="DBJ29" t="s">
        <v>836</v>
      </c>
      <c r="DBK29" t="s">
        <v>836</v>
      </c>
      <c r="DBL29" t="s">
        <v>836</v>
      </c>
      <c r="DBM29" t="s">
        <v>836</v>
      </c>
      <c r="DBN29" t="s">
        <v>836</v>
      </c>
      <c r="DBO29" t="s">
        <v>836</v>
      </c>
      <c r="DBP29" t="s">
        <v>836</v>
      </c>
      <c r="DBQ29" t="s">
        <v>836</v>
      </c>
      <c r="DBR29" t="s">
        <v>836</v>
      </c>
      <c r="DBS29" t="s">
        <v>836</v>
      </c>
      <c r="DBT29" t="s">
        <v>836</v>
      </c>
      <c r="DBU29" t="s">
        <v>836</v>
      </c>
      <c r="DBV29" t="s">
        <v>836</v>
      </c>
      <c r="DBW29" t="s">
        <v>836</v>
      </c>
      <c r="DBX29" t="s">
        <v>836</v>
      </c>
      <c r="DBY29" t="s">
        <v>836</v>
      </c>
      <c r="DBZ29" t="s">
        <v>836</v>
      </c>
      <c r="DCA29" t="s">
        <v>836</v>
      </c>
      <c r="DCB29" t="s">
        <v>836</v>
      </c>
      <c r="DCC29" t="s">
        <v>836</v>
      </c>
      <c r="DCD29" t="s">
        <v>836</v>
      </c>
      <c r="DCE29" t="s">
        <v>836</v>
      </c>
      <c r="DCF29" t="s">
        <v>836</v>
      </c>
      <c r="DCG29" t="s">
        <v>836</v>
      </c>
      <c r="DCH29" t="s">
        <v>836</v>
      </c>
      <c r="DCI29" t="s">
        <v>836</v>
      </c>
      <c r="DCJ29" t="s">
        <v>836</v>
      </c>
      <c r="DCK29" t="s">
        <v>836</v>
      </c>
      <c r="DCL29" t="s">
        <v>836</v>
      </c>
      <c r="DCM29" t="s">
        <v>836</v>
      </c>
      <c r="DCN29" t="s">
        <v>836</v>
      </c>
      <c r="DCO29" t="s">
        <v>836</v>
      </c>
      <c r="DCP29" t="s">
        <v>836</v>
      </c>
      <c r="DCQ29" t="s">
        <v>836</v>
      </c>
      <c r="DCR29" t="s">
        <v>836</v>
      </c>
      <c r="DCS29" t="s">
        <v>836</v>
      </c>
      <c r="DCT29" t="s">
        <v>836</v>
      </c>
      <c r="DCU29" t="s">
        <v>836</v>
      </c>
      <c r="DCV29" t="s">
        <v>836</v>
      </c>
      <c r="DCW29" t="s">
        <v>836</v>
      </c>
      <c r="DCX29" t="s">
        <v>836</v>
      </c>
      <c r="DCY29" t="s">
        <v>836</v>
      </c>
      <c r="DCZ29" t="s">
        <v>836</v>
      </c>
      <c r="DDA29" t="s">
        <v>836</v>
      </c>
      <c r="DDB29" t="s">
        <v>836</v>
      </c>
      <c r="DDC29" t="s">
        <v>836</v>
      </c>
      <c r="DDD29" t="s">
        <v>836</v>
      </c>
      <c r="DDE29" t="s">
        <v>836</v>
      </c>
      <c r="DDF29" t="s">
        <v>836</v>
      </c>
      <c r="DDG29" t="s">
        <v>836</v>
      </c>
      <c r="DDH29" t="s">
        <v>836</v>
      </c>
      <c r="DDI29" t="s">
        <v>836</v>
      </c>
      <c r="DDJ29" t="s">
        <v>836</v>
      </c>
      <c r="DDK29" t="s">
        <v>836</v>
      </c>
      <c r="DDL29" t="s">
        <v>836</v>
      </c>
      <c r="DDM29" t="s">
        <v>836</v>
      </c>
      <c r="DDN29" t="s">
        <v>836</v>
      </c>
      <c r="DDO29" t="s">
        <v>836</v>
      </c>
      <c r="DDP29" t="s">
        <v>836</v>
      </c>
      <c r="DDQ29" t="s">
        <v>836</v>
      </c>
      <c r="DDR29" t="s">
        <v>836</v>
      </c>
      <c r="DDS29" t="s">
        <v>836</v>
      </c>
      <c r="DDT29" t="s">
        <v>836</v>
      </c>
      <c r="DDU29" t="s">
        <v>836</v>
      </c>
      <c r="DDV29" t="s">
        <v>836</v>
      </c>
      <c r="DDW29" t="s">
        <v>836</v>
      </c>
      <c r="DDX29" t="s">
        <v>836</v>
      </c>
      <c r="DDY29" t="s">
        <v>836</v>
      </c>
      <c r="DDZ29" t="s">
        <v>836</v>
      </c>
      <c r="DEA29" t="s">
        <v>836</v>
      </c>
      <c r="DEB29" t="s">
        <v>836</v>
      </c>
      <c r="DEC29" t="s">
        <v>836</v>
      </c>
      <c r="DED29" t="s">
        <v>836</v>
      </c>
      <c r="DEE29" t="s">
        <v>836</v>
      </c>
      <c r="DEF29" t="s">
        <v>836</v>
      </c>
      <c r="DEG29" t="s">
        <v>836</v>
      </c>
      <c r="DEH29" t="s">
        <v>836</v>
      </c>
      <c r="DEI29" t="s">
        <v>836</v>
      </c>
      <c r="DEJ29" t="s">
        <v>836</v>
      </c>
      <c r="DEK29" t="s">
        <v>836</v>
      </c>
      <c r="DEL29" t="s">
        <v>836</v>
      </c>
      <c r="DEM29" t="s">
        <v>836</v>
      </c>
      <c r="DEN29" t="s">
        <v>836</v>
      </c>
      <c r="DEO29" t="s">
        <v>836</v>
      </c>
      <c r="DEP29" t="s">
        <v>836</v>
      </c>
      <c r="DEQ29" t="s">
        <v>836</v>
      </c>
      <c r="DER29" t="s">
        <v>836</v>
      </c>
      <c r="DES29" t="s">
        <v>836</v>
      </c>
      <c r="DET29" t="s">
        <v>836</v>
      </c>
      <c r="DEU29" t="s">
        <v>836</v>
      </c>
      <c r="DEV29" t="s">
        <v>836</v>
      </c>
      <c r="DEW29" t="s">
        <v>836</v>
      </c>
      <c r="DEX29" t="s">
        <v>836</v>
      </c>
      <c r="DEY29" t="s">
        <v>836</v>
      </c>
      <c r="DEZ29" t="s">
        <v>836</v>
      </c>
      <c r="DFA29" t="s">
        <v>836</v>
      </c>
      <c r="DFB29" t="s">
        <v>836</v>
      </c>
      <c r="DFC29" t="s">
        <v>836</v>
      </c>
      <c r="DFD29" t="s">
        <v>836</v>
      </c>
      <c r="DFE29" t="s">
        <v>836</v>
      </c>
      <c r="DFF29" t="s">
        <v>836</v>
      </c>
      <c r="DFG29" t="s">
        <v>836</v>
      </c>
      <c r="DFH29" t="s">
        <v>836</v>
      </c>
      <c r="DFI29" t="s">
        <v>836</v>
      </c>
      <c r="DFJ29" t="s">
        <v>836</v>
      </c>
      <c r="DFK29" t="s">
        <v>836</v>
      </c>
      <c r="DFL29" t="s">
        <v>836</v>
      </c>
      <c r="DFM29" t="s">
        <v>836</v>
      </c>
      <c r="DFN29" t="s">
        <v>836</v>
      </c>
      <c r="DFO29" t="s">
        <v>836</v>
      </c>
      <c r="DFP29" t="s">
        <v>836</v>
      </c>
      <c r="DFQ29" t="s">
        <v>836</v>
      </c>
      <c r="DFR29" t="s">
        <v>836</v>
      </c>
      <c r="DFS29" t="s">
        <v>836</v>
      </c>
      <c r="DFT29" t="s">
        <v>836</v>
      </c>
      <c r="DFU29" t="s">
        <v>836</v>
      </c>
      <c r="DFV29" t="s">
        <v>836</v>
      </c>
      <c r="DFW29" t="s">
        <v>836</v>
      </c>
      <c r="DFX29" t="s">
        <v>836</v>
      </c>
      <c r="DFY29" t="s">
        <v>836</v>
      </c>
      <c r="DFZ29" t="s">
        <v>836</v>
      </c>
      <c r="DGA29" t="s">
        <v>836</v>
      </c>
      <c r="DGB29" t="s">
        <v>836</v>
      </c>
      <c r="DGC29" t="s">
        <v>836</v>
      </c>
      <c r="DGD29" t="s">
        <v>836</v>
      </c>
      <c r="DGE29" t="s">
        <v>836</v>
      </c>
      <c r="DGF29" t="s">
        <v>836</v>
      </c>
      <c r="DGG29" t="s">
        <v>836</v>
      </c>
      <c r="DGH29" t="s">
        <v>836</v>
      </c>
      <c r="DGI29" t="s">
        <v>836</v>
      </c>
      <c r="DGJ29" t="s">
        <v>836</v>
      </c>
      <c r="DGK29" t="s">
        <v>836</v>
      </c>
      <c r="DGL29" t="s">
        <v>836</v>
      </c>
      <c r="DGM29" t="s">
        <v>836</v>
      </c>
      <c r="DGN29" t="s">
        <v>836</v>
      </c>
      <c r="DGO29" t="s">
        <v>836</v>
      </c>
      <c r="DGP29" t="s">
        <v>836</v>
      </c>
      <c r="DGQ29" t="s">
        <v>836</v>
      </c>
      <c r="DGR29" t="s">
        <v>836</v>
      </c>
      <c r="DGS29" t="s">
        <v>836</v>
      </c>
      <c r="DGT29" t="s">
        <v>836</v>
      </c>
      <c r="DGU29" t="s">
        <v>836</v>
      </c>
      <c r="DGV29" t="s">
        <v>836</v>
      </c>
      <c r="DGW29" t="s">
        <v>836</v>
      </c>
      <c r="DGX29" t="s">
        <v>836</v>
      </c>
      <c r="DGY29" t="s">
        <v>836</v>
      </c>
      <c r="DGZ29" t="s">
        <v>836</v>
      </c>
      <c r="DHA29" t="s">
        <v>836</v>
      </c>
      <c r="DHB29" t="s">
        <v>836</v>
      </c>
      <c r="DHC29" t="s">
        <v>836</v>
      </c>
      <c r="DHD29" t="s">
        <v>836</v>
      </c>
      <c r="DHE29" t="s">
        <v>836</v>
      </c>
      <c r="DHF29" t="s">
        <v>836</v>
      </c>
      <c r="DHG29" t="s">
        <v>836</v>
      </c>
      <c r="DHH29" t="s">
        <v>836</v>
      </c>
      <c r="DHI29" t="s">
        <v>836</v>
      </c>
      <c r="DHJ29" t="s">
        <v>836</v>
      </c>
      <c r="DHK29" t="s">
        <v>836</v>
      </c>
      <c r="DHL29" t="s">
        <v>836</v>
      </c>
      <c r="DHM29" t="s">
        <v>836</v>
      </c>
      <c r="DHN29" t="s">
        <v>836</v>
      </c>
      <c r="DHO29" t="s">
        <v>836</v>
      </c>
      <c r="DHP29" t="s">
        <v>836</v>
      </c>
      <c r="DHQ29" t="s">
        <v>836</v>
      </c>
      <c r="DHR29" t="s">
        <v>836</v>
      </c>
      <c r="DHS29" t="s">
        <v>836</v>
      </c>
      <c r="DHT29" t="s">
        <v>836</v>
      </c>
      <c r="DHU29" t="s">
        <v>836</v>
      </c>
      <c r="DHV29" t="s">
        <v>836</v>
      </c>
      <c r="DHW29" t="s">
        <v>836</v>
      </c>
      <c r="DHX29" t="s">
        <v>836</v>
      </c>
      <c r="DHY29" t="s">
        <v>836</v>
      </c>
      <c r="DHZ29" t="s">
        <v>836</v>
      </c>
      <c r="DIA29" t="s">
        <v>836</v>
      </c>
      <c r="DIB29" t="s">
        <v>836</v>
      </c>
      <c r="DIC29" t="s">
        <v>836</v>
      </c>
      <c r="DID29" t="s">
        <v>836</v>
      </c>
      <c r="DIE29" t="s">
        <v>836</v>
      </c>
      <c r="DIF29" t="s">
        <v>836</v>
      </c>
      <c r="DIG29" t="s">
        <v>836</v>
      </c>
      <c r="DIH29" t="s">
        <v>836</v>
      </c>
      <c r="DII29" t="s">
        <v>836</v>
      </c>
      <c r="DIJ29" t="s">
        <v>836</v>
      </c>
      <c r="DIK29" t="s">
        <v>836</v>
      </c>
      <c r="DIL29" t="s">
        <v>836</v>
      </c>
      <c r="DIM29" t="s">
        <v>836</v>
      </c>
      <c r="DIN29" t="s">
        <v>836</v>
      </c>
      <c r="DIO29" t="s">
        <v>836</v>
      </c>
      <c r="DIP29" t="s">
        <v>836</v>
      </c>
      <c r="DIQ29" t="s">
        <v>836</v>
      </c>
      <c r="DIR29" t="s">
        <v>836</v>
      </c>
      <c r="DIS29" t="s">
        <v>836</v>
      </c>
      <c r="DIT29" t="s">
        <v>836</v>
      </c>
      <c r="DIU29" t="s">
        <v>836</v>
      </c>
      <c r="DIV29" t="s">
        <v>836</v>
      </c>
      <c r="DIW29" t="s">
        <v>836</v>
      </c>
      <c r="DIX29" t="s">
        <v>836</v>
      </c>
      <c r="DIY29" t="s">
        <v>836</v>
      </c>
      <c r="DIZ29" t="s">
        <v>836</v>
      </c>
      <c r="DJA29" t="s">
        <v>836</v>
      </c>
      <c r="DJB29" t="s">
        <v>836</v>
      </c>
      <c r="DJC29" t="s">
        <v>836</v>
      </c>
      <c r="DJD29" t="s">
        <v>836</v>
      </c>
      <c r="DJE29" t="s">
        <v>836</v>
      </c>
      <c r="DJF29" t="s">
        <v>836</v>
      </c>
      <c r="DJG29" t="s">
        <v>836</v>
      </c>
      <c r="DJH29" t="s">
        <v>836</v>
      </c>
      <c r="DJI29" t="s">
        <v>836</v>
      </c>
      <c r="DJJ29" t="s">
        <v>836</v>
      </c>
      <c r="DJK29" t="s">
        <v>836</v>
      </c>
      <c r="DJL29" t="s">
        <v>836</v>
      </c>
      <c r="DJM29" t="s">
        <v>836</v>
      </c>
      <c r="DJN29" t="s">
        <v>836</v>
      </c>
      <c r="DJO29" t="s">
        <v>836</v>
      </c>
      <c r="DJP29" t="s">
        <v>836</v>
      </c>
      <c r="DJQ29" t="s">
        <v>836</v>
      </c>
      <c r="DJR29" t="s">
        <v>836</v>
      </c>
      <c r="DJS29" t="s">
        <v>836</v>
      </c>
      <c r="DJT29" t="s">
        <v>836</v>
      </c>
      <c r="DJU29" t="s">
        <v>836</v>
      </c>
      <c r="DJV29" t="s">
        <v>836</v>
      </c>
      <c r="DJW29" t="s">
        <v>836</v>
      </c>
      <c r="DJX29" t="s">
        <v>836</v>
      </c>
      <c r="DJY29" t="s">
        <v>836</v>
      </c>
      <c r="DJZ29" t="s">
        <v>836</v>
      </c>
      <c r="DKA29" t="s">
        <v>836</v>
      </c>
      <c r="DKB29" t="s">
        <v>836</v>
      </c>
      <c r="DKC29" t="s">
        <v>836</v>
      </c>
      <c r="DKD29" t="s">
        <v>836</v>
      </c>
      <c r="DKE29" t="s">
        <v>836</v>
      </c>
      <c r="DKF29" t="s">
        <v>836</v>
      </c>
      <c r="DKG29" t="s">
        <v>836</v>
      </c>
      <c r="DKH29" t="s">
        <v>836</v>
      </c>
      <c r="DKI29" t="s">
        <v>836</v>
      </c>
      <c r="DKJ29" t="s">
        <v>836</v>
      </c>
      <c r="DKK29" t="s">
        <v>836</v>
      </c>
      <c r="DKL29" t="s">
        <v>836</v>
      </c>
      <c r="DKM29" t="s">
        <v>836</v>
      </c>
      <c r="DKN29" t="s">
        <v>836</v>
      </c>
      <c r="DKO29" t="s">
        <v>836</v>
      </c>
      <c r="DKP29" t="s">
        <v>836</v>
      </c>
      <c r="DKQ29" t="s">
        <v>836</v>
      </c>
      <c r="DKR29" t="s">
        <v>836</v>
      </c>
      <c r="DKS29" t="s">
        <v>836</v>
      </c>
      <c r="DKT29" t="s">
        <v>836</v>
      </c>
      <c r="DKU29" t="s">
        <v>836</v>
      </c>
      <c r="DKV29" t="s">
        <v>836</v>
      </c>
      <c r="DKW29" t="s">
        <v>836</v>
      </c>
      <c r="DKX29" t="s">
        <v>836</v>
      </c>
      <c r="DKY29" t="s">
        <v>836</v>
      </c>
      <c r="DKZ29" t="s">
        <v>836</v>
      </c>
      <c r="DLA29" t="s">
        <v>836</v>
      </c>
      <c r="DLB29" t="s">
        <v>836</v>
      </c>
      <c r="DLC29" t="s">
        <v>836</v>
      </c>
      <c r="DLD29" t="s">
        <v>836</v>
      </c>
      <c r="DLE29" t="s">
        <v>836</v>
      </c>
      <c r="DLF29" t="s">
        <v>836</v>
      </c>
      <c r="DLG29" t="s">
        <v>836</v>
      </c>
      <c r="DLH29" t="s">
        <v>836</v>
      </c>
      <c r="DLI29" t="s">
        <v>836</v>
      </c>
      <c r="DLJ29" t="s">
        <v>836</v>
      </c>
      <c r="DLK29" t="s">
        <v>836</v>
      </c>
      <c r="DLL29" t="s">
        <v>836</v>
      </c>
      <c r="DLM29" t="s">
        <v>836</v>
      </c>
      <c r="DLN29" t="s">
        <v>836</v>
      </c>
      <c r="DLO29" t="s">
        <v>836</v>
      </c>
      <c r="DLP29" t="s">
        <v>836</v>
      </c>
      <c r="DLQ29" t="s">
        <v>836</v>
      </c>
      <c r="DLR29" t="s">
        <v>836</v>
      </c>
      <c r="DLS29" t="s">
        <v>836</v>
      </c>
      <c r="DLT29" t="s">
        <v>836</v>
      </c>
      <c r="DLU29" t="s">
        <v>836</v>
      </c>
      <c r="DLV29" t="s">
        <v>836</v>
      </c>
      <c r="DLW29" t="s">
        <v>836</v>
      </c>
      <c r="DLX29" t="s">
        <v>836</v>
      </c>
      <c r="DLY29" t="s">
        <v>836</v>
      </c>
      <c r="DLZ29" t="s">
        <v>836</v>
      </c>
      <c r="DMA29" t="s">
        <v>836</v>
      </c>
      <c r="DMB29" t="s">
        <v>836</v>
      </c>
      <c r="DMC29" t="s">
        <v>836</v>
      </c>
      <c r="DMD29" t="s">
        <v>836</v>
      </c>
      <c r="DME29" t="s">
        <v>836</v>
      </c>
      <c r="DMF29" t="s">
        <v>836</v>
      </c>
      <c r="DMG29" t="s">
        <v>836</v>
      </c>
      <c r="DMH29" t="s">
        <v>836</v>
      </c>
      <c r="DMI29" t="s">
        <v>836</v>
      </c>
      <c r="DMJ29" t="s">
        <v>836</v>
      </c>
      <c r="DMK29" t="s">
        <v>836</v>
      </c>
      <c r="DML29" t="s">
        <v>836</v>
      </c>
      <c r="DMM29" t="s">
        <v>836</v>
      </c>
      <c r="DMN29" t="s">
        <v>836</v>
      </c>
      <c r="DMO29" t="s">
        <v>836</v>
      </c>
      <c r="DMP29" t="s">
        <v>836</v>
      </c>
      <c r="DMQ29" t="s">
        <v>836</v>
      </c>
      <c r="DMR29" t="s">
        <v>836</v>
      </c>
      <c r="DMS29" t="s">
        <v>836</v>
      </c>
      <c r="DMT29" t="s">
        <v>836</v>
      </c>
      <c r="DMU29" t="s">
        <v>836</v>
      </c>
      <c r="DMV29" t="s">
        <v>836</v>
      </c>
      <c r="DMW29" t="s">
        <v>836</v>
      </c>
      <c r="DMX29" t="s">
        <v>836</v>
      </c>
      <c r="DMY29" t="s">
        <v>836</v>
      </c>
      <c r="DMZ29" t="s">
        <v>836</v>
      </c>
      <c r="DNA29" t="s">
        <v>836</v>
      </c>
      <c r="DNB29" t="s">
        <v>836</v>
      </c>
      <c r="DNC29" t="s">
        <v>836</v>
      </c>
      <c r="DND29" t="s">
        <v>836</v>
      </c>
      <c r="DNE29" t="s">
        <v>836</v>
      </c>
      <c r="DNF29" t="s">
        <v>836</v>
      </c>
      <c r="DNG29" t="s">
        <v>836</v>
      </c>
      <c r="DNH29" t="s">
        <v>836</v>
      </c>
      <c r="DNI29" t="s">
        <v>836</v>
      </c>
      <c r="DNJ29" t="s">
        <v>836</v>
      </c>
      <c r="DNK29" t="s">
        <v>836</v>
      </c>
      <c r="DNL29" t="s">
        <v>836</v>
      </c>
      <c r="DNM29" t="s">
        <v>836</v>
      </c>
      <c r="DNN29" t="s">
        <v>836</v>
      </c>
      <c r="DNO29" t="s">
        <v>836</v>
      </c>
      <c r="DNP29" t="s">
        <v>836</v>
      </c>
      <c r="DNQ29" t="s">
        <v>836</v>
      </c>
      <c r="DNR29" t="s">
        <v>836</v>
      </c>
      <c r="DNS29" t="s">
        <v>836</v>
      </c>
      <c r="DNT29" t="s">
        <v>836</v>
      </c>
      <c r="DNU29" t="s">
        <v>836</v>
      </c>
      <c r="DNV29" t="s">
        <v>836</v>
      </c>
      <c r="DNW29" t="s">
        <v>836</v>
      </c>
      <c r="DNX29" t="s">
        <v>836</v>
      </c>
      <c r="DNY29" t="s">
        <v>836</v>
      </c>
      <c r="DNZ29" t="s">
        <v>836</v>
      </c>
      <c r="DOA29" t="s">
        <v>836</v>
      </c>
      <c r="DOB29" t="s">
        <v>836</v>
      </c>
      <c r="DOC29" t="s">
        <v>836</v>
      </c>
      <c r="DOD29" t="s">
        <v>836</v>
      </c>
      <c r="DOE29" t="s">
        <v>836</v>
      </c>
      <c r="DOF29" t="s">
        <v>836</v>
      </c>
      <c r="DOG29" t="s">
        <v>836</v>
      </c>
      <c r="DOH29" t="s">
        <v>836</v>
      </c>
      <c r="DOI29" t="s">
        <v>836</v>
      </c>
      <c r="DOJ29" t="s">
        <v>836</v>
      </c>
      <c r="DOK29" t="s">
        <v>836</v>
      </c>
      <c r="DOL29" t="s">
        <v>836</v>
      </c>
      <c r="DOM29" t="s">
        <v>836</v>
      </c>
      <c r="DON29" t="s">
        <v>836</v>
      </c>
      <c r="DOO29" t="s">
        <v>836</v>
      </c>
      <c r="DOP29" t="s">
        <v>836</v>
      </c>
      <c r="DOQ29" t="s">
        <v>836</v>
      </c>
      <c r="DOR29" t="s">
        <v>836</v>
      </c>
      <c r="DOS29" t="s">
        <v>836</v>
      </c>
      <c r="DOT29" t="s">
        <v>836</v>
      </c>
      <c r="DOU29" t="s">
        <v>836</v>
      </c>
      <c r="DOV29" t="s">
        <v>836</v>
      </c>
      <c r="DOW29" t="s">
        <v>836</v>
      </c>
      <c r="DOX29" t="s">
        <v>836</v>
      </c>
      <c r="DOY29" t="s">
        <v>836</v>
      </c>
      <c r="DOZ29" t="s">
        <v>836</v>
      </c>
      <c r="DPA29" t="s">
        <v>836</v>
      </c>
      <c r="DPB29" t="s">
        <v>836</v>
      </c>
      <c r="DPC29" t="s">
        <v>836</v>
      </c>
      <c r="DPD29" t="s">
        <v>836</v>
      </c>
      <c r="DPE29" t="s">
        <v>836</v>
      </c>
      <c r="DPF29" t="s">
        <v>836</v>
      </c>
      <c r="DPG29" t="s">
        <v>836</v>
      </c>
      <c r="DPH29" t="s">
        <v>836</v>
      </c>
      <c r="DPI29" t="s">
        <v>836</v>
      </c>
      <c r="DPJ29" t="s">
        <v>836</v>
      </c>
      <c r="DPK29" t="s">
        <v>836</v>
      </c>
      <c r="DPL29" t="s">
        <v>836</v>
      </c>
      <c r="DPM29" t="s">
        <v>836</v>
      </c>
      <c r="DPN29" t="s">
        <v>836</v>
      </c>
      <c r="DPO29" t="s">
        <v>836</v>
      </c>
      <c r="DPP29" t="s">
        <v>836</v>
      </c>
      <c r="DPQ29" t="s">
        <v>836</v>
      </c>
      <c r="DPR29" t="s">
        <v>836</v>
      </c>
      <c r="DPS29" t="s">
        <v>836</v>
      </c>
      <c r="DPT29" t="s">
        <v>836</v>
      </c>
      <c r="DPU29" t="s">
        <v>836</v>
      </c>
      <c r="DPV29" t="s">
        <v>836</v>
      </c>
      <c r="DPW29" t="s">
        <v>836</v>
      </c>
      <c r="DPX29" t="s">
        <v>836</v>
      </c>
      <c r="DPY29" t="s">
        <v>836</v>
      </c>
      <c r="DPZ29" t="s">
        <v>836</v>
      </c>
      <c r="DQA29" t="s">
        <v>836</v>
      </c>
      <c r="DQB29" t="s">
        <v>836</v>
      </c>
      <c r="DQC29" t="s">
        <v>836</v>
      </c>
      <c r="DQD29" t="s">
        <v>836</v>
      </c>
      <c r="DQE29" t="s">
        <v>836</v>
      </c>
      <c r="DQF29" t="s">
        <v>836</v>
      </c>
      <c r="DQG29" t="s">
        <v>836</v>
      </c>
      <c r="DQH29" t="s">
        <v>836</v>
      </c>
      <c r="DQI29" t="s">
        <v>836</v>
      </c>
      <c r="DQJ29" t="s">
        <v>836</v>
      </c>
      <c r="DQK29" t="s">
        <v>836</v>
      </c>
      <c r="DQL29" t="s">
        <v>836</v>
      </c>
      <c r="DQM29" t="s">
        <v>836</v>
      </c>
      <c r="DQN29" t="s">
        <v>836</v>
      </c>
      <c r="DQO29" t="s">
        <v>836</v>
      </c>
      <c r="DQP29" t="s">
        <v>836</v>
      </c>
      <c r="DQQ29" t="s">
        <v>836</v>
      </c>
      <c r="DQR29" t="s">
        <v>836</v>
      </c>
      <c r="DQS29" t="s">
        <v>836</v>
      </c>
      <c r="DQT29" t="s">
        <v>836</v>
      </c>
      <c r="DQU29" t="s">
        <v>836</v>
      </c>
      <c r="DQV29" t="s">
        <v>836</v>
      </c>
      <c r="DQW29" t="s">
        <v>836</v>
      </c>
      <c r="DQX29" t="s">
        <v>836</v>
      </c>
      <c r="DQY29" t="s">
        <v>836</v>
      </c>
      <c r="DQZ29" t="s">
        <v>836</v>
      </c>
      <c r="DRA29" t="s">
        <v>836</v>
      </c>
      <c r="DRB29" t="s">
        <v>836</v>
      </c>
      <c r="DRC29" t="s">
        <v>836</v>
      </c>
      <c r="DRD29" t="s">
        <v>836</v>
      </c>
      <c r="DRE29" t="s">
        <v>836</v>
      </c>
      <c r="DRF29" t="s">
        <v>836</v>
      </c>
      <c r="DRG29" t="s">
        <v>836</v>
      </c>
      <c r="DRH29" t="s">
        <v>836</v>
      </c>
      <c r="DRI29" t="s">
        <v>836</v>
      </c>
      <c r="DRJ29" t="s">
        <v>836</v>
      </c>
      <c r="DRK29" t="s">
        <v>836</v>
      </c>
      <c r="DRL29" t="s">
        <v>836</v>
      </c>
      <c r="DRM29" t="s">
        <v>836</v>
      </c>
      <c r="DRN29" t="s">
        <v>836</v>
      </c>
      <c r="DRO29" t="s">
        <v>836</v>
      </c>
      <c r="DRP29" t="s">
        <v>836</v>
      </c>
      <c r="DRQ29" t="s">
        <v>836</v>
      </c>
      <c r="DRR29" t="s">
        <v>836</v>
      </c>
      <c r="DRS29" t="s">
        <v>836</v>
      </c>
      <c r="DRT29" t="s">
        <v>836</v>
      </c>
      <c r="DRU29" t="s">
        <v>836</v>
      </c>
      <c r="DRV29" t="s">
        <v>836</v>
      </c>
      <c r="DRW29" t="s">
        <v>836</v>
      </c>
      <c r="DRX29" t="s">
        <v>836</v>
      </c>
      <c r="DRY29" t="s">
        <v>836</v>
      </c>
      <c r="DRZ29" t="s">
        <v>836</v>
      </c>
      <c r="DSA29" t="s">
        <v>836</v>
      </c>
      <c r="DSB29" t="s">
        <v>836</v>
      </c>
      <c r="DSC29" t="s">
        <v>836</v>
      </c>
      <c r="DSD29" t="s">
        <v>836</v>
      </c>
      <c r="DSE29" t="s">
        <v>836</v>
      </c>
      <c r="DSF29" t="s">
        <v>836</v>
      </c>
      <c r="DSG29" t="s">
        <v>836</v>
      </c>
      <c r="DSH29" t="s">
        <v>836</v>
      </c>
      <c r="DSI29" t="s">
        <v>836</v>
      </c>
      <c r="DSJ29" t="s">
        <v>836</v>
      </c>
      <c r="DSK29" t="s">
        <v>836</v>
      </c>
      <c r="DSL29" t="s">
        <v>836</v>
      </c>
      <c r="DSM29" t="s">
        <v>836</v>
      </c>
      <c r="DSN29" t="s">
        <v>836</v>
      </c>
      <c r="DSO29" t="s">
        <v>836</v>
      </c>
      <c r="DSP29" t="s">
        <v>836</v>
      </c>
      <c r="DSQ29" t="s">
        <v>836</v>
      </c>
      <c r="DSR29" t="s">
        <v>836</v>
      </c>
      <c r="DSS29" t="s">
        <v>836</v>
      </c>
      <c r="DST29" t="s">
        <v>836</v>
      </c>
      <c r="DSU29" t="s">
        <v>836</v>
      </c>
      <c r="DSV29" t="s">
        <v>836</v>
      </c>
      <c r="DSW29" t="s">
        <v>836</v>
      </c>
      <c r="DSX29" t="s">
        <v>836</v>
      </c>
      <c r="DSY29" t="s">
        <v>836</v>
      </c>
      <c r="DSZ29" t="s">
        <v>836</v>
      </c>
      <c r="DTA29" t="s">
        <v>836</v>
      </c>
      <c r="DTB29" t="s">
        <v>836</v>
      </c>
      <c r="DTC29" t="s">
        <v>836</v>
      </c>
      <c r="DTD29" t="s">
        <v>836</v>
      </c>
      <c r="DTE29" t="s">
        <v>836</v>
      </c>
      <c r="DTF29" t="s">
        <v>836</v>
      </c>
      <c r="DTG29" t="s">
        <v>836</v>
      </c>
      <c r="DTH29" t="s">
        <v>836</v>
      </c>
      <c r="DTI29" t="s">
        <v>836</v>
      </c>
      <c r="DTJ29" t="s">
        <v>836</v>
      </c>
      <c r="DTK29" t="s">
        <v>836</v>
      </c>
      <c r="DTL29" t="s">
        <v>836</v>
      </c>
      <c r="DTM29" t="s">
        <v>836</v>
      </c>
      <c r="DTN29" t="s">
        <v>836</v>
      </c>
      <c r="DTO29" t="s">
        <v>836</v>
      </c>
      <c r="DTP29" t="s">
        <v>836</v>
      </c>
      <c r="DTQ29" t="s">
        <v>836</v>
      </c>
      <c r="DTR29" t="s">
        <v>836</v>
      </c>
      <c r="DTS29" t="s">
        <v>836</v>
      </c>
      <c r="DTT29" t="s">
        <v>836</v>
      </c>
      <c r="DTU29" t="s">
        <v>836</v>
      </c>
      <c r="DTV29" t="s">
        <v>836</v>
      </c>
      <c r="DTW29" t="s">
        <v>836</v>
      </c>
      <c r="DTX29" t="s">
        <v>836</v>
      </c>
      <c r="DTY29" t="s">
        <v>836</v>
      </c>
      <c r="DTZ29" t="s">
        <v>836</v>
      </c>
      <c r="DUA29" t="s">
        <v>836</v>
      </c>
      <c r="DUB29" t="s">
        <v>836</v>
      </c>
      <c r="DUC29" t="s">
        <v>836</v>
      </c>
      <c r="DUD29" t="s">
        <v>836</v>
      </c>
      <c r="DUE29" t="s">
        <v>836</v>
      </c>
      <c r="DUF29" t="s">
        <v>836</v>
      </c>
      <c r="DUG29" t="s">
        <v>836</v>
      </c>
      <c r="DUH29" t="s">
        <v>836</v>
      </c>
      <c r="DUI29" t="s">
        <v>836</v>
      </c>
      <c r="DUJ29" t="s">
        <v>836</v>
      </c>
      <c r="DUK29" t="s">
        <v>836</v>
      </c>
      <c r="DUL29" t="s">
        <v>836</v>
      </c>
      <c r="DUM29" t="s">
        <v>836</v>
      </c>
      <c r="DUN29" t="s">
        <v>836</v>
      </c>
      <c r="DUO29" t="s">
        <v>836</v>
      </c>
      <c r="DUP29" t="s">
        <v>836</v>
      </c>
      <c r="DUQ29" t="s">
        <v>836</v>
      </c>
      <c r="DUR29" t="s">
        <v>836</v>
      </c>
      <c r="DUS29" t="s">
        <v>836</v>
      </c>
      <c r="DUT29" t="s">
        <v>836</v>
      </c>
      <c r="DUU29" t="s">
        <v>836</v>
      </c>
      <c r="DUV29" t="s">
        <v>836</v>
      </c>
      <c r="DUW29" t="s">
        <v>836</v>
      </c>
      <c r="DUX29" t="s">
        <v>836</v>
      </c>
      <c r="DUY29" t="s">
        <v>836</v>
      </c>
      <c r="DUZ29" t="s">
        <v>836</v>
      </c>
      <c r="DVA29" t="s">
        <v>836</v>
      </c>
      <c r="DVB29" t="s">
        <v>836</v>
      </c>
      <c r="DVC29" t="s">
        <v>836</v>
      </c>
      <c r="DVD29" t="s">
        <v>836</v>
      </c>
      <c r="DVE29" t="s">
        <v>836</v>
      </c>
      <c r="DVF29" t="s">
        <v>836</v>
      </c>
      <c r="DVG29" t="s">
        <v>836</v>
      </c>
      <c r="DVH29" t="s">
        <v>836</v>
      </c>
      <c r="DVI29" t="s">
        <v>836</v>
      </c>
      <c r="DVJ29" t="s">
        <v>836</v>
      </c>
      <c r="DVK29" t="s">
        <v>836</v>
      </c>
      <c r="DVL29" t="s">
        <v>836</v>
      </c>
      <c r="DVM29" t="s">
        <v>836</v>
      </c>
      <c r="DVN29" t="s">
        <v>836</v>
      </c>
      <c r="DVO29" t="s">
        <v>836</v>
      </c>
      <c r="DVP29" t="s">
        <v>836</v>
      </c>
      <c r="DVQ29" t="s">
        <v>836</v>
      </c>
      <c r="DVR29" t="s">
        <v>836</v>
      </c>
      <c r="DVS29" t="s">
        <v>836</v>
      </c>
      <c r="DVT29" t="s">
        <v>836</v>
      </c>
      <c r="DVU29" t="s">
        <v>836</v>
      </c>
      <c r="DVV29" t="s">
        <v>836</v>
      </c>
      <c r="DVW29" t="s">
        <v>836</v>
      </c>
      <c r="DVX29" t="s">
        <v>836</v>
      </c>
      <c r="DVY29" t="s">
        <v>836</v>
      </c>
      <c r="DVZ29" t="s">
        <v>836</v>
      </c>
      <c r="DWA29" t="s">
        <v>836</v>
      </c>
      <c r="DWB29" t="s">
        <v>836</v>
      </c>
      <c r="DWC29" t="s">
        <v>836</v>
      </c>
      <c r="DWD29" t="s">
        <v>836</v>
      </c>
      <c r="DWE29" t="s">
        <v>836</v>
      </c>
      <c r="DWF29" t="s">
        <v>836</v>
      </c>
      <c r="DWG29" t="s">
        <v>836</v>
      </c>
      <c r="DWH29" t="s">
        <v>836</v>
      </c>
      <c r="DWI29" t="s">
        <v>836</v>
      </c>
      <c r="DWJ29" t="s">
        <v>836</v>
      </c>
      <c r="DWK29" t="s">
        <v>836</v>
      </c>
      <c r="DWL29" t="s">
        <v>836</v>
      </c>
      <c r="DWM29" t="s">
        <v>836</v>
      </c>
      <c r="DWN29" t="s">
        <v>836</v>
      </c>
      <c r="DWO29" t="s">
        <v>836</v>
      </c>
      <c r="DWP29" t="s">
        <v>836</v>
      </c>
      <c r="DWQ29" t="s">
        <v>836</v>
      </c>
      <c r="DWR29" t="s">
        <v>836</v>
      </c>
      <c r="DWS29" t="s">
        <v>836</v>
      </c>
      <c r="DWT29" t="s">
        <v>836</v>
      </c>
      <c r="DWU29" t="s">
        <v>836</v>
      </c>
      <c r="DWV29" t="s">
        <v>836</v>
      </c>
      <c r="DWW29" t="s">
        <v>836</v>
      </c>
      <c r="DWX29" t="s">
        <v>836</v>
      </c>
      <c r="DWY29" t="s">
        <v>836</v>
      </c>
      <c r="DWZ29" t="s">
        <v>836</v>
      </c>
      <c r="DXA29" t="s">
        <v>836</v>
      </c>
      <c r="DXB29" t="s">
        <v>836</v>
      </c>
      <c r="DXC29" t="s">
        <v>836</v>
      </c>
      <c r="DXD29" t="s">
        <v>836</v>
      </c>
      <c r="DXE29" t="s">
        <v>836</v>
      </c>
      <c r="DXF29" t="s">
        <v>836</v>
      </c>
      <c r="DXG29" t="s">
        <v>836</v>
      </c>
      <c r="DXH29" t="s">
        <v>836</v>
      </c>
      <c r="DXI29" t="s">
        <v>836</v>
      </c>
      <c r="DXJ29" t="s">
        <v>836</v>
      </c>
      <c r="DXK29" t="s">
        <v>836</v>
      </c>
      <c r="DXL29" t="s">
        <v>836</v>
      </c>
      <c r="DXM29" t="s">
        <v>836</v>
      </c>
      <c r="DXN29" t="s">
        <v>836</v>
      </c>
      <c r="DXO29" t="s">
        <v>836</v>
      </c>
      <c r="DXP29" t="s">
        <v>836</v>
      </c>
      <c r="DXQ29" t="s">
        <v>836</v>
      </c>
      <c r="DXR29" t="s">
        <v>836</v>
      </c>
      <c r="DXS29" t="s">
        <v>836</v>
      </c>
      <c r="DXT29" t="s">
        <v>836</v>
      </c>
      <c r="DXU29" t="s">
        <v>836</v>
      </c>
      <c r="DXV29" t="s">
        <v>836</v>
      </c>
      <c r="DXW29" t="s">
        <v>836</v>
      </c>
      <c r="DXX29" t="s">
        <v>836</v>
      </c>
      <c r="DXY29" t="s">
        <v>836</v>
      </c>
      <c r="DXZ29" t="s">
        <v>836</v>
      </c>
      <c r="DYA29" t="s">
        <v>836</v>
      </c>
      <c r="DYB29" t="s">
        <v>836</v>
      </c>
      <c r="DYC29" t="s">
        <v>836</v>
      </c>
      <c r="DYD29" t="s">
        <v>836</v>
      </c>
      <c r="DYE29" t="s">
        <v>836</v>
      </c>
      <c r="DYF29" t="s">
        <v>836</v>
      </c>
      <c r="DYG29" t="s">
        <v>836</v>
      </c>
      <c r="DYH29" t="s">
        <v>836</v>
      </c>
      <c r="DYI29" t="s">
        <v>836</v>
      </c>
      <c r="DYJ29" t="s">
        <v>836</v>
      </c>
      <c r="DYK29" t="s">
        <v>836</v>
      </c>
      <c r="DYL29" t="s">
        <v>836</v>
      </c>
      <c r="DYM29" t="s">
        <v>836</v>
      </c>
      <c r="DYN29" t="s">
        <v>836</v>
      </c>
      <c r="DYO29" t="s">
        <v>836</v>
      </c>
      <c r="DYP29" t="s">
        <v>836</v>
      </c>
      <c r="DYQ29" t="s">
        <v>836</v>
      </c>
      <c r="DYR29" t="s">
        <v>836</v>
      </c>
      <c r="DYS29" t="s">
        <v>836</v>
      </c>
      <c r="DYT29" t="s">
        <v>836</v>
      </c>
      <c r="DYU29" t="s">
        <v>836</v>
      </c>
      <c r="DYV29" t="s">
        <v>836</v>
      </c>
      <c r="DYW29" t="s">
        <v>836</v>
      </c>
      <c r="DYX29" t="s">
        <v>836</v>
      </c>
      <c r="DYY29" t="s">
        <v>836</v>
      </c>
      <c r="DYZ29" t="s">
        <v>836</v>
      </c>
      <c r="DZA29" t="s">
        <v>836</v>
      </c>
      <c r="DZB29" t="s">
        <v>836</v>
      </c>
      <c r="DZC29" t="s">
        <v>836</v>
      </c>
      <c r="DZD29" t="s">
        <v>836</v>
      </c>
      <c r="DZE29" t="s">
        <v>836</v>
      </c>
      <c r="DZF29" t="s">
        <v>836</v>
      </c>
      <c r="DZG29" t="s">
        <v>836</v>
      </c>
      <c r="DZH29" t="s">
        <v>836</v>
      </c>
      <c r="DZI29" t="s">
        <v>836</v>
      </c>
      <c r="DZJ29" t="s">
        <v>836</v>
      </c>
      <c r="DZK29" t="s">
        <v>836</v>
      </c>
      <c r="DZL29" t="s">
        <v>836</v>
      </c>
      <c r="DZM29" t="s">
        <v>836</v>
      </c>
      <c r="DZN29" t="s">
        <v>836</v>
      </c>
      <c r="DZO29" t="s">
        <v>836</v>
      </c>
      <c r="DZP29" t="s">
        <v>836</v>
      </c>
      <c r="DZQ29" t="s">
        <v>836</v>
      </c>
      <c r="DZR29" t="s">
        <v>836</v>
      </c>
      <c r="DZS29" t="s">
        <v>836</v>
      </c>
      <c r="DZT29" t="s">
        <v>836</v>
      </c>
      <c r="DZU29" t="s">
        <v>836</v>
      </c>
      <c r="DZV29" t="s">
        <v>836</v>
      </c>
      <c r="DZW29" t="s">
        <v>836</v>
      </c>
      <c r="DZX29" t="s">
        <v>836</v>
      </c>
      <c r="DZY29" t="s">
        <v>836</v>
      </c>
      <c r="DZZ29" t="s">
        <v>836</v>
      </c>
      <c r="EAA29" t="s">
        <v>836</v>
      </c>
      <c r="EAB29" t="s">
        <v>836</v>
      </c>
      <c r="EAC29" t="s">
        <v>836</v>
      </c>
      <c r="EAD29" t="s">
        <v>836</v>
      </c>
      <c r="EAE29" t="s">
        <v>836</v>
      </c>
      <c r="EAF29" t="s">
        <v>836</v>
      </c>
      <c r="EAG29" t="s">
        <v>836</v>
      </c>
      <c r="EAH29" t="s">
        <v>836</v>
      </c>
      <c r="EAI29" t="s">
        <v>836</v>
      </c>
      <c r="EAJ29" t="s">
        <v>836</v>
      </c>
      <c r="EAK29" t="s">
        <v>836</v>
      </c>
      <c r="EAL29" t="s">
        <v>836</v>
      </c>
      <c r="EAM29" t="s">
        <v>836</v>
      </c>
      <c r="EAN29" t="s">
        <v>836</v>
      </c>
      <c r="EAO29" t="s">
        <v>836</v>
      </c>
      <c r="EAP29" t="s">
        <v>836</v>
      </c>
      <c r="EAQ29" t="s">
        <v>836</v>
      </c>
      <c r="EAR29" t="s">
        <v>836</v>
      </c>
      <c r="EAS29" t="s">
        <v>836</v>
      </c>
      <c r="EAT29" t="s">
        <v>836</v>
      </c>
      <c r="EAU29" t="s">
        <v>836</v>
      </c>
      <c r="EAV29" t="s">
        <v>836</v>
      </c>
      <c r="EAW29" t="s">
        <v>836</v>
      </c>
      <c r="EAX29" t="s">
        <v>836</v>
      </c>
      <c r="EAY29" t="s">
        <v>836</v>
      </c>
      <c r="EAZ29" t="s">
        <v>836</v>
      </c>
      <c r="EBA29" t="s">
        <v>836</v>
      </c>
      <c r="EBB29" t="s">
        <v>836</v>
      </c>
      <c r="EBC29" t="s">
        <v>836</v>
      </c>
      <c r="EBD29" t="s">
        <v>836</v>
      </c>
      <c r="EBE29" t="s">
        <v>836</v>
      </c>
      <c r="EBF29" t="s">
        <v>836</v>
      </c>
      <c r="EBG29" t="s">
        <v>836</v>
      </c>
      <c r="EBH29" t="s">
        <v>836</v>
      </c>
      <c r="EBI29" t="s">
        <v>836</v>
      </c>
      <c r="EBJ29" t="s">
        <v>836</v>
      </c>
      <c r="EBK29" t="s">
        <v>836</v>
      </c>
      <c r="EBL29" t="s">
        <v>836</v>
      </c>
      <c r="EBM29" t="s">
        <v>836</v>
      </c>
      <c r="EBN29" t="s">
        <v>836</v>
      </c>
      <c r="EBO29" t="s">
        <v>836</v>
      </c>
      <c r="EBP29" t="s">
        <v>836</v>
      </c>
      <c r="EBQ29" t="s">
        <v>836</v>
      </c>
      <c r="EBR29" t="s">
        <v>836</v>
      </c>
      <c r="EBS29" t="s">
        <v>836</v>
      </c>
      <c r="EBT29" t="s">
        <v>836</v>
      </c>
      <c r="EBU29" t="s">
        <v>836</v>
      </c>
      <c r="EBV29" t="s">
        <v>836</v>
      </c>
      <c r="EBW29" t="s">
        <v>836</v>
      </c>
      <c r="EBX29" t="s">
        <v>836</v>
      </c>
      <c r="EBY29" t="s">
        <v>836</v>
      </c>
      <c r="EBZ29" t="s">
        <v>836</v>
      </c>
      <c r="ECA29" t="s">
        <v>836</v>
      </c>
      <c r="ECB29" t="s">
        <v>836</v>
      </c>
      <c r="ECC29" t="s">
        <v>836</v>
      </c>
      <c r="ECD29" t="s">
        <v>836</v>
      </c>
      <c r="ECE29" t="s">
        <v>836</v>
      </c>
      <c r="ECF29" t="s">
        <v>836</v>
      </c>
      <c r="ECG29" t="s">
        <v>836</v>
      </c>
      <c r="ECH29" t="s">
        <v>836</v>
      </c>
      <c r="ECI29" t="s">
        <v>836</v>
      </c>
      <c r="ECJ29" t="s">
        <v>836</v>
      </c>
      <c r="ECK29" t="s">
        <v>836</v>
      </c>
      <c r="ECL29" t="s">
        <v>836</v>
      </c>
      <c r="ECM29" t="s">
        <v>836</v>
      </c>
      <c r="ECN29" t="s">
        <v>836</v>
      </c>
      <c r="ECO29" t="s">
        <v>836</v>
      </c>
      <c r="ECP29" t="s">
        <v>836</v>
      </c>
      <c r="ECQ29" t="s">
        <v>836</v>
      </c>
      <c r="ECR29" t="s">
        <v>836</v>
      </c>
      <c r="ECS29" t="s">
        <v>836</v>
      </c>
      <c r="ECT29" t="s">
        <v>836</v>
      </c>
      <c r="ECU29" t="s">
        <v>836</v>
      </c>
      <c r="ECV29" t="s">
        <v>836</v>
      </c>
      <c r="ECW29" t="s">
        <v>836</v>
      </c>
      <c r="ECX29" t="s">
        <v>836</v>
      </c>
      <c r="ECY29" t="s">
        <v>836</v>
      </c>
      <c r="ECZ29" t="s">
        <v>836</v>
      </c>
      <c r="EDA29" t="s">
        <v>836</v>
      </c>
      <c r="EDB29" t="s">
        <v>836</v>
      </c>
      <c r="EDC29" t="s">
        <v>836</v>
      </c>
      <c r="EDD29" t="s">
        <v>836</v>
      </c>
      <c r="EDE29" t="s">
        <v>836</v>
      </c>
      <c r="EDF29" t="s">
        <v>836</v>
      </c>
      <c r="EDG29" t="s">
        <v>836</v>
      </c>
      <c r="EDH29" t="s">
        <v>836</v>
      </c>
      <c r="EDI29" t="s">
        <v>836</v>
      </c>
      <c r="EDJ29" t="s">
        <v>836</v>
      </c>
      <c r="EDK29" t="s">
        <v>836</v>
      </c>
      <c r="EDL29" t="s">
        <v>836</v>
      </c>
      <c r="EDM29" t="s">
        <v>836</v>
      </c>
      <c r="EDN29" t="s">
        <v>836</v>
      </c>
      <c r="EDO29" t="s">
        <v>836</v>
      </c>
      <c r="EDP29" t="s">
        <v>836</v>
      </c>
      <c r="EDQ29" t="s">
        <v>836</v>
      </c>
      <c r="EDR29" t="s">
        <v>836</v>
      </c>
      <c r="EDS29" t="s">
        <v>836</v>
      </c>
      <c r="EDT29" t="s">
        <v>836</v>
      </c>
      <c r="EDU29" t="s">
        <v>836</v>
      </c>
      <c r="EDV29" t="s">
        <v>836</v>
      </c>
      <c r="EDW29" t="s">
        <v>836</v>
      </c>
      <c r="EDX29" t="s">
        <v>836</v>
      </c>
      <c r="EDY29" t="s">
        <v>836</v>
      </c>
      <c r="EDZ29" t="s">
        <v>836</v>
      </c>
      <c r="EEA29" t="s">
        <v>836</v>
      </c>
      <c r="EEB29" t="s">
        <v>836</v>
      </c>
      <c r="EEC29" t="s">
        <v>836</v>
      </c>
      <c r="EED29" t="s">
        <v>836</v>
      </c>
      <c r="EEE29" t="s">
        <v>836</v>
      </c>
      <c r="EEF29" t="s">
        <v>836</v>
      </c>
      <c r="EEG29" t="s">
        <v>836</v>
      </c>
      <c r="EEH29" t="s">
        <v>836</v>
      </c>
      <c r="EEI29" t="s">
        <v>836</v>
      </c>
      <c r="EEJ29" t="s">
        <v>836</v>
      </c>
      <c r="EEK29" t="s">
        <v>836</v>
      </c>
      <c r="EEL29" t="s">
        <v>836</v>
      </c>
      <c r="EEM29" t="s">
        <v>836</v>
      </c>
      <c r="EEN29" t="s">
        <v>836</v>
      </c>
      <c r="EEO29" t="s">
        <v>836</v>
      </c>
      <c r="EEP29" t="s">
        <v>836</v>
      </c>
      <c r="EEQ29" t="s">
        <v>836</v>
      </c>
      <c r="EER29" t="s">
        <v>836</v>
      </c>
      <c r="EES29" t="s">
        <v>836</v>
      </c>
      <c r="EET29" t="s">
        <v>836</v>
      </c>
      <c r="EEU29" t="s">
        <v>836</v>
      </c>
      <c r="EEV29" t="s">
        <v>836</v>
      </c>
      <c r="EEW29" t="s">
        <v>836</v>
      </c>
      <c r="EEX29" t="s">
        <v>836</v>
      </c>
      <c r="EEY29" t="s">
        <v>836</v>
      </c>
      <c r="EEZ29" t="s">
        <v>836</v>
      </c>
      <c r="EFA29" t="s">
        <v>836</v>
      </c>
      <c r="EFB29" t="s">
        <v>836</v>
      </c>
      <c r="EFC29" t="s">
        <v>836</v>
      </c>
      <c r="EFD29" t="s">
        <v>836</v>
      </c>
      <c r="EFE29" t="s">
        <v>836</v>
      </c>
      <c r="EFF29" t="s">
        <v>836</v>
      </c>
      <c r="EFG29" t="s">
        <v>836</v>
      </c>
      <c r="EFH29" t="s">
        <v>836</v>
      </c>
      <c r="EFI29" t="s">
        <v>836</v>
      </c>
      <c r="EFJ29" t="s">
        <v>836</v>
      </c>
      <c r="EFK29" t="s">
        <v>836</v>
      </c>
      <c r="EFL29" t="s">
        <v>836</v>
      </c>
      <c r="EFM29" t="s">
        <v>836</v>
      </c>
      <c r="EFN29" t="s">
        <v>836</v>
      </c>
      <c r="EFO29" t="s">
        <v>836</v>
      </c>
      <c r="EFP29" t="s">
        <v>836</v>
      </c>
      <c r="EFQ29" t="s">
        <v>836</v>
      </c>
      <c r="EFR29" t="s">
        <v>836</v>
      </c>
      <c r="EFS29" t="s">
        <v>836</v>
      </c>
      <c r="EFT29" t="s">
        <v>836</v>
      </c>
      <c r="EFU29" t="s">
        <v>836</v>
      </c>
      <c r="EFV29" t="s">
        <v>836</v>
      </c>
      <c r="EFW29" t="s">
        <v>836</v>
      </c>
      <c r="EFX29" t="s">
        <v>836</v>
      </c>
      <c r="EFY29" t="s">
        <v>836</v>
      </c>
      <c r="EFZ29" t="s">
        <v>836</v>
      </c>
      <c r="EGA29" t="s">
        <v>836</v>
      </c>
      <c r="EGB29" t="s">
        <v>836</v>
      </c>
      <c r="EGC29" t="s">
        <v>836</v>
      </c>
      <c r="EGD29" t="s">
        <v>836</v>
      </c>
      <c r="EGE29" t="s">
        <v>836</v>
      </c>
      <c r="EGF29" t="s">
        <v>836</v>
      </c>
      <c r="EGG29" t="s">
        <v>836</v>
      </c>
      <c r="EGH29" t="s">
        <v>836</v>
      </c>
      <c r="EGI29" t="s">
        <v>836</v>
      </c>
      <c r="EGJ29" t="s">
        <v>836</v>
      </c>
      <c r="EGK29" t="s">
        <v>836</v>
      </c>
      <c r="EGL29" t="s">
        <v>836</v>
      </c>
      <c r="EGM29" t="s">
        <v>836</v>
      </c>
      <c r="EGN29" t="s">
        <v>836</v>
      </c>
      <c r="EGO29" t="s">
        <v>836</v>
      </c>
      <c r="EGP29" t="s">
        <v>836</v>
      </c>
      <c r="EGQ29" t="s">
        <v>836</v>
      </c>
      <c r="EGR29" t="s">
        <v>836</v>
      </c>
      <c r="EGS29" t="s">
        <v>836</v>
      </c>
      <c r="EGT29" t="s">
        <v>836</v>
      </c>
      <c r="EGU29" t="s">
        <v>836</v>
      </c>
      <c r="EGV29" t="s">
        <v>836</v>
      </c>
      <c r="EGW29" t="s">
        <v>836</v>
      </c>
      <c r="EGX29" t="s">
        <v>836</v>
      </c>
      <c r="EGY29" t="s">
        <v>836</v>
      </c>
      <c r="EGZ29" t="s">
        <v>836</v>
      </c>
      <c r="EHA29" t="s">
        <v>836</v>
      </c>
      <c r="EHB29" t="s">
        <v>836</v>
      </c>
      <c r="EHC29" t="s">
        <v>836</v>
      </c>
      <c r="EHD29" t="s">
        <v>836</v>
      </c>
      <c r="EHE29" t="s">
        <v>836</v>
      </c>
      <c r="EHF29" t="s">
        <v>836</v>
      </c>
      <c r="EHG29" t="s">
        <v>836</v>
      </c>
      <c r="EHH29" t="s">
        <v>836</v>
      </c>
      <c r="EHI29" t="s">
        <v>836</v>
      </c>
      <c r="EHJ29" t="s">
        <v>836</v>
      </c>
      <c r="EHK29" t="s">
        <v>836</v>
      </c>
      <c r="EHL29" t="s">
        <v>836</v>
      </c>
      <c r="EHM29" t="s">
        <v>836</v>
      </c>
      <c r="EHN29" t="s">
        <v>836</v>
      </c>
      <c r="EHO29" t="s">
        <v>836</v>
      </c>
      <c r="EHP29" t="s">
        <v>836</v>
      </c>
      <c r="EHQ29" t="s">
        <v>836</v>
      </c>
      <c r="EHR29" t="s">
        <v>836</v>
      </c>
      <c r="EHS29" t="s">
        <v>836</v>
      </c>
      <c r="EHT29" t="s">
        <v>836</v>
      </c>
      <c r="EHU29" t="s">
        <v>836</v>
      </c>
      <c r="EHV29" t="s">
        <v>836</v>
      </c>
      <c r="EHW29" t="s">
        <v>836</v>
      </c>
      <c r="EHX29" t="s">
        <v>836</v>
      </c>
      <c r="EHY29" t="s">
        <v>836</v>
      </c>
      <c r="EHZ29" t="s">
        <v>836</v>
      </c>
      <c r="EIA29" t="s">
        <v>836</v>
      </c>
      <c r="EIB29" t="s">
        <v>836</v>
      </c>
      <c r="EIC29" t="s">
        <v>836</v>
      </c>
      <c r="EID29" t="s">
        <v>836</v>
      </c>
      <c r="EIE29" t="s">
        <v>836</v>
      </c>
      <c r="EIF29" t="s">
        <v>836</v>
      </c>
      <c r="EIG29" t="s">
        <v>836</v>
      </c>
      <c r="EIH29" t="s">
        <v>836</v>
      </c>
      <c r="EII29" t="s">
        <v>836</v>
      </c>
      <c r="EIJ29" t="s">
        <v>836</v>
      </c>
      <c r="EIK29" t="s">
        <v>836</v>
      </c>
      <c r="EIL29" t="s">
        <v>836</v>
      </c>
      <c r="EIM29" t="s">
        <v>836</v>
      </c>
      <c r="EIN29" t="s">
        <v>836</v>
      </c>
      <c r="EIO29" t="s">
        <v>836</v>
      </c>
      <c r="EIP29" t="s">
        <v>836</v>
      </c>
      <c r="EIQ29" t="s">
        <v>836</v>
      </c>
      <c r="EIR29" t="s">
        <v>836</v>
      </c>
      <c r="EIS29" t="s">
        <v>836</v>
      </c>
      <c r="EIT29" t="s">
        <v>836</v>
      </c>
      <c r="EIU29" t="s">
        <v>836</v>
      </c>
      <c r="EIV29" t="s">
        <v>836</v>
      </c>
      <c r="EIW29" t="s">
        <v>836</v>
      </c>
      <c r="EIX29" t="s">
        <v>836</v>
      </c>
      <c r="EIY29" t="s">
        <v>836</v>
      </c>
      <c r="EIZ29" t="s">
        <v>836</v>
      </c>
      <c r="EJA29" t="s">
        <v>836</v>
      </c>
      <c r="EJB29" t="s">
        <v>836</v>
      </c>
      <c r="EJC29" t="s">
        <v>836</v>
      </c>
      <c r="EJD29" t="s">
        <v>836</v>
      </c>
      <c r="EJE29" t="s">
        <v>836</v>
      </c>
      <c r="EJF29" t="s">
        <v>836</v>
      </c>
      <c r="EJG29" t="s">
        <v>836</v>
      </c>
      <c r="EJH29" t="s">
        <v>836</v>
      </c>
      <c r="EJI29" t="s">
        <v>836</v>
      </c>
      <c r="EJJ29" t="s">
        <v>836</v>
      </c>
      <c r="EJK29" t="s">
        <v>836</v>
      </c>
      <c r="EJL29" t="s">
        <v>836</v>
      </c>
      <c r="EJM29" t="s">
        <v>836</v>
      </c>
      <c r="EJN29" t="s">
        <v>836</v>
      </c>
      <c r="EJO29" t="s">
        <v>836</v>
      </c>
      <c r="EJP29" t="s">
        <v>836</v>
      </c>
      <c r="EJQ29" t="s">
        <v>836</v>
      </c>
      <c r="EJR29" t="s">
        <v>836</v>
      </c>
      <c r="EJS29" t="s">
        <v>836</v>
      </c>
      <c r="EJT29" t="s">
        <v>836</v>
      </c>
      <c r="EJU29" t="s">
        <v>836</v>
      </c>
      <c r="EJV29" t="s">
        <v>836</v>
      </c>
      <c r="EJW29" t="s">
        <v>836</v>
      </c>
      <c r="EJX29" t="s">
        <v>836</v>
      </c>
      <c r="EJY29" t="s">
        <v>836</v>
      </c>
      <c r="EJZ29" t="s">
        <v>836</v>
      </c>
      <c r="EKA29" t="s">
        <v>836</v>
      </c>
      <c r="EKB29" t="s">
        <v>836</v>
      </c>
      <c r="EKC29" t="s">
        <v>836</v>
      </c>
      <c r="EKD29" t="s">
        <v>836</v>
      </c>
      <c r="EKE29" t="s">
        <v>836</v>
      </c>
      <c r="EKF29" t="s">
        <v>836</v>
      </c>
      <c r="EKG29" t="s">
        <v>836</v>
      </c>
      <c r="EKH29" t="s">
        <v>836</v>
      </c>
      <c r="EKI29" t="s">
        <v>836</v>
      </c>
      <c r="EKJ29" t="s">
        <v>836</v>
      </c>
      <c r="EKK29" t="s">
        <v>836</v>
      </c>
      <c r="EKL29" t="s">
        <v>836</v>
      </c>
      <c r="EKM29" t="s">
        <v>836</v>
      </c>
      <c r="EKN29" t="s">
        <v>836</v>
      </c>
      <c r="EKO29" t="s">
        <v>836</v>
      </c>
      <c r="EKP29" t="s">
        <v>836</v>
      </c>
      <c r="EKQ29" t="s">
        <v>836</v>
      </c>
      <c r="EKR29" t="s">
        <v>836</v>
      </c>
      <c r="EKS29" t="s">
        <v>836</v>
      </c>
      <c r="EKT29" t="s">
        <v>836</v>
      </c>
      <c r="EKU29" t="s">
        <v>836</v>
      </c>
      <c r="EKV29" t="s">
        <v>836</v>
      </c>
      <c r="EKW29" t="s">
        <v>836</v>
      </c>
      <c r="EKX29" t="s">
        <v>836</v>
      </c>
      <c r="EKY29" t="s">
        <v>836</v>
      </c>
      <c r="EKZ29" t="s">
        <v>836</v>
      </c>
      <c r="ELA29" t="s">
        <v>836</v>
      </c>
      <c r="ELB29" t="s">
        <v>836</v>
      </c>
      <c r="ELC29" t="s">
        <v>836</v>
      </c>
      <c r="ELD29" t="s">
        <v>836</v>
      </c>
      <c r="ELE29" t="s">
        <v>836</v>
      </c>
      <c r="ELF29" t="s">
        <v>836</v>
      </c>
      <c r="ELG29" t="s">
        <v>836</v>
      </c>
      <c r="ELH29" t="s">
        <v>836</v>
      </c>
      <c r="ELI29" t="s">
        <v>836</v>
      </c>
      <c r="ELJ29" t="s">
        <v>836</v>
      </c>
      <c r="ELK29" t="s">
        <v>836</v>
      </c>
      <c r="ELL29" t="s">
        <v>836</v>
      </c>
      <c r="ELM29" t="s">
        <v>836</v>
      </c>
      <c r="ELN29" t="s">
        <v>836</v>
      </c>
      <c r="ELO29" t="s">
        <v>836</v>
      </c>
      <c r="ELP29" t="s">
        <v>836</v>
      </c>
      <c r="ELQ29" t="s">
        <v>836</v>
      </c>
      <c r="ELR29" t="s">
        <v>836</v>
      </c>
      <c r="ELS29" t="s">
        <v>836</v>
      </c>
      <c r="ELT29" t="s">
        <v>836</v>
      </c>
      <c r="ELU29" t="s">
        <v>836</v>
      </c>
      <c r="ELV29" t="s">
        <v>836</v>
      </c>
      <c r="ELW29" t="s">
        <v>836</v>
      </c>
      <c r="ELX29" t="s">
        <v>836</v>
      </c>
      <c r="ELY29" t="s">
        <v>836</v>
      </c>
      <c r="ELZ29" t="s">
        <v>836</v>
      </c>
      <c r="EMA29" t="s">
        <v>836</v>
      </c>
      <c r="EMB29" t="s">
        <v>836</v>
      </c>
      <c r="EMC29" t="s">
        <v>836</v>
      </c>
      <c r="EMD29" t="s">
        <v>836</v>
      </c>
      <c r="EME29" t="s">
        <v>836</v>
      </c>
      <c r="EMF29" t="s">
        <v>836</v>
      </c>
      <c r="EMG29" t="s">
        <v>836</v>
      </c>
      <c r="EMH29" t="s">
        <v>836</v>
      </c>
      <c r="EMI29" t="s">
        <v>836</v>
      </c>
      <c r="EMJ29" t="s">
        <v>836</v>
      </c>
      <c r="EMK29" t="s">
        <v>836</v>
      </c>
      <c r="EML29" t="s">
        <v>836</v>
      </c>
      <c r="EMM29" t="s">
        <v>836</v>
      </c>
      <c r="EMN29" t="s">
        <v>836</v>
      </c>
      <c r="EMO29" t="s">
        <v>836</v>
      </c>
      <c r="EMP29" t="s">
        <v>836</v>
      </c>
      <c r="EMQ29" t="s">
        <v>836</v>
      </c>
      <c r="EMR29" t="s">
        <v>836</v>
      </c>
      <c r="EMS29" t="s">
        <v>836</v>
      </c>
      <c r="EMT29" t="s">
        <v>836</v>
      </c>
      <c r="EMU29" t="s">
        <v>836</v>
      </c>
      <c r="EMV29" t="s">
        <v>836</v>
      </c>
      <c r="EMW29" t="s">
        <v>836</v>
      </c>
      <c r="EMX29" t="s">
        <v>836</v>
      </c>
      <c r="EMY29" t="s">
        <v>836</v>
      </c>
      <c r="EMZ29" t="s">
        <v>836</v>
      </c>
      <c r="ENA29" t="s">
        <v>836</v>
      </c>
      <c r="ENB29" t="s">
        <v>836</v>
      </c>
      <c r="ENC29" t="s">
        <v>836</v>
      </c>
      <c r="END29" t="s">
        <v>836</v>
      </c>
      <c r="ENE29" t="s">
        <v>836</v>
      </c>
      <c r="ENF29" t="s">
        <v>836</v>
      </c>
      <c r="ENG29" t="s">
        <v>836</v>
      </c>
      <c r="ENH29" t="s">
        <v>836</v>
      </c>
      <c r="ENI29" t="s">
        <v>836</v>
      </c>
      <c r="ENJ29" t="s">
        <v>836</v>
      </c>
      <c r="ENK29" t="s">
        <v>836</v>
      </c>
      <c r="ENL29" t="s">
        <v>836</v>
      </c>
      <c r="ENM29" t="s">
        <v>836</v>
      </c>
      <c r="ENN29" t="s">
        <v>836</v>
      </c>
      <c r="ENO29" t="s">
        <v>836</v>
      </c>
      <c r="ENP29" t="s">
        <v>836</v>
      </c>
      <c r="ENQ29" t="s">
        <v>836</v>
      </c>
      <c r="ENR29" t="s">
        <v>836</v>
      </c>
      <c r="ENS29" t="s">
        <v>836</v>
      </c>
      <c r="ENT29" t="s">
        <v>836</v>
      </c>
      <c r="ENU29" t="s">
        <v>836</v>
      </c>
      <c r="ENV29" t="s">
        <v>836</v>
      </c>
      <c r="ENW29" t="s">
        <v>836</v>
      </c>
      <c r="ENX29" t="s">
        <v>836</v>
      </c>
      <c r="ENY29" t="s">
        <v>836</v>
      </c>
      <c r="ENZ29" t="s">
        <v>836</v>
      </c>
      <c r="EOA29" t="s">
        <v>836</v>
      </c>
      <c r="EOB29" t="s">
        <v>836</v>
      </c>
      <c r="EOC29" t="s">
        <v>836</v>
      </c>
      <c r="EOD29" t="s">
        <v>836</v>
      </c>
      <c r="EOE29" t="s">
        <v>836</v>
      </c>
      <c r="EOF29" t="s">
        <v>836</v>
      </c>
      <c r="EOG29" t="s">
        <v>836</v>
      </c>
      <c r="EOH29" t="s">
        <v>836</v>
      </c>
      <c r="EOI29" t="s">
        <v>836</v>
      </c>
      <c r="EOJ29" t="s">
        <v>836</v>
      </c>
      <c r="EOK29" t="s">
        <v>836</v>
      </c>
      <c r="EOL29" t="s">
        <v>836</v>
      </c>
      <c r="EOM29" t="s">
        <v>836</v>
      </c>
      <c r="EON29" t="s">
        <v>836</v>
      </c>
      <c r="EOO29" t="s">
        <v>836</v>
      </c>
      <c r="EOP29" t="s">
        <v>836</v>
      </c>
      <c r="EOQ29" t="s">
        <v>836</v>
      </c>
      <c r="EOR29" t="s">
        <v>836</v>
      </c>
      <c r="EOS29" t="s">
        <v>836</v>
      </c>
      <c r="EOT29" t="s">
        <v>836</v>
      </c>
      <c r="EOU29" t="s">
        <v>836</v>
      </c>
      <c r="EOV29" t="s">
        <v>836</v>
      </c>
      <c r="EOW29" t="s">
        <v>836</v>
      </c>
      <c r="EOX29" t="s">
        <v>836</v>
      </c>
      <c r="EOY29" t="s">
        <v>836</v>
      </c>
      <c r="EOZ29" t="s">
        <v>836</v>
      </c>
      <c r="EPA29" t="s">
        <v>836</v>
      </c>
      <c r="EPB29" t="s">
        <v>836</v>
      </c>
      <c r="EPC29" t="s">
        <v>836</v>
      </c>
      <c r="EPD29" t="s">
        <v>836</v>
      </c>
      <c r="EPE29" t="s">
        <v>836</v>
      </c>
      <c r="EPF29" t="s">
        <v>836</v>
      </c>
      <c r="EPG29" t="s">
        <v>836</v>
      </c>
      <c r="EPH29" t="s">
        <v>836</v>
      </c>
      <c r="EPI29" t="s">
        <v>836</v>
      </c>
      <c r="EPJ29" t="s">
        <v>836</v>
      </c>
      <c r="EPK29" t="s">
        <v>836</v>
      </c>
      <c r="EPL29" t="s">
        <v>836</v>
      </c>
      <c r="EPM29" t="s">
        <v>836</v>
      </c>
      <c r="EPN29" t="s">
        <v>836</v>
      </c>
      <c r="EPO29" t="s">
        <v>836</v>
      </c>
      <c r="EPP29" t="s">
        <v>836</v>
      </c>
      <c r="EPQ29" t="s">
        <v>836</v>
      </c>
      <c r="EPR29" t="s">
        <v>836</v>
      </c>
      <c r="EPS29" t="s">
        <v>836</v>
      </c>
      <c r="EPT29" t="s">
        <v>836</v>
      </c>
      <c r="EPU29" t="s">
        <v>836</v>
      </c>
      <c r="EPV29" t="s">
        <v>836</v>
      </c>
      <c r="EPW29" t="s">
        <v>836</v>
      </c>
      <c r="EPX29" t="s">
        <v>836</v>
      </c>
      <c r="EPY29" t="s">
        <v>836</v>
      </c>
      <c r="EPZ29" t="s">
        <v>836</v>
      </c>
      <c r="EQA29" t="s">
        <v>836</v>
      </c>
      <c r="EQB29" t="s">
        <v>836</v>
      </c>
      <c r="EQC29" t="s">
        <v>836</v>
      </c>
      <c r="EQD29" t="s">
        <v>836</v>
      </c>
      <c r="EQE29" t="s">
        <v>836</v>
      </c>
      <c r="EQF29" t="s">
        <v>836</v>
      </c>
      <c r="EQG29" t="s">
        <v>836</v>
      </c>
      <c r="EQH29" t="s">
        <v>836</v>
      </c>
      <c r="EQI29" t="s">
        <v>836</v>
      </c>
      <c r="EQJ29" t="s">
        <v>836</v>
      </c>
      <c r="EQK29" t="s">
        <v>836</v>
      </c>
      <c r="EQL29" t="s">
        <v>836</v>
      </c>
      <c r="EQM29" t="s">
        <v>836</v>
      </c>
      <c r="EQN29" t="s">
        <v>836</v>
      </c>
      <c r="EQO29" t="s">
        <v>836</v>
      </c>
      <c r="EQP29" t="s">
        <v>836</v>
      </c>
      <c r="EQQ29" t="s">
        <v>836</v>
      </c>
      <c r="EQR29" t="s">
        <v>836</v>
      </c>
      <c r="EQS29" t="s">
        <v>836</v>
      </c>
      <c r="EQT29" t="s">
        <v>836</v>
      </c>
      <c r="EQU29" t="s">
        <v>836</v>
      </c>
      <c r="EQV29" t="s">
        <v>836</v>
      </c>
      <c r="EQW29" t="s">
        <v>836</v>
      </c>
      <c r="EQX29" t="s">
        <v>836</v>
      </c>
      <c r="EQY29" t="s">
        <v>836</v>
      </c>
      <c r="EQZ29" t="s">
        <v>836</v>
      </c>
      <c r="ERA29" t="s">
        <v>836</v>
      </c>
      <c r="ERB29" t="s">
        <v>836</v>
      </c>
      <c r="ERC29" t="s">
        <v>836</v>
      </c>
      <c r="ERD29" t="s">
        <v>836</v>
      </c>
      <c r="ERE29" t="s">
        <v>836</v>
      </c>
      <c r="ERF29" t="s">
        <v>836</v>
      </c>
      <c r="ERG29" t="s">
        <v>836</v>
      </c>
      <c r="ERH29" t="s">
        <v>836</v>
      </c>
      <c r="ERI29" t="s">
        <v>836</v>
      </c>
      <c r="ERJ29" t="s">
        <v>836</v>
      </c>
      <c r="ERK29" t="s">
        <v>836</v>
      </c>
      <c r="ERL29" t="s">
        <v>836</v>
      </c>
      <c r="ERM29" t="s">
        <v>836</v>
      </c>
      <c r="ERN29" t="s">
        <v>836</v>
      </c>
      <c r="ERO29" t="s">
        <v>836</v>
      </c>
      <c r="ERP29" t="s">
        <v>836</v>
      </c>
      <c r="ERQ29" t="s">
        <v>836</v>
      </c>
      <c r="ERR29" t="s">
        <v>836</v>
      </c>
      <c r="ERS29" t="s">
        <v>836</v>
      </c>
      <c r="ERT29" t="s">
        <v>836</v>
      </c>
      <c r="ERU29" t="s">
        <v>836</v>
      </c>
      <c r="ERV29" t="s">
        <v>836</v>
      </c>
      <c r="ERW29" t="s">
        <v>836</v>
      </c>
      <c r="ERX29" t="s">
        <v>836</v>
      </c>
      <c r="ERY29" t="s">
        <v>836</v>
      </c>
      <c r="ERZ29" t="s">
        <v>836</v>
      </c>
      <c r="ESA29" t="s">
        <v>836</v>
      </c>
      <c r="ESB29" t="s">
        <v>836</v>
      </c>
      <c r="ESC29" t="s">
        <v>836</v>
      </c>
      <c r="ESD29" t="s">
        <v>836</v>
      </c>
      <c r="ESE29" t="s">
        <v>836</v>
      </c>
      <c r="ESF29" t="s">
        <v>836</v>
      </c>
      <c r="ESG29" t="s">
        <v>836</v>
      </c>
      <c r="ESH29" t="s">
        <v>836</v>
      </c>
      <c r="ESI29" t="s">
        <v>836</v>
      </c>
      <c r="ESJ29" t="s">
        <v>836</v>
      </c>
      <c r="ESK29" t="s">
        <v>836</v>
      </c>
      <c r="ESL29" t="s">
        <v>836</v>
      </c>
      <c r="ESM29" t="s">
        <v>836</v>
      </c>
      <c r="ESN29" t="s">
        <v>836</v>
      </c>
      <c r="ESO29" t="s">
        <v>836</v>
      </c>
      <c r="ESP29" t="s">
        <v>836</v>
      </c>
      <c r="ESQ29" t="s">
        <v>836</v>
      </c>
      <c r="ESR29" t="s">
        <v>836</v>
      </c>
      <c r="ESS29" t="s">
        <v>836</v>
      </c>
      <c r="EST29" t="s">
        <v>836</v>
      </c>
      <c r="ESU29" t="s">
        <v>836</v>
      </c>
      <c r="ESV29" t="s">
        <v>836</v>
      </c>
      <c r="ESW29" t="s">
        <v>836</v>
      </c>
      <c r="ESX29" t="s">
        <v>836</v>
      </c>
      <c r="ESY29" t="s">
        <v>836</v>
      </c>
      <c r="ESZ29" t="s">
        <v>836</v>
      </c>
      <c r="ETA29" t="s">
        <v>836</v>
      </c>
      <c r="ETB29" t="s">
        <v>836</v>
      </c>
      <c r="ETC29" t="s">
        <v>836</v>
      </c>
      <c r="ETD29" t="s">
        <v>836</v>
      </c>
      <c r="ETE29" t="s">
        <v>836</v>
      </c>
      <c r="ETF29" t="s">
        <v>836</v>
      </c>
      <c r="ETG29" t="s">
        <v>836</v>
      </c>
      <c r="ETH29" t="s">
        <v>836</v>
      </c>
      <c r="ETI29" t="s">
        <v>836</v>
      </c>
      <c r="ETJ29" t="s">
        <v>836</v>
      </c>
      <c r="ETK29" t="s">
        <v>836</v>
      </c>
      <c r="ETL29" t="s">
        <v>836</v>
      </c>
      <c r="ETM29" t="s">
        <v>836</v>
      </c>
      <c r="ETN29" t="s">
        <v>836</v>
      </c>
      <c r="ETO29" t="s">
        <v>836</v>
      </c>
      <c r="ETP29" t="s">
        <v>836</v>
      </c>
      <c r="ETQ29" t="s">
        <v>836</v>
      </c>
      <c r="ETR29" t="s">
        <v>836</v>
      </c>
      <c r="ETS29" t="s">
        <v>836</v>
      </c>
      <c r="ETT29" t="s">
        <v>836</v>
      </c>
      <c r="ETU29" t="s">
        <v>836</v>
      </c>
      <c r="ETV29" t="s">
        <v>836</v>
      </c>
      <c r="ETW29" t="s">
        <v>836</v>
      </c>
      <c r="ETX29" t="s">
        <v>836</v>
      </c>
      <c r="ETY29" t="s">
        <v>836</v>
      </c>
      <c r="ETZ29" t="s">
        <v>836</v>
      </c>
      <c r="EUA29" t="s">
        <v>836</v>
      </c>
      <c r="EUB29" t="s">
        <v>836</v>
      </c>
      <c r="EUC29" t="s">
        <v>836</v>
      </c>
      <c r="EUD29" t="s">
        <v>836</v>
      </c>
      <c r="EUE29" t="s">
        <v>836</v>
      </c>
      <c r="EUF29" t="s">
        <v>836</v>
      </c>
      <c r="EUG29" t="s">
        <v>836</v>
      </c>
      <c r="EUH29" t="s">
        <v>836</v>
      </c>
      <c r="EUI29" t="s">
        <v>836</v>
      </c>
      <c r="EUJ29" t="s">
        <v>836</v>
      </c>
      <c r="EUK29" t="s">
        <v>836</v>
      </c>
      <c r="EUL29" t="s">
        <v>836</v>
      </c>
      <c r="EUM29" t="s">
        <v>836</v>
      </c>
      <c r="EUN29" t="s">
        <v>836</v>
      </c>
      <c r="EUO29" t="s">
        <v>836</v>
      </c>
      <c r="EUP29" t="s">
        <v>836</v>
      </c>
      <c r="EUQ29" t="s">
        <v>836</v>
      </c>
      <c r="EUR29" t="s">
        <v>836</v>
      </c>
      <c r="EUS29" t="s">
        <v>836</v>
      </c>
      <c r="EUT29" t="s">
        <v>836</v>
      </c>
      <c r="EUU29" t="s">
        <v>836</v>
      </c>
      <c r="EUV29" t="s">
        <v>836</v>
      </c>
      <c r="EUW29" t="s">
        <v>836</v>
      </c>
      <c r="EUX29" t="s">
        <v>836</v>
      </c>
      <c r="EUY29" t="s">
        <v>836</v>
      </c>
      <c r="EUZ29" t="s">
        <v>836</v>
      </c>
      <c r="EVA29" t="s">
        <v>836</v>
      </c>
      <c r="EVB29" t="s">
        <v>836</v>
      </c>
      <c r="EVC29" t="s">
        <v>836</v>
      </c>
      <c r="EVD29" t="s">
        <v>836</v>
      </c>
      <c r="EVE29" t="s">
        <v>836</v>
      </c>
      <c r="EVF29" t="s">
        <v>836</v>
      </c>
      <c r="EVG29" t="s">
        <v>836</v>
      </c>
      <c r="EVH29" t="s">
        <v>836</v>
      </c>
      <c r="EVI29" t="s">
        <v>836</v>
      </c>
      <c r="EVJ29" t="s">
        <v>836</v>
      </c>
      <c r="EVK29" t="s">
        <v>836</v>
      </c>
      <c r="EVL29" t="s">
        <v>836</v>
      </c>
      <c r="EVM29" t="s">
        <v>836</v>
      </c>
      <c r="EVN29" t="s">
        <v>836</v>
      </c>
      <c r="EVO29" t="s">
        <v>836</v>
      </c>
      <c r="EVP29" t="s">
        <v>836</v>
      </c>
      <c r="EVQ29" t="s">
        <v>836</v>
      </c>
      <c r="EVR29" t="s">
        <v>836</v>
      </c>
      <c r="EVS29" t="s">
        <v>836</v>
      </c>
      <c r="EVT29" t="s">
        <v>836</v>
      </c>
      <c r="EVU29" t="s">
        <v>836</v>
      </c>
      <c r="EVV29" t="s">
        <v>836</v>
      </c>
      <c r="EVW29" t="s">
        <v>836</v>
      </c>
      <c r="EVX29" t="s">
        <v>836</v>
      </c>
      <c r="EVY29" t="s">
        <v>836</v>
      </c>
      <c r="EVZ29" t="s">
        <v>836</v>
      </c>
      <c r="EWA29" t="s">
        <v>836</v>
      </c>
      <c r="EWB29" t="s">
        <v>836</v>
      </c>
      <c r="EWC29" t="s">
        <v>836</v>
      </c>
      <c r="EWD29" t="s">
        <v>836</v>
      </c>
      <c r="EWE29" t="s">
        <v>836</v>
      </c>
      <c r="EWF29" t="s">
        <v>836</v>
      </c>
      <c r="EWG29" t="s">
        <v>836</v>
      </c>
      <c r="EWH29" t="s">
        <v>836</v>
      </c>
      <c r="EWI29" t="s">
        <v>836</v>
      </c>
      <c r="EWJ29" t="s">
        <v>836</v>
      </c>
      <c r="EWK29" t="s">
        <v>836</v>
      </c>
      <c r="EWL29" t="s">
        <v>836</v>
      </c>
      <c r="EWM29" t="s">
        <v>836</v>
      </c>
      <c r="EWN29" t="s">
        <v>836</v>
      </c>
      <c r="EWO29" t="s">
        <v>836</v>
      </c>
      <c r="EWP29" t="s">
        <v>836</v>
      </c>
      <c r="EWQ29" t="s">
        <v>836</v>
      </c>
      <c r="EWR29" t="s">
        <v>836</v>
      </c>
      <c r="EWS29" t="s">
        <v>836</v>
      </c>
      <c r="EWT29" t="s">
        <v>836</v>
      </c>
      <c r="EWU29" t="s">
        <v>836</v>
      </c>
      <c r="EWV29" t="s">
        <v>836</v>
      </c>
      <c r="EWW29" t="s">
        <v>836</v>
      </c>
      <c r="EWX29" t="s">
        <v>836</v>
      </c>
      <c r="EWY29" t="s">
        <v>836</v>
      </c>
      <c r="EWZ29" t="s">
        <v>836</v>
      </c>
      <c r="EXA29" t="s">
        <v>836</v>
      </c>
      <c r="EXB29" t="s">
        <v>836</v>
      </c>
      <c r="EXC29" t="s">
        <v>836</v>
      </c>
      <c r="EXD29" t="s">
        <v>836</v>
      </c>
      <c r="EXE29" t="s">
        <v>836</v>
      </c>
      <c r="EXF29" t="s">
        <v>836</v>
      </c>
      <c r="EXG29" t="s">
        <v>836</v>
      </c>
      <c r="EXH29" t="s">
        <v>836</v>
      </c>
      <c r="EXI29" t="s">
        <v>836</v>
      </c>
      <c r="EXJ29" t="s">
        <v>836</v>
      </c>
      <c r="EXK29" t="s">
        <v>836</v>
      </c>
      <c r="EXL29" t="s">
        <v>836</v>
      </c>
      <c r="EXM29" t="s">
        <v>836</v>
      </c>
      <c r="EXN29" t="s">
        <v>836</v>
      </c>
      <c r="EXO29" t="s">
        <v>836</v>
      </c>
      <c r="EXP29" t="s">
        <v>836</v>
      </c>
      <c r="EXQ29" t="s">
        <v>836</v>
      </c>
      <c r="EXR29" t="s">
        <v>836</v>
      </c>
      <c r="EXS29" t="s">
        <v>836</v>
      </c>
      <c r="EXT29" t="s">
        <v>836</v>
      </c>
      <c r="EXU29" t="s">
        <v>836</v>
      </c>
      <c r="EXV29" t="s">
        <v>836</v>
      </c>
      <c r="EXW29" t="s">
        <v>836</v>
      </c>
      <c r="EXX29" t="s">
        <v>836</v>
      </c>
      <c r="EXY29" t="s">
        <v>836</v>
      </c>
      <c r="EXZ29" t="s">
        <v>836</v>
      </c>
      <c r="EYA29" t="s">
        <v>836</v>
      </c>
      <c r="EYB29" t="s">
        <v>836</v>
      </c>
      <c r="EYC29" t="s">
        <v>836</v>
      </c>
      <c r="EYD29" t="s">
        <v>836</v>
      </c>
      <c r="EYE29" t="s">
        <v>836</v>
      </c>
      <c r="EYF29" t="s">
        <v>836</v>
      </c>
      <c r="EYG29" t="s">
        <v>836</v>
      </c>
      <c r="EYH29" t="s">
        <v>836</v>
      </c>
      <c r="EYI29" t="s">
        <v>836</v>
      </c>
      <c r="EYJ29" t="s">
        <v>836</v>
      </c>
      <c r="EYK29" t="s">
        <v>836</v>
      </c>
      <c r="EYL29" t="s">
        <v>836</v>
      </c>
      <c r="EYM29" t="s">
        <v>836</v>
      </c>
      <c r="EYN29" t="s">
        <v>836</v>
      </c>
      <c r="EYO29" t="s">
        <v>836</v>
      </c>
      <c r="EYP29" t="s">
        <v>836</v>
      </c>
      <c r="EYQ29" t="s">
        <v>836</v>
      </c>
      <c r="EYR29" t="s">
        <v>836</v>
      </c>
      <c r="EYS29" t="s">
        <v>836</v>
      </c>
      <c r="EYT29" t="s">
        <v>836</v>
      </c>
      <c r="EYU29" t="s">
        <v>836</v>
      </c>
      <c r="EYV29" t="s">
        <v>836</v>
      </c>
      <c r="EYW29" t="s">
        <v>836</v>
      </c>
      <c r="EYX29" t="s">
        <v>836</v>
      </c>
      <c r="EYY29" t="s">
        <v>836</v>
      </c>
      <c r="EYZ29" t="s">
        <v>836</v>
      </c>
      <c r="EZA29" t="s">
        <v>836</v>
      </c>
      <c r="EZB29" t="s">
        <v>836</v>
      </c>
      <c r="EZC29" t="s">
        <v>836</v>
      </c>
      <c r="EZD29" t="s">
        <v>836</v>
      </c>
      <c r="EZE29" t="s">
        <v>836</v>
      </c>
      <c r="EZF29" t="s">
        <v>836</v>
      </c>
      <c r="EZG29" t="s">
        <v>836</v>
      </c>
      <c r="EZH29" t="s">
        <v>836</v>
      </c>
      <c r="EZI29" t="s">
        <v>836</v>
      </c>
      <c r="EZJ29" t="s">
        <v>836</v>
      </c>
      <c r="EZK29" t="s">
        <v>836</v>
      </c>
      <c r="EZL29" t="s">
        <v>836</v>
      </c>
      <c r="EZM29" t="s">
        <v>836</v>
      </c>
      <c r="EZN29" t="s">
        <v>836</v>
      </c>
      <c r="EZO29" t="s">
        <v>836</v>
      </c>
      <c r="EZP29" t="s">
        <v>836</v>
      </c>
      <c r="EZQ29" t="s">
        <v>836</v>
      </c>
      <c r="EZR29" t="s">
        <v>836</v>
      </c>
      <c r="EZS29" t="s">
        <v>836</v>
      </c>
      <c r="EZT29" t="s">
        <v>836</v>
      </c>
      <c r="EZU29" t="s">
        <v>836</v>
      </c>
      <c r="EZV29" t="s">
        <v>836</v>
      </c>
      <c r="EZW29" t="s">
        <v>836</v>
      </c>
      <c r="EZX29" t="s">
        <v>836</v>
      </c>
      <c r="EZY29" t="s">
        <v>836</v>
      </c>
      <c r="EZZ29" t="s">
        <v>836</v>
      </c>
      <c r="FAA29" t="s">
        <v>836</v>
      </c>
      <c r="FAB29" t="s">
        <v>836</v>
      </c>
      <c r="FAC29" t="s">
        <v>836</v>
      </c>
      <c r="FAD29" t="s">
        <v>836</v>
      </c>
      <c r="FAE29" t="s">
        <v>836</v>
      </c>
      <c r="FAF29" t="s">
        <v>836</v>
      </c>
      <c r="FAG29" t="s">
        <v>836</v>
      </c>
      <c r="FAH29" t="s">
        <v>836</v>
      </c>
      <c r="FAI29" t="s">
        <v>836</v>
      </c>
      <c r="FAJ29" t="s">
        <v>836</v>
      </c>
      <c r="FAK29" t="s">
        <v>836</v>
      </c>
      <c r="FAL29" t="s">
        <v>836</v>
      </c>
      <c r="FAM29" t="s">
        <v>836</v>
      </c>
      <c r="FAN29" t="s">
        <v>836</v>
      </c>
      <c r="FAO29" t="s">
        <v>836</v>
      </c>
      <c r="FAP29" t="s">
        <v>836</v>
      </c>
      <c r="FAQ29" t="s">
        <v>836</v>
      </c>
      <c r="FAR29" t="s">
        <v>836</v>
      </c>
      <c r="FAS29" t="s">
        <v>836</v>
      </c>
      <c r="FAT29" t="s">
        <v>836</v>
      </c>
      <c r="FAU29" t="s">
        <v>836</v>
      </c>
      <c r="FAV29" t="s">
        <v>836</v>
      </c>
      <c r="FAW29" t="s">
        <v>836</v>
      </c>
      <c r="FAX29" t="s">
        <v>836</v>
      </c>
      <c r="FAY29" t="s">
        <v>836</v>
      </c>
      <c r="FAZ29" t="s">
        <v>836</v>
      </c>
      <c r="FBA29" t="s">
        <v>836</v>
      </c>
      <c r="FBB29" t="s">
        <v>836</v>
      </c>
      <c r="FBC29" t="s">
        <v>836</v>
      </c>
      <c r="FBD29" t="s">
        <v>836</v>
      </c>
      <c r="FBE29" t="s">
        <v>836</v>
      </c>
      <c r="FBF29" t="s">
        <v>836</v>
      </c>
      <c r="FBG29" t="s">
        <v>836</v>
      </c>
      <c r="FBH29" t="s">
        <v>836</v>
      </c>
      <c r="FBI29" t="s">
        <v>836</v>
      </c>
      <c r="FBJ29" t="s">
        <v>836</v>
      </c>
      <c r="FBK29" t="s">
        <v>836</v>
      </c>
      <c r="FBL29" t="s">
        <v>836</v>
      </c>
      <c r="FBM29" t="s">
        <v>836</v>
      </c>
      <c r="FBN29" t="s">
        <v>836</v>
      </c>
      <c r="FBO29" t="s">
        <v>836</v>
      </c>
      <c r="FBP29" t="s">
        <v>836</v>
      </c>
      <c r="FBQ29" t="s">
        <v>836</v>
      </c>
      <c r="FBR29" t="s">
        <v>836</v>
      </c>
      <c r="FBS29" t="s">
        <v>836</v>
      </c>
      <c r="FBT29" t="s">
        <v>836</v>
      </c>
      <c r="FBU29" t="s">
        <v>836</v>
      </c>
      <c r="FBV29" t="s">
        <v>836</v>
      </c>
      <c r="FBW29" t="s">
        <v>836</v>
      </c>
      <c r="FBX29" t="s">
        <v>836</v>
      </c>
      <c r="FBY29" t="s">
        <v>836</v>
      </c>
      <c r="FBZ29" t="s">
        <v>836</v>
      </c>
      <c r="FCA29" t="s">
        <v>836</v>
      </c>
      <c r="FCB29" t="s">
        <v>836</v>
      </c>
      <c r="FCC29" t="s">
        <v>836</v>
      </c>
      <c r="FCD29" t="s">
        <v>836</v>
      </c>
      <c r="FCE29" t="s">
        <v>836</v>
      </c>
      <c r="FCF29" t="s">
        <v>836</v>
      </c>
      <c r="FCG29" t="s">
        <v>836</v>
      </c>
      <c r="FCH29" t="s">
        <v>836</v>
      </c>
      <c r="FCI29" t="s">
        <v>836</v>
      </c>
      <c r="FCJ29" t="s">
        <v>836</v>
      </c>
      <c r="FCK29" t="s">
        <v>836</v>
      </c>
      <c r="FCL29" t="s">
        <v>836</v>
      </c>
      <c r="FCM29" t="s">
        <v>836</v>
      </c>
      <c r="FCN29" t="s">
        <v>836</v>
      </c>
      <c r="FCO29" t="s">
        <v>836</v>
      </c>
      <c r="FCP29" t="s">
        <v>836</v>
      </c>
      <c r="FCQ29" t="s">
        <v>836</v>
      </c>
      <c r="FCR29" t="s">
        <v>836</v>
      </c>
      <c r="FCS29" t="s">
        <v>836</v>
      </c>
      <c r="FCT29" t="s">
        <v>836</v>
      </c>
      <c r="FCU29" t="s">
        <v>836</v>
      </c>
      <c r="FCV29" t="s">
        <v>836</v>
      </c>
      <c r="FCW29" t="s">
        <v>836</v>
      </c>
      <c r="FCX29" t="s">
        <v>836</v>
      </c>
      <c r="FCY29" t="s">
        <v>836</v>
      </c>
      <c r="FCZ29" t="s">
        <v>836</v>
      </c>
      <c r="FDA29" t="s">
        <v>836</v>
      </c>
      <c r="FDB29" t="s">
        <v>836</v>
      </c>
      <c r="FDC29" t="s">
        <v>836</v>
      </c>
      <c r="FDD29" t="s">
        <v>836</v>
      </c>
      <c r="FDE29" t="s">
        <v>836</v>
      </c>
      <c r="FDF29" t="s">
        <v>836</v>
      </c>
      <c r="FDG29" t="s">
        <v>836</v>
      </c>
      <c r="FDH29" t="s">
        <v>836</v>
      </c>
      <c r="FDI29" t="s">
        <v>836</v>
      </c>
      <c r="FDJ29" t="s">
        <v>836</v>
      </c>
      <c r="FDK29" t="s">
        <v>836</v>
      </c>
      <c r="FDL29" t="s">
        <v>836</v>
      </c>
      <c r="FDM29" t="s">
        <v>836</v>
      </c>
      <c r="FDN29" t="s">
        <v>836</v>
      </c>
      <c r="FDO29" t="s">
        <v>836</v>
      </c>
      <c r="FDP29" t="s">
        <v>836</v>
      </c>
      <c r="FDQ29" t="s">
        <v>836</v>
      </c>
      <c r="FDR29" t="s">
        <v>836</v>
      </c>
      <c r="FDS29" t="s">
        <v>836</v>
      </c>
      <c r="FDT29" t="s">
        <v>836</v>
      </c>
      <c r="FDU29" t="s">
        <v>836</v>
      </c>
      <c r="FDV29" t="s">
        <v>836</v>
      </c>
      <c r="FDW29" t="s">
        <v>836</v>
      </c>
      <c r="FDX29" t="s">
        <v>836</v>
      </c>
      <c r="FDY29" t="s">
        <v>836</v>
      </c>
      <c r="FDZ29" t="s">
        <v>836</v>
      </c>
      <c r="FEA29" t="s">
        <v>836</v>
      </c>
      <c r="FEB29" t="s">
        <v>836</v>
      </c>
      <c r="FEC29" t="s">
        <v>836</v>
      </c>
      <c r="FED29" t="s">
        <v>836</v>
      </c>
      <c r="FEE29" t="s">
        <v>836</v>
      </c>
      <c r="FEF29" t="s">
        <v>836</v>
      </c>
      <c r="FEG29" t="s">
        <v>836</v>
      </c>
      <c r="FEH29" t="s">
        <v>836</v>
      </c>
      <c r="FEI29" t="s">
        <v>836</v>
      </c>
      <c r="FEJ29" t="s">
        <v>836</v>
      </c>
      <c r="FEK29" t="s">
        <v>836</v>
      </c>
      <c r="FEL29" t="s">
        <v>836</v>
      </c>
      <c r="FEM29" t="s">
        <v>836</v>
      </c>
      <c r="FEN29" t="s">
        <v>836</v>
      </c>
      <c r="FEO29" t="s">
        <v>836</v>
      </c>
      <c r="FEP29" t="s">
        <v>836</v>
      </c>
      <c r="FEQ29" t="s">
        <v>836</v>
      </c>
      <c r="FER29" t="s">
        <v>836</v>
      </c>
      <c r="FES29" t="s">
        <v>836</v>
      </c>
      <c r="FET29" t="s">
        <v>836</v>
      </c>
      <c r="FEU29" t="s">
        <v>836</v>
      </c>
      <c r="FEV29" t="s">
        <v>836</v>
      </c>
      <c r="FEW29" t="s">
        <v>836</v>
      </c>
      <c r="FEX29" t="s">
        <v>836</v>
      </c>
      <c r="FEY29" t="s">
        <v>836</v>
      </c>
      <c r="FEZ29" t="s">
        <v>836</v>
      </c>
      <c r="FFA29" t="s">
        <v>836</v>
      </c>
      <c r="FFB29" t="s">
        <v>836</v>
      </c>
      <c r="FFC29" t="s">
        <v>836</v>
      </c>
      <c r="FFD29" t="s">
        <v>836</v>
      </c>
      <c r="FFE29" t="s">
        <v>836</v>
      </c>
      <c r="FFF29" t="s">
        <v>836</v>
      </c>
      <c r="FFG29" t="s">
        <v>836</v>
      </c>
      <c r="FFH29" t="s">
        <v>836</v>
      </c>
      <c r="FFI29" t="s">
        <v>836</v>
      </c>
      <c r="FFJ29" t="s">
        <v>836</v>
      </c>
      <c r="FFK29" t="s">
        <v>836</v>
      </c>
      <c r="FFL29" t="s">
        <v>836</v>
      </c>
      <c r="FFM29" t="s">
        <v>836</v>
      </c>
      <c r="FFN29" t="s">
        <v>836</v>
      </c>
      <c r="FFO29" t="s">
        <v>836</v>
      </c>
      <c r="FFP29" t="s">
        <v>836</v>
      </c>
      <c r="FFQ29" t="s">
        <v>836</v>
      </c>
      <c r="FFR29" t="s">
        <v>836</v>
      </c>
      <c r="FFS29" t="s">
        <v>836</v>
      </c>
      <c r="FFT29" t="s">
        <v>836</v>
      </c>
      <c r="FFU29" t="s">
        <v>836</v>
      </c>
      <c r="FFV29" t="s">
        <v>836</v>
      </c>
      <c r="FFW29" t="s">
        <v>836</v>
      </c>
      <c r="FFX29" t="s">
        <v>836</v>
      </c>
      <c r="FFY29" t="s">
        <v>836</v>
      </c>
      <c r="FFZ29" t="s">
        <v>836</v>
      </c>
      <c r="FGA29" t="s">
        <v>836</v>
      </c>
      <c r="FGB29" t="s">
        <v>836</v>
      </c>
      <c r="FGC29" t="s">
        <v>836</v>
      </c>
      <c r="FGD29" t="s">
        <v>836</v>
      </c>
      <c r="FGE29" t="s">
        <v>836</v>
      </c>
      <c r="FGF29" t="s">
        <v>836</v>
      </c>
      <c r="FGG29" t="s">
        <v>836</v>
      </c>
      <c r="FGH29" t="s">
        <v>836</v>
      </c>
      <c r="FGI29" t="s">
        <v>836</v>
      </c>
      <c r="FGJ29" t="s">
        <v>836</v>
      </c>
      <c r="FGK29" t="s">
        <v>836</v>
      </c>
      <c r="FGL29" t="s">
        <v>836</v>
      </c>
      <c r="FGM29" t="s">
        <v>836</v>
      </c>
      <c r="FGN29" t="s">
        <v>836</v>
      </c>
      <c r="FGO29" t="s">
        <v>836</v>
      </c>
      <c r="FGP29" t="s">
        <v>836</v>
      </c>
      <c r="FGQ29" t="s">
        <v>836</v>
      </c>
      <c r="FGR29" t="s">
        <v>836</v>
      </c>
      <c r="FGS29" t="s">
        <v>836</v>
      </c>
      <c r="FGT29" t="s">
        <v>836</v>
      </c>
      <c r="FGU29" t="s">
        <v>836</v>
      </c>
      <c r="FGV29" t="s">
        <v>836</v>
      </c>
      <c r="FGW29" t="s">
        <v>836</v>
      </c>
      <c r="FGX29" t="s">
        <v>836</v>
      </c>
      <c r="FGY29" t="s">
        <v>836</v>
      </c>
      <c r="FGZ29" t="s">
        <v>836</v>
      </c>
      <c r="FHA29" t="s">
        <v>836</v>
      </c>
      <c r="FHB29" t="s">
        <v>836</v>
      </c>
      <c r="FHC29" t="s">
        <v>836</v>
      </c>
      <c r="FHD29" t="s">
        <v>836</v>
      </c>
      <c r="FHE29" t="s">
        <v>836</v>
      </c>
      <c r="FHF29" t="s">
        <v>836</v>
      </c>
      <c r="FHG29" t="s">
        <v>836</v>
      </c>
      <c r="FHH29" t="s">
        <v>836</v>
      </c>
      <c r="FHI29" t="s">
        <v>836</v>
      </c>
      <c r="FHJ29" t="s">
        <v>836</v>
      </c>
      <c r="FHK29" t="s">
        <v>836</v>
      </c>
      <c r="FHL29" t="s">
        <v>836</v>
      </c>
      <c r="FHM29" t="s">
        <v>836</v>
      </c>
      <c r="FHN29" t="s">
        <v>836</v>
      </c>
      <c r="FHO29" t="s">
        <v>836</v>
      </c>
      <c r="FHP29" t="s">
        <v>836</v>
      </c>
      <c r="FHQ29" t="s">
        <v>836</v>
      </c>
      <c r="FHR29" t="s">
        <v>836</v>
      </c>
      <c r="FHS29" t="s">
        <v>836</v>
      </c>
      <c r="FHT29" t="s">
        <v>836</v>
      </c>
      <c r="FHU29" t="s">
        <v>836</v>
      </c>
      <c r="FHV29" t="s">
        <v>836</v>
      </c>
      <c r="FHW29" t="s">
        <v>836</v>
      </c>
      <c r="FHX29" t="s">
        <v>836</v>
      </c>
      <c r="FHY29" t="s">
        <v>836</v>
      </c>
      <c r="FHZ29" t="s">
        <v>836</v>
      </c>
      <c r="FIA29" t="s">
        <v>836</v>
      </c>
      <c r="FIB29" t="s">
        <v>836</v>
      </c>
      <c r="FIC29" t="s">
        <v>836</v>
      </c>
      <c r="FID29" t="s">
        <v>836</v>
      </c>
      <c r="FIE29" t="s">
        <v>836</v>
      </c>
      <c r="FIF29" t="s">
        <v>836</v>
      </c>
      <c r="FIG29" t="s">
        <v>836</v>
      </c>
      <c r="FIH29" t="s">
        <v>836</v>
      </c>
      <c r="FII29" t="s">
        <v>836</v>
      </c>
      <c r="FIJ29" t="s">
        <v>836</v>
      </c>
      <c r="FIK29" t="s">
        <v>836</v>
      </c>
      <c r="FIL29" t="s">
        <v>836</v>
      </c>
      <c r="FIM29" t="s">
        <v>836</v>
      </c>
      <c r="FIN29" t="s">
        <v>836</v>
      </c>
      <c r="FIO29" t="s">
        <v>836</v>
      </c>
      <c r="FIP29" t="s">
        <v>836</v>
      </c>
      <c r="FIQ29" t="s">
        <v>836</v>
      </c>
      <c r="FIR29" t="s">
        <v>836</v>
      </c>
      <c r="FIS29" t="s">
        <v>836</v>
      </c>
      <c r="FIT29" t="s">
        <v>836</v>
      </c>
      <c r="FIU29" t="s">
        <v>836</v>
      </c>
      <c r="FIV29" t="s">
        <v>836</v>
      </c>
      <c r="FIW29" t="s">
        <v>836</v>
      </c>
      <c r="FIX29" t="s">
        <v>836</v>
      </c>
      <c r="FIY29" t="s">
        <v>836</v>
      </c>
      <c r="FIZ29" t="s">
        <v>836</v>
      </c>
      <c r="FJA29" t="s">
        <v>836</v>
      </c>
      <c r="FJB29" t="s">
        <v>836</v>
      </c>
      <c r="FJC29" t="s">
        <v>836</v>
      </c>
      <c r="FJD29" t="s">
        <v>836</v>
      </c>
      <c r="FJE29" t="s">
        <v>836</v>
      </c>
      <c r="FJF29" t="s">
        <v>836</v>
      </c>
      <c r="FJG29" t="s">
        <v>836</v>
      </c>
      <c r="FJH29" t="s">
        <v>836</v>
      </c>
      <c r="FJI29" t="s">
        <v>836</v>
      </c>
      <c r="FJJ29" t="s">
        <v>836</v>
      </c>
      <c r="FJK29" t="s">
        <v>836</v>
      </c>
      <c r="FJL29" t="s">
        <v>836</v>
      </c>
      <c r="FJM29" t="s">
        <v>836</v>
      </c>
      <c r="FJN29" t="s">
        <v>836</v>
      </c>
      <c r="FJO29" t="s">
        <v>836</v>
      </c>
      <c r="FJP29" t="s">
        <v>836</v>
      </c>
      <c r="FJQ29" t="s">
        <v>836</v>
      </c>
      <c r="FJR29" t="s">
        <v>836</v>
      </c>
      <c r="FJS29" t="s">
        <v>836</v>
      </c>
      <c r="FJT29" t="s">
        <v>836</v>
      </c>
      <c r="FJU29" t="s">
        <v>836</v>
      </c>
      <c r="FJV29" t="s">
        <v>836</v>
      </c>
      <c r="FJW29" t="s">
        <v>836</v>
      </c>
      <c r="FJX29" t="s">
        <v>836</v>
      </c>
      <c r="FJY29" t="s">
        <v>836</v>
      </c>
      <c r="FJZ29" t="s">
        <v>836</v>
      </c>
      <c r="FKA29" t="s">
        <v>836</v>
      </c>
      <c r="FKB29" t="s">
        <v>836</v>
      </c>
      <c r="FKC29" t="s">
        <v>836</v>
      </c>
      <c r="FKD29" t="s">
        <v>836</v>
      </c>
      <c r="FKE29" t="s">
        <v>836</v>
      </c>
      <c r="FKF29" t="s">
        <v>836</v>
      </c>
      <c r="FKG29" t="s">
        <v>836</v>
      </c>
      <c r="FKH29" t="s">
        <v>836</v>
      </c>
      <c r="FKI29" t="s">
        <v>836</v>
      </c>
      <c r="FKJ29" t="s">
        <v>836</v>
      </c>
      <c r="FKK29" t="s">
        <v>836</v>
      </c>
      <c r="FKL29" t="s">
        <v>836</v>
      </c>
      <c r="FKM29" t="s">
        <v>836</v>
      </c>
      <c r="FKN29" t="s">
        <v>836</v>
      </c>
      <c r="FKO29" t="s">
        <v>836</v>
      </c>
      <c r="FKP29" t="s">
        <v>836</v>
      </c>
      <c r="FKQ29" t="s">
        <v>836</v>
      </c>
      <c r="FKR29" t="s">
        <v>836</v>
      </c>
      <c r="FKS29" t="s">
        <v>836</v>
      </c>
      <c r="FKT29" t="s">
        <v>836</v>
      </c>
      <c r="FKU29" t="s">
        <v>836</v>
      </c>
      <c r="FKV29" t="s">
        <v>836</v>
      </c>
      <c r="FKW29" t="s">
        <v>836</v>
      </c>
      <c r="FKX29" t="s">
        <v>836</v>
      </c>
      <c r="FKY29" t="s">
        <v>836</v>
      </c>
      <c r="FKZ29" t="s">
        <v>836</v>
      </c>
      <c r="FLA29" t="s">
        <v>836</v>
      </c>
      <c r="FLB29" t="s">
        <v>836</v>
      </c>
      <c r="FLC29" t="s">
        <v>836</v>
      </c>
      <c r="FLD29" t="s">
        <v>836</v>
      </c>
      <c r="FLE29" t="s">
        <v>836</v>
      </c>
      <c r="FLF29" t="s">
        <v>836</v>
      </c>
      <c r="FLG29" t="s">
        <v>836</v>
      </c>
      <c r="FLH29" t="s">
        <v>836</v>
      </c>
      <c r="FLI29" t="s">
        <v>836</v>
      </c>
      <c r="FLJ29" t="s">
        <v>836</v>
      </c>
      <c r="FLK29" t="s">
        <v>836</v>
      </c>
      <c r="FLL29" t="s">
        <v>836</v>
      </c>
      <c r="FLM29" t="s">
        <v>836</v>
      </c>
      <c r="FLN29" t="s">
        <v>836</v>
      </c>
      <c r="FLO29" t="s">
        <v>836</v>
      </c>
      <c r="FLP29" t="s">
        <v>836</v>
      </c>
      <c r="FLQ29" t="s">
        <v>836</v>
      </c>
      <c r="FLR29" t="s">
        <v>836</v>
      </c>
      <c r="FLS29" t="s">
        <v>836</v>
      </c>
      <c r="FLT29" t="s">
        <v>836</v>
      </c>
      <c r="FLU29" t="s">
        <v>836</v>
      </c>
      <c r="FLV29" t="s">
        <v>836</v>
      </c>
      <c r="FLW29" t="s">
        <v>836</v>
      </c>
      <c r="FLX29" t="s">
        <v>836</v>
      </c>
      <c r="FLY29" t="s">
        <v>836</v>
      </c>
      <c r="FLZ29" t="s">
        <v>836</v>
      </c>
      <c r="FMA29" t="s">
        <v>836</v>
      </c>
      <c r="FMB29" t="s">
        <v>836</v>
      </c>
      <c r="FMC29" t="s">
        <v>836</v>
      </c>
      <c r="FMD29" t="s">
        <v>836</v>
      </c>
      <c r="FME29" t="s">
        <v>836</v>
      </c>
      <c r="FMF29" t="s">
        <v>836</v>
      </c>
      <c r="FMG29" t="s">
        <v>836</v>
      </c>
      <c r="FMH29" t="s">
        <v>836</v>
      </c>
      <c r="FMI29" t="s">
        <v>836</v>
      </c>
      <c r="FMJ29" t="s">
        <v>836</v>
      </c>
      <c r="FMK29" t="s">
        <v>836</v>
      </c>
      <c r="FML29" t="s">
        <v>836</v>
      </c>
      <c r="FMM29" t="s">
        <v>836</v>
      </c>
      <c r="FMN29" t="s">
        <v>836</v>
      </c>
      <c r="FMO29" t="s">
        <v>836</v>
      </c>
      <c r="FMP29" t="s">
        <v>836</v>
      </c>
      <c r="FMQ29" t="s">
        <v>836</v>
      </c>
      <c r="FMR29" t="s">
        <v>836</v>
      </c>
      <c r="FMS29" t="s">
        <v>836</v>
      </c>
      <c r="FMT29" t="s">
        <v>836</v>
      </c>
      <c r="FMU29" t="s">
        <v>836</v>
      </c>
      <c r="FMV29" t="s">
        <v>836</v>
      </c>
      <c r="FMW29" t="s">
        <v>836</v>
      </c>
      <c r="FMX29" t="s">
        <v>836</v>
      </c>
      <c r="FMY29" t="s">
        <v>836</v>
      </c>
      <c r="FMZ29" t="s">
        <v>836</v>
      </c>
      <c r="FNA29" t="s">
        <v>836</v>
      </c>
      <c r="FNB29" t="s">
        <v>836</v>
      </c>
      <c r="FNC29" t="s">
        <v>836</v>
      </c>
      <c r="FND29" t="s">
        <v>836</v>
      </c>
      <c r="FNE29" t="s">
        <v>836</v>
      </c>
      <c r="FNF29" t="s">
        <v>836</v>
      </c>
      <c r="FNG29" t="s">
        <v>836</v>
      </c>
      <c r="FNH29" t="s">
        <v>836</v>
      </c>
      <c r="FNI29" t="s">
        <v>836</v>
      </c>
      <c r="FNJ29" t="s">
        <v>836</v>
      </c>
      <c r="FNK29" t="s">
        <v>836</v>
      </c>
      <c r="FNL29" t="s">
        <v>836</v>
      </c>
      <c r="FNM29" t="s">
        <v>836</v>
      </c>
      <c r="FNN29" t="s">
        <v>836</v>
      </c>
      <c r="FNO29" t="s">
        <v>836</v>
      </c>
      <c r="FNP29" t="s">
        <v>836</v>
      </c>
      <c r="FNQ29" t="s">
        <v>836</v>
      </c>
      <c r="FNR29" t="s">
        <v>836</v>
      </c>
      <c r="FNS29" t="s">
        <v>836</v>
      </c>
      <c r="FNT29" t="s">
        <v>836</v>
      </c>
      <c r="FNU29" t="s">
        <v>836</v>
      </c>
      <c r="FNV29" t="s">
        <v>836</v>
      </c>
      <c r="FNW29" t="s">
        <v>836</v>
      </c>
      <c r="FNX29" t="s">
        <v>836</v>
      </c>
      <c r="FNY29" t="s">
        <v>836</v>
      </c>
      <c r="FNZ29" t="s">
        <v>836</v>
      </c>
      <c r="FOA29" t="s">
        <v>836</v>
      </c>
      <c r="FOB29" t="s">
        <v>836</v>
      </c>
      <c r="FOC29" t="s">
        <v>836</v>
      </c>
      <c r="FOD29" t="s">
        <v>836</v>
      </c>
      <c r="FOE29" t="s">
        <v>836</v>
      </c>
      <c r="FOF29" t="s">
        <v>836</v>
      </c>
      <c r="FOG29" t="s">
        <v>836</v>
      </c>
      <c r="FOH29" t="s">
        <v>836</v>
      </c>
      <c r="FOI29" t="s">
        <v>836</v>
      </c>
      <c r="FOJ29" t="s">
        <v>836</v>
      </c>
      <c r="FOK29" t="s">
        <v>836</v>
      </c>
      <c r="FOL29" t="s">
        <v>836</v>
      </c>
      <c r="FOM29" t="s">
        <v>836</v>
      </c>
      <c r="FON29" t="s">
        <v>836</v>
      </c>
      <c r="FOO29" t="s">
        <v>836</v>
      </c>
      <c r="FOP29" t="s">
        <v>836</v>
      </c>
      <c r="FOQ29" t="s">
        <v>836</v>
      </c>
      <c r="FOR29" t="s">
        <v>836</v>
      </c>
      <c r="FOS29" t="s">
        <v>836</v>
      </c>
      <c r="FOT29" t="s">
        <v>836</v>
      </c>
      <c r="FOU29" t="s">
        <v>836</v>
      </c>
      <c r="FOV29" t="s">
        <v>836</v>
      </c>
      <c r="FOW29" t="s">
        <v>836</v>
      </c>
      <c r="FOX29" t="s">
        <v>836</v>
      </c>
      <c r="FOY29" t="s">
        <v>836</v>
      </c>
      <c r="FOZ29" t="s">
        <v>836</v>
      </c>
      <c r="FPA29" t="s">
        <v>836</v>
      </c>
      <c r="FPB29" t="s">
        <v>836</v>
      </c>
      <c r="FPC29" t="s">
        <v>836</v>
      </c>
      <c r="FPD29" t="s">
        <v>836</v>
      </c>
      <c r="FPE29" t="s">
        <v>836</v>
      </c>
      <c r="FPF29" t="s">
        <v>836</v>
      </c>
      <c r="FPG29" t="s">
        <v>836</v>
      </c>
      <c r="FPH29" t="s">
        <v>836</v>
      </c>
      <c r="FPI29" t="s">
        <v>836</v>
      </c>
      <c r="FPJ29" t="s">
        <v>836</v>
      </c>
      <c r="FPK29" t="s">
        <v>836</v>
      </c>
      <c r="FPL29" t="s">
        <v>836</v>
      </c>
      <c r="FPM29" t="s">
        <v>836</v>
      </c>
      <c r="FPN29" t="s">
        <v>836</v>
      </c>
      <c r="FPO29" t="s">
        <v>836</v>
      </c>
      <c r="FPP29" t="s">
        <v>836</v>
      </c>
      <c r="FPQ29" t="s">
        <v>836</v>
      </c>
      <c r="FPR29" t="s">
        <v>836</v>
      </c>
      <c r="FPS29" t="s">
        <v>836</v>
      </c>
      <c r="FPT29" t="s">
        <v>836</v>
      </c>
      <c r="FPU29" t="s">
        <v>836</v>
      </c>
      <c r="FPV29" t="s">
        <v>836</v>
      </c>
      <c r="FPW29" t="s">
        <v>836</v>
      </c>
      <c r="FPX29" t="s">
        <v>836</v>
      </c>
      <c r="FPY29" t="s">
        <v>836</v>
      </c>
      <c r="FPZ29" t="s">
        <v>836</v>
      </c>
      <c r="FQA29" t="s">
        <v>836</v>
      </c>
      <c r="FQB29" t="s">
        <v>836</v>
      </c>
      <c r="FQC29" t="s">
        <v>836</v>
      </c>
      <c r="FQD29" t="s">
        <v>836</v>
      </c>
      <c r="FQE29" t="s">
        <v>836</v>
      </c>
      <c r="FQF29" t="s">
        <v>836</v>
      </c>
      <c r="FQG29" t="s">
        <v>836</v>
      </c>
      <c r="FQH29" t="s">
        <v>836</v>
      </c>
      <c r="FQI29" t="s">
        <v>836</v>
      </c>
      <c r="FQJ29" t="s">
        <v>836</v>
      </c>
      <c r="FQK29" t="s">
        <v>836</v>
      </c>
      <c r="FQL29" t="s">
        <v>836</v>
      </c>
      <c r="FQM29" t="s">
        <v>836</v>
      </c>
      <c r="FQN29" t="s">
        <v>836</v>
      </c>
      <c r="FQO29" t="s">
        <v>836</v>
      </c>
      <c r="FQP29" t="s">
        <v>836</v>
      </c>
      <c r="FQQ29" t="s">
        <v>836</v>
      </c>
      <c r="FQR29" t="s">
        <v>836</v>
      </c>
      <c r="FQS29" t="s">
        <v>836</v>
      </c>
      <c r="FQT29" t="s">
        <v>836</v>
      </c>
      <c r="FQU29" t="s">
        <v>836</v>
      </c>
      <c r="FQV29" t="s">
        <v>836</v>
      </c>
      <c r="FQW29" t="s">
        <v>836</v>
      </c>
      <c r="FQX29" t="s">
        <v>836</v>
      </c>
      <c r="FQY29" t="s">
        <v>836</v>
      </c>
      <c r="FQZ29" t="s">
        <v>836</v>
      </c>
      <c r="FRA29" t="s">
        <v>836</v>
      </c>
      <c r="FRB29" t="s">
        <v>836</v>
      </c>
      <c r="FRC29" t="s">
        <v>836</v>
      </c>
      <c r="FRD29" t="s">
        <v>836</v>
      </c>
      <c r="FRE29" t="s">
        <v>836</v>
      </c>
      <c r="FRF29" t="s">
        <v>836</v>
      </c>
      <c r="FRG29" t="s">
        <v>836</v>
      </c>
      <c r="FRH29" t="s">
        <v>836</v>
      </c>
      <c r="FRI29" t="s">
        <v>836</v>
      </c>
      <c r="FRJ29" t="s">
        <v>836</v>
      </c>
      <c r="FRK29" t="s">
        <v>836</v>
      </c>
      <c r="FRL29" t="s">
        <v>836</v>
      </c>
      <c r="FRM29" t="s">
        <v>836</v>
      </c>
      <c r="FRN29" t="s">
        <v>836</v>
      </c>
      <c r="FRO29" t="s">
        <v>836</v>
      </c>
      <c r="FRP29" t="s">
        <v>836</v>
      </c>
      <c r="FRQ29" t="s">
        <v>836</v>
      </c>
      <c r="FRR29" t="s">
        <v>836</v>
      </c>
      <c r="FRS29" t="s">
        <v>836</v>
      </c>
      <c r="FRT29" t="s">
        <v>836</v>
      </c>
      <c r="FRU29" t="s">
        <v>836</v>
      </c>
      <c r="FRV29" t="s">
        <v>836</v>
      </c>
      <c r="FRW29" t="s">
        <v>836</v>
      </c>
      <c r="FRX29" t="s">
        <v>836</v>
      </c>
      <c r="FRY29" t="s">
        <v>836</v>
      </c>
      <c r="FRZ29" t="s">
        <v>836</v>
      </c>
      <c r="FSA29" t="s">
        <v>836</v>
      </c>
      <c r="FSB29" t="s">
        <v>836</v>
      </c>
      <c r="FSC29" t="s">
        <v>836</v>
      </c>
      <c r="FSD29" t="s">
        <v>836</v>
      </c>
      <c r="FSE29" t="s">
        <v>836</v>
      </c>
      <c r="FSF29" t="s">
        <v>836</v>
      </c>
      <c r="FSG29" t="s">
        <v>836</v>
      </c>
      <c r="FSH29" t="s">
        <v>836</v>
      </c>
      <c r="FSI29" t="s">
        <v>836</v>
      </c>
      <c r="FSJ29" t="s">
        <v>836</v>
      </c>
      <c r="FSK29" t="s">
        <v>836</v>
      </c>
      <c r="FSL29" t="s">
        <v>836</v>
      </c>
      <c r="FSM29" t="s">
        <v>836</v>
      </c>
      <c r="FSN29" t="s">
        <v>836</v>
      </c>
      <c r="FSO29" t="s">
        <v>836</v>
      </c>
      <c r="FSP29" t="s">
        <v>836</v>
      </c>
      <c r="FSQ29" t="s">
        <v>836</v>
      </c>
      <c r="FSR29" t="s">
        <v>836</v>
      </c>
      <c r="FSS29" t="s">
        <v>836</v>
      </c>
      <c r="FST29" t="s">
        <v>836</v>
      </c>
      <c r="FSU29" t="s">
        <v>836</v>
      </c>
      <c r="FSV29" t="s">
        <v>836</v>
      </c>
      <c r="FSW29" t="s">
        <v>836</v>
      </c>
      <c r="FSX29" t="s">
        <v>836</v>
      </c>
      <c r="FSY29" t="s">
        <v>836</v>
      </c>
      <c r="FSZ29" t="s">
        <v>836</v>
      </c>
      <c r="FTA29" t="s">
        <v>836</v>
      </c>
      <c r="FTB29" t="s">
        <v>836</v>
      </c>
      <c r="FTC29" t="s">
        <v>836</v>
      </c>
      <c r="FTD29" t="s">
        <v>836</v>
      </c>
      <c r="FTE29" t="s">
        <v>836</v>
      </c>
      <c r="FTF29" t="s">
        <v>836</v>
      </c>
      <c r="FTG29" t="s">
        <v>836</v>
      </c>
      <c r="FTH29" t="s">
        <v>836</v>
      </c>
      <c r="FTI29" t="s">
        <v>836</v>
      </c>
      <c r="FTJ29" t="s">
        <v>836</v>
      </c>
      <c r="FTK29" t="s">
        <v>836</v>
      </c>
      <c r="FTL29" t="s">
        <v>836</v>
      </c>
      <c r="FTM29" t="s">
        <v>836</v>
      </c>
      <c r="FTN29" t="s">
        <v>836</v>
      </c>
      <c r="FTO29" t="s">
        <v>836</v>
      </c>
      <c r="FTP29" t="s">
        <v>836</v>
      </c>
      <c r="FTQ29" t="s">
        <v>836</v>
      </c>
      <c r="FTR29" t="s">
        <v>836</v>
      </c>
      <c r="FTS29" t="s">
        <v>836</v>
      </c>
      <c r="FTT29" t="s">
        <v>836</v>
      </c>
      <c r="FTU29" t="s">
        <v>836</v>
      </c>
      <c r="FTV29" t="s">
        <v>836</v>
      </c>
      <c r="FTW29" t="s">
        <v>836</v>
      </c>
      <c r="FTX29" t="s">
        <v>836</v>
      </c>
      <c r="FTY29" t="s">
        <v>836</v>
      </c>
      <c r="FTZ29" t="s">
        <v>836</v>
      </c>
      <c r="FUA29" t="s">
        <v>836</v>
      </c>
      <c r="FUB29" t="s">
        <v>836</v>
      </c>
      <c r="FUC29" t="s">
        <v>836</v>
      </c>
      <c r="FUD29" t="s">
        <v>836</v>
      </c>
      <c r="FUE29" t="s">
        <v>836</v>
      </c>
      <c r="FUF29" t="s">
        <v>836</v>
      </c>
      <c r="FUG29" t="s">
        <v>836</v>
      </c>
      <c r="FUH29" t="s">
        <v>836</v>
      </c>
      <c r="FUI29" t="s">
        <v>836</v>
      </c>
      <c r="FUJ29" t="s">
        <v>836</v>
      </c>
      <c r="FUK29" t="s">
        <v>836</v>
      </c>
      <c r="FUL29" t="s">
        <v>836</v>
      </c>
      <c r="FUM29" t="s">
        <v>836</v>
      </c>
      <c r="FUN29" t="s">
        <v>836</v>
      </c>
      <c r="FUO29" t="s">
        <v>836</v>
      </c>
      <c r="FUP29" t="s">
        <v>836</v>
      </c>
      <c r="FUQ29" t="s">
        <v>836</v>
      </c>
      <c r="FUR29" t="s">
        <v>836</v>
      </c>
      <c r="FUS29" t="s">
        <v>836</v>
      </c>
      <c r="FUT29" t="s">
        <v>836</v>
      </c>
      <c r="FUU29" t="s">
        <v>836</v>
      </c>
      <c r="FUV29" t="s">
        <v>836</v>
      </c>
      <c r="FUW29" t="s">
        <v>836</v>
      </c>
      <c r="FUX29" t="s">
        <v>836</v>
      </c>
      <c r="FUY29" t="s">
        <v>836</v>
      </c>
      <c r="FUZ29" t="s">
        <v>836</v>
      </c>
      <c r="FVA29" t="s">
        <v>836</v>
      </c>
      <c r="FVB29" t="s">
        <v>836</v>
      </c>
      <c r="FVC29" t="s">
        <v>836</v>
      </c>
      <c r="FVD29" t="s">
        <v>836</v>
      </c>
      <c r="FVE29" t="s">
        <v>836</v>
      </c>
      <c r="FVF29" t="s">
        <v>836</v>
      </c>
      <c r="FVG29" t="s">
        <v>836</v>
      </c>
      <c r="FVH29" t="s">
        <v>836</v>
      </c>
      <c r="FVI29" t="s">
        <v>836</v>
      </c>
      <c r="FVJ29" t="s">
        <v>836</v>
      </c>
      <c r="FVK29" t="s">
        <v>836</v>
      </c>
      <c r="FVL29" t="s">
        <v>836</v>
      </c>
      <c r="FVM29" t="s">
        <v>836</v>
      </c>
      <c r="FVN29" t="s">
        <v>836</v>
      </c>
      <c r="FVO29" t="s">
        <v>836</v>
      </c>
      <c r="FVP29" t="s">
        <v>836</v>
      </c>
      <c r="FVQ29" t="s">
        <v>836</v>
      </c>
      <c r="FVR29" t="s">
        <v>836</v>
      </c>
      <c r="FVS29" t="s">
        <v>836</v>
      </c>
      <c r="FVT29" t="s">
        <v>836</v>
      </c>
      <c r="FVU29" t="s">
        <v>836</v>
      </c>
      <c r="FVV29" t="s">
        <v>836</v>
      </c>
      <c r="FVW29" t="s">
        <v>836</v>
      </c>
      <c r="FVX29" t="s">
        <v>836</v>
      </c>
      <c r="FVY29" t="s">
        <v>836</v>
      </c>
      <c r="FVZ29" t="s">
        <v>836</v>
      </c>
      <c r="FWA29" t="s">
        <v>836</v>
      </c>
      <c r="FWB29" t="s">
        <v>836</v>
      </c>
      <c r="FWC29" t="s">
        <v>836</v>
      </c>
      <c r="FWD29" t="s">
        <v>836</v>
      </c>
      <c r="FWE29" t="s">
        <v>836</v>
      </c>
      <c r="FWF29" t="s">
        <v>836</v>
      </c>
      <c r="FWG29" t="s">
        <v>836</v>
      </c>
      <c r="FWH29" t="s">
        <v>836</v>
      </c>
      <c r="FWI29" t="s">
        <v>836</v>
      </c>
      <c r="FWJ29" t="s">
        <v>836</v>
      </c>
      <c r="FWK29" t="s">
        <v>836</v>
      </c>
      <c r="FWL29" t="s">
        <v>836</v>
      </c>
      <c r="FWM29" t="s">
        <v>836</v>
      </c>
      <c r="FWN29" t="s">
        <v>836</v>
      </c>
      <c r="FWO29" t="s">
        <v>836</v>
      </c>
      <c r="FWP29" t="s">
        <v>836</v>
      </c>
      <c r="FWQ29" t="s">
        <v>836</v>
      </c>
      <c r="FWR29" t="s">
        <v>836</v>
      </c>
      <c r="FWS29" t="s">
        <v>836</v>
      </c>
      <c r="FWT29" t="s">
        <v>836</v>
      </c>
      <c r="FWU29" t="s">
        <v>836</v>
      </c>
      <c r="FWV29" t="s">
        <v>836</v>
      </c>
      <c r="FWW29" t="s">
        <v>836</v>
      </c>
      <c r="FWX29" t="s">
        <v>836</v>
      </c>
      <c r="FWY29" t="s">
        <v>836</v>
      </c>
      <c r="FWZ29" t="s">
        <v>836</v>
      </c>
      <c r="FXA29" t="s">
        <v>836</v>
      </c>
      <c r="FXB29" t="s">
        <v>836</v>
      </c>
      <c r="FXC29" t="s">
        <v>836</v>
      </c>
      <c r="FXD29" t="s">
        <v>836</v>
      </c>
      <c r="FXE29" t="s">
        <v>836</v>
      </c>
      <c r="FXF29" t="s">
        <v>836</v>
      </c>
      <c r="FXG29" t="s">
        <v>836</v>
      </c>
      <c r="FXH29" t="s">
        <v>836</v>
      </c>
      <c r="FXI29" t="s">
        <v>836</v>
      </c>
      <c r="FXJ29" t="s">
        <v>836</v>
      </c>
      <c r="FXK29" t="s">
        <v>836</v>
      </c>
      <c r="FXL29" t="s">
        <v>836</v>
      </c>
      <c r="FXM29" t="s">
        <v>836</v>
      </c>
      <c r="FXN29" t="s">
        <v>836</v>
      </c>
      <c r="FXO29" t="s">
        <v>836</v>
      </c>
      <c r="FXP29" t="s">
        <v>836</v>
      </c>
      <c r="FXQ29" t="s">
        <v>836</v>
      </c>
      <c r="FXR29" t="s">
        <v>836</v>
      </c>
      <c r="FXS29" t="s">
        <v>836</v>
      </c>
      <c r="FXT29" t="s">
        <v>836</v>
      </c>
      <c r="FXU29" t="s">
        <v>836</v>
      </c>
      <c r="FXV29" t="s">
        <v>836</v>
      </c>
      <c r="FXW29" t="s">
        <v>836</v>
      </c>
      <c r="FXX29" t="s">
        <v>836</v>
      </c>
      <c r="FXY29" t="s">
        <v>836</v>
      </c>
      <c r="FXZ29" t="s">
        <v>836</v>
      </c>
      <c r="FYA29" t="s">
        <v>836</v>
      </c>
      <c r="FYB29" t="s">
        <v>836</v>
      </c>
      <c r="FYC29" t="s">
        <v>836</v>
      </c>
      <c r="FYD29" t="s">
        <v>836</v>
      </c>
      <c r="FYE29" t="s">
        <v>836</v>
      </c>
      <c r="FYF29" t="s">
        <v>836</v>
      </c>
      <c r="FYG29" t="s">
        <v>836</v>
      </c>
      <c r="FYH29" t="s">
        <v>836</v>
      </c>
      <c r="FYI29" t="s">
        <v>836</v>
      </c>
      <c r="FYJ29" t="s">
        <v>836</v>
      </c>
      <c r="FYK29" t="s">
        <v>836</v>
      </c>
      <c r="FYL29" t="s">
        <v>836</v>
      </c>
      <c r="FYM29" t="s">
        <v>836</v>
      </c>
      <c r="FYN29" t="s">
        <v>836</v>
      </c>
      <c r="FYO29" t="s">
        <v>836</v>
      </c>
      <c r="FYP29" t="s">
        <v>836</v>
      </c>
      <c r="FYQ29" t="s">
        <v>836</v>
      </c>
      <c r="FYR29" t="s">
        <v>836</v>
      </c>
      <c r="FYS29" t="s">
        <v>836</v>
      </c>
      <c r="FYT29" t="s">
        <v>836</v>
      </c>
      <c r="FYU29" t="s">
        <v>836</v>
      </c>
      <c r="FYV29" t="s">
        <v>836</v>
      </c>
      <c r="FYW29" t="s">
        <v>836</v>
      </c>
      <c r="FYX29" t="s">
        <v>836</v>
      </c>
      <c r="FYY29" t="s">
        <v>836</v>
      </c>
      <c r="FYZ29" t="s">
        <v>836</v>
      </c>
      <c r="FZA29" t="s">
        <v>836</v>
      </c>
      <c r="FZB29" t="s">
        <v>836</v>
      </c>
      <c r="FZC29" t="s">
        <v>836</v>
      </c>
      <c r="FZD29" t="s">
        <v>836</v>
      </c>
      <c r="FZE29" t="s">
        <v>836</v>
      </c>
      <c r="FZF29" t="s">
        <v>836</v>
      </c>
      <c r="FZG29" t="s">
        <v>836</v>
      </c>
      <c r="FZH29" t="s">
        <v>836</v>
      </c>
      <c r="FZI29" t="s">
        <v>836</v>
      </c>
      <c r="FZJ29" t="s">
        <v>836</v>
      </c>
      <c r="FZK29" t="s">
        <v>836</v>
      </c>
      <c r="FZL29" t="s">
        <v>836</v>
      </c>
      <c r="FZM29" t="s">
        <v>836</v>
      </c>
      <c r="FZN29" t="s">
        <v>836</v>
      </c>
      <c r="FZO29" t="s">
        <v>836</v>
      </c>
      <c r="FZP29" t="s">
        <v>836</v>
      </c>
      <c r="FZQ29" t="s">
        <v>836</v>
      </c>
      <c r="FZR29" t="s">
        <v>836</v>
      </c>
      <c r="FZS29" t="s">
        <v>836</v>
      </c>
      <c r="FZT29" t="s">
        <v>836</v>
      </c>
      <c r="FZU29" t="s">
        <v>836</v>
      </c>
      <c r="FZV29" t="s">
        <v>836</v>
      </c>
      <c r="FZW29" t="s">
        <v>836</v>
      </c>
      <c r="FZX29" t="s">
        <v>836</v>
      </c>
      <c r="FZY29" t="s">
        <v>836</v>
      </c>
      <c r="FZZ29" t="s">
        <v>836</v>
      </c>
      <c r="GAA29" t="s">
        <v>836</v>
      </c>
      <c r="GAB29" t="s">
        <v>836</v>
      </c>
      <c r="GAC29" t="s">
        <v>836</v>
      </c>
      <c r="GAD29" t="s">
        <v>836</v>
      </c>
      <c r="GAE29" t="s">
        <v>836</v>
      </c>
      <c r="GAF29" t="s">
        <v>836</v>
      </c>
      <c r="GAG29" t="s">
        <v>836</v>
      </c>
      <c r="GAH29" t="s">
        <v>836</v>
      </c>
      <c r="GAI29" t="s">
        <v>836</v>
      </c>
      <c r="GAJ29" t="s">
        <v>836</v>
      </c>
      <c r="GAK29" t="s">
        <v>836</v>
      </c>
      <c r="GAL29" t="s">
        <v>836</v>
      </c>
      <c r="GAM29" t="s">
        <v>836</v>
      </c>
      <c r="GAN29" t="s">
        <v>836</v>
      </c>
      <c r="GAO29" t="s">
        <v>836</v>
      </c>
      <c r="GAP29" t="s">
        <v>836</v>
      </c>
      <c r="GAQ29" t="s">
        <v>836</v>
      </c>
      <c r="GAR29" t="s">
        <v>836</v>
      </c>
      <c r="GAS29" t="s">
        <v>836</v>
      </c>
      <c r="GAT29" t="s">
        <v>836</v>
      </c>
      <c r="GAU29" t="s">
        <v>836</v>
      </c>
      <c r="GAV29" t="s">
        <v>836</v>
      </c>
      <c r="GAW29" t="s">
        <v>836</v>
      </c>
      <c r="GAX29" t="s">
        <v>836</v>
      </c>
      <c r="GAY29" t="s">
        <v>836</v>
      </c>
      <c r="GAZ29" t="s">
        <v>836</v>
      </c>
      <c r="GBA29" t="s">
        <v>836</v>
      </c>
      <c r="GBB29" t="s">
        <v>836</v>
      </c>
      <c r="GBC29" t="s">
        <v>836</v>
      </c>
      <c r="GBD29" t="s">
        <v>836</v>
      </c>
      <c r="GBE29" t="s">
        <v>836</v>
      </c>
      <c r="GBF29" t="s">
        <v>836</v>
      </c>
      <c r="GBG29" t="s">
        <v>836</v>
      </c>
      <c r="GBH29" t="s">
        <v>836</v>
      </c>
      <c r="GBI29" t="s">
        <v>836</v>
      </c>
      <c r="GBJ29" t="s">
        <v>836</v>
      </c>
      <c r="GBK29" t="s">
        <v>836</v>
      </c>
      <c r="GBL29" t="s">
        <v>836</v>
      </c>
      <c r="GBM29" t="s">
        <v>836</v>
      </c>
      <c r="GBN29" t="s">
        <v>836</v>
      </c>
      <c r="GBO29" t="s">
        <v>836</v>
      </c>
      <c r="GBP29" t="s">
        <v>836</v>
      </c>
      <c r="GBQ29" t="s">
        <v>836</v>
      </c>
      <c r="GBR29" t="s">
        <v>836</v>
      </c>
      <c r="GBS29" t="s">
        <v>836</v>
      </c>
      <c r="GBT29" t="s">
        <v>836</v>
      </c>
      <c r="GBU29" t="s">
        <v>836</v>
      </c>
      <c r="GBV29" t="s">
        <v>836</v>
      </c>
      <c r="GBW29" t="s">
        <v>836</v>
      </c>
      <c r="GBX29" t="s">
        <v>836</v>
      </c>
      <c r="GBY29" t="s">
        <v>836</v>
      </c>
      <c r="GBZ29" t="s">
        <v>836</v>
      </c>
      <c r="GCA29" t="s">
        <v>836</v>
      </c>
      <c r="GCB29" t="s">
        <v>836</v>
      </c>
      <c r="GCC29" t="s">
        <v>836</v>
      </c>
      <c r="GCD29" t="s">
        <v>836</v>
      </c>
      <c r="GCE29" t="s">
        <v>836</v>
      </c>
      <c r="GCF29" t="s">
        <v>836</v>
      </c>
      <c r="GCG29" t="s">
        <v>836</v>
      </c>
      <c r="GCH29" t="s">
        <v>836</v>
      </c>
      <c r="GCI29" t="s">
        <v>836</v>
      </c>
      <c r="GCJ29" t="s">
        <v>836</v>
      </c>
      <c r="GCK29" t="s">
        <v>836</v>
      </c>
      <c r="GCL29" t="s">
        <v>836</v>
      </c>
      <c r="GCM29" t="s">
        <v>836</v>
      </c>
      <c r="GCN29" t="s">
        <v>836</v>
      </c>
      <c r="GCO29" t="s">
        <v>836</v>
      </c>
      <c r="GCP29" t="s">
        <v>836</v>
      </c>
      <c r="GCQ29" t="s">
        <v>836</v>
      </c>
      <c r="GCR29" t="s">
        <v>836</v>
      </c>
      <c r="GCS29" t="s">
        <v>836</v>
      </c>
      <c r="GCT29" t="s">
        <v>836</v>
      </c>
      <c r="GCU29" t="s">
        <v>836</v>
      </c>
      <c r="GCV29" t="s">
        <v>836</v>
      </c>
      <c r="GCW29" t="s">
        <v>836</v>
      </c>
      <c r="GCX29" t="s">
        <v>836</v>
      </c>
      <c r="GCY29" t="s">
        <v>836</v>
      </c>
      <c r="GCZ29" t="s">
        <v>836</v>
      </c>
      <c r="GDA29" t="s">
        <v>836</v>
      </c>
      <c r="GDB29" t="s">
        <v>836</v>
      </c>
      <c r="GDC29" t="s">
        <v>836</v>
      </c>
      <c r="GDD29" t="s">
        <v>836</v>
      </c>
      <c r="GDE29" t="s">
        <v>836</v>
      </c>
      <c r="GDF29" t="s">
        <v>836</v>
      </c>
      <c r="GDG29" t="s">
        <v>836</v>
      </c>
      <c r="GDH29" t="s">
        <v>836</v>
      </c>
      <c r="GDI29" t="s">
        <v>836</v>
      </c>
      <c r="GDJ29" t="s">
        <v>836</v>
      </c>
      <c r="GDK29" t="s">
        <v>836</v>
      </c>
      <c r="GDL29" t="s">
        <v>836</v>
      </c>
      <c r="GDM29" t="s">
        <v>836</v>
      </c>
      <c r="GDN29" t="s">
        <v>836</v>
      </c>
      <c r="GDO29" t="s">
        <v>836</v>
      </c>
      <c r="GDP29" t="s">
        <v>836</v>
      </c>
      <c r="GDQ29" t="s">
        <v>836</v>
      </c>
      <c r="GDR29" t="s">
        <v>836</v>
      </c>
      <c r="GDS29" t="s">
        <v>836</v>
      </c>
      <c r="GDT29" t="s">
        <v>836</v>
      </c>
      <c r="GDU29" t="s">
        <v>836</v>
      </c>
      <c r="GDV29" t="s">
        <v>836</v>
      </c>
      <c r="GDW29" t="s">
        <v>836</v>
      </c>
      <c r="GDX29" t="s">
        <v>836</v>
      </c>
      <c r="GDY29" t="s">
        <v>836</v>
      </c>
      <c r="GDZ29" t="s">
        <v>836</v>
      </c>
      <c r="GEA29" t="s">
        <v>836</v>
      </c>
      <c r="GEB29" t="s">
        <v>836</v>
      </c>
      <c r="GEC29" t="s">
        <v>836</v>
      </c>
      <c r="GED29" t="s">
        <v>836</v>
      </c>
      <c r="GEE29" t="s">
        <v>836</v>
      </c>
      <c r="GEF29" t="s">
        <v>836</v>
      </c>
      <c r="GEG29" t="s">
        <v>836</v>
      </c>
      <c r="GEH29" t="s">
        <v>836</v>
      </c>
      <c r="GEI29" t="s">
        <v>836</v>
      </c>
      <c r="GEJ29" t="s">
        <v>836</v>
      </c>
      <c r="GEK29" t="s">
        <v>836</v>
      </c>
      <c r="GEL29" t="s">
        <v>836</v>
      </c>
      <c r="GEM29" t="s">
        <v>836</v>
      </c>
      <c r="GEN29" t="s">
        <v>836</v>
      </c>
      <c r="GEO29" t="s">
        <v>836</v>
      </c>
      <c r="GEP29" t="s">
        <v>836</v>
      </c>
      <c r="GEQ29" t="s">
        <v>836</v>
      </c>
      <c r="GER29" t="s">
        <v>836</v>
      </c>
      <c r="GES29" t="s">
        <v>836</v>
      </c>
      <c r="GET29" t="s">
        <v>836</v>
      </c>
      <c r="GEU29" t="s">
        <v>836</v>
      </c>
      <c r="GEV29" t="s">
        <v>836</v>
      </c>
      <c r="GEW29" t="s">
        <v>836</v>
      </c>
      <c r="GEX29" t="s">
        <v>836</v>
      </c>
      <c r="GEY29" t="s">
        <v>836</v>
      </c>
      <c r="GEZ29" t="s">
        <v>836</v>
      </c>
      <c r="GFA29" t="s">
        <v>836</v>
      </c>
      <c r="GFB29" t="s">
        <v>836</v>
      </c>
      <c r="GFC29" t="s">
        <v>836</v>
      </c>
      <c r="GFD29" t="s">
        <v>836</v>
      </c>
      <c r="GFE29" t="s">
        <v>836</v>
      </c>
      <c r="GFF29" t="s">
        <v>836</v>
      </c>
      <c r="GFG29" t="s">
        <v>836</v>
      </c>
      <c r="GFH29" t="s">
        <v>836</v>
      </c>
      <c r="GFI29" t="s">
        <v>836</v>
      </c>
      <c r="GFJ29" t="s">
        <v>836</v>
      </c>
      <c r="GFK29" t="s">
        <v>836</v>
      </c>
      <c r="GFL29" t="s">
        <v>836</v>
      </c>
      <c r="GFM29" t="s">
        <v>836</v>
      </c>
      <c r="GFN29" t="s">
        <v>836</v>
      </c>
      <c r="GFO29" t="s">
        <v>836</v>
      </c>
      <c r="GFP29" t="s">
        <v>836</v>
      </c>
      <c r="GFQ29" t="s">
        <v>836</v>
      </c>
      <c r="GFR29" t="s">
        <v>836</v>
      </c>
      <c r="GFS29" t="s">
        <v>836</v>
      </c>
      <c r="GFT29" t="s">
        <v>836</v>
      </c>
      <c r="GFU29" t="s">
        <v>836</v>
      </c>
      <c r="GFV29" t="s">
        <v>836</v>
      </c>
      <c r="GFW29" t="s">
        <v>836</v>
      </c>
      <c r="GFX29" t="s">
        <v>836</v>
      </c>
      <c r="GFY29" t="s">
        <v>836</v>
      </c>
      <c r="GFZ29" t="s">
        <v>836</v>
      </c>
      <c r="GGA29" t="s">
        <v>836</v>
      </c>
      <c r="GGB29" t="s">
        <v>836</v>
      </c>
      <c r="GGC29" t="s">
        <v>836</v>
      </c>
      <c r="GGD29" t="s">
        <v>836</v>
      </c>
      <c r="GGE29" t="s">
        <v>836</v>
      </c>
      <c r="GGF29" t="s">
        <v>836</v>
      </c>
      <c r="GGG29" t="s">
        <v>836</v>
      </c>
      <c r="GGH29" t="s">
        <v>836</v>
      </c>
      <c r="GGI29" t="s">
        <v>836</v>
      </c>
      <c r="GGJ29" t="s">
        <v>836</v>
      </c>
      <c r="GGK29" t="s">
        <v>836</v>
      </c>
      <c r="GGL29" t="s">
        <v>836</v>
      </c>
      <c r="GGM29" t="s">
        <v>836</v>
      </c>
      <c r="GGN29" t="s">
        <v>836</v>
      </c>
      <c r="GGO29" t="s">
        <v>836</v>
      </c>
      <c r="GGP29" t="s">
        <v>836</v>
      </c>
      <c r="GGQ29" t="s">
        <v>836</v>
      </c>
      <c r="GGR29" t="s">
        <v>836</v>
      </c>
      <c r="GGS29" t="s">
        <v>836</v>
      </c>
      <c r="GGT29" t="s">
        <v>836</v>
      </c>
      <c r="GGU29" t="s">
        <v>836</v>
      </c>
      <c r="GGV29" t="s">
        <v>836</v>
      </c>
      <c r="GGW29" t="s">
        <v>836</v>
      </c>
      <c r="GGX29" t="s">
        <v>836</v>
      </c>
      <c r="GGY29" t="s">
        <v>836</v>
      </c>
      <c r="GGZ29" t="s">
        <v>836</v>
      </c>
      <c r="GHA29" t="s">
        <v>836</v>
      </c>
      <c r="GHB29" t="s">
        <v>836</v>
      </c>
      <c r="GHC29" t="s">
        <v>836</v>
      </c>
      <c r="GHD29" t="s">
        <v>836</v>
      </c>
      <c r="GHE29" t="s">
        <v>836</v>
      </c>
      <c r="GHF29" t="s">
        <v>836</v>
      </c>
      <c r="GHG29" t="s">
        <v>836</v>
      </c>
      <c r="GHH29" t="s">
        <v>836</v>
      </c>
      <c r="GHI29" t="s">
        <v>836</v>
      </c>
      <c r="GHJ29" t="s">
        <v>836</v>
      </c>
      <c r="GHK29" t="s">
        <v>836</v>
      </c>
      <c r="GHL29" t="s">
        <v>836</v>
      </c>
      <c r="GHM29" t="s">
        <v>836</v>
      </c>
      <c r="GHN29" t="s">
        <v>836</v>
      </c>
      <c r="GHO29" t="s">
        <v>836</v>
      </c>
      <c r="GHP29" t="s">
        <v>836</v>
      </c>
      <c r="GHQ29" t="s">
        <v>836</v>
      </c>
      <c r="GHR29" t="s">
        <v>836</v>
      </c>
      <c r="GHS29" t="s">
        <v>836</v>
      </c>
      <c r="GHT29" t="s">
        <v>836</v>
      </c>
      <c r="GHU29" t="s">
        <v>836</v>
      </c>
      <c r="GHV29" t="s">
        <v>836</v>
      </c>
      <c r="GHW29" t="s">
        <v>836</v>
      </c>
      <c r="GHX29" t="s">
        <v>836</v>
      </c>
      <c r="GHY29" t="s">
        <v>836</v>
      </c>
      <c r="GHZ29" t="s">
        <v>836</v>
      </c>
      <c r="GIA29" t="s">
        <v>836</v>
      </c>
      <c r="GIB29" t="s">
        <v>836</v>
      </c>
      <c r="GIC29" t="s">
        <v>836</v>
      </c>
      <c r="GID29" t="s">
        <v>836</v>
      </c>
      <c r="GIE29" t="s">
        <v>836</v>
      </c>
      <c r="GIF29" t="s">
        <v>836</v>
      </c>
      <c r="GIG29" t="s">
        <v>836</v>
      </c>
      <c r="GIH29" t="s">
        <v>836</v>
      </c>
      <c r="GII29" t="s">
        <v>836</v>
      </c>
      <c r="GIJ29" t="s">
        <v>836</v>
      </c>
      <c r="GIK29" t="s">
        <v>836</v>
      </c>
      <c r="GIL29" t="s">
        <v>836</v>
      </c>
      <c r="GIM29" t="s">
        <v>836</v>
      </c>
      <c r="GIN29" t="s">
        <v>836</v>
      </c>
      <c r="GIO29" t="s">
        <v>836</v>
      </c>
      <c r="GIP29" t="s">
        <v>836</v>
      </c>
      <c r="GIQ29" t="s">
        <v>836</v>
      </c>
      <c r="GIR29" t="s">
        <v>836</v>
      </c>
      <c r="GIS29" t="s">
        <v>836</v>
      </c>
      <c r="GIT29" t="s">
        <v>836</v>
      </c>
      <c r="GIU29" t="s">
        <v>836</v>
      </c>
      <c r="GIV29" t="s">
        <v>836</v>
      </c>
      <c r="GIW29" t="s">
        <v>836</v>
      </c>
      <c r="GIX29" t="s">
        <v>836</v>
      </c>
      <c r="GIY29" t="s">
        <v>836</v>
      </c>
      <c r="GIZ29" t="s">
        <v>836</v>
      </c>
      <c r="GJA29" t="s">
        <v>836</v>
      </c>
      <c r="GJB29" t="s">
        <v>836</v>
      </c>
      <c r="GJC29" t="s">
        <v>836</v>
      </c>
      <c r="GJD29" t="s">
        <v>836</v>
      </c>
      <c r="GJE29" t="s">
        <v>836</v>
      </c>
      <c r="GJF29" t="s">
        <v>836</v>
      </c>
      <c r="GJG29" t="s">
        <v>836</v>
      </c>
      <c r="GJH29" t="s">
        <v>836</v>
      </c>
      <c r="GJI29" t="s">
        <v>836</v>
      </c>
      <c r="GJJ29" t="s">
        <v>836</v>
      </c>
      <c r="GJK29" t="s">
        <v>836</v>
      </c>
      <c r="GJL29" t="s">
        <v>836</v>
      </c>
      <c r="GJM29" t="s">
        <v>836</v>
      </c>
      <c r="GJN29" t="s">
        <v>836</v>
      </c>
      <c r="GJO29" t="s">
        <v>836</v>
      </c>
      <c r="GJP29" t="s">
        <v>836</v>
      </c>
      <c r="GJQ29" t="s">
        <v>836</v>
      </c>
      <c r="GJR29" t="s">
        <v>836</v>
      </c>
      <c r="GJS29" t="s">
        <v>836</v>
      </c>
      <c r="GJT29" t="s">
        <v>836</v>
      </c>
      <c r="GJU29" t="s">
        <v>836</v>
      </c>
      <c r="GJV29" t="s">
        <v>836</v>
      </c>
      <c r="GJW29" t="s">
        <v>836</v>
      </c>
      <c r="GJX29" t="s">
        <v>836</v>
      </c>
      <c r="GJY29" t="s">
        <v>836</v>
      </c>
      <c r="GJZ29" t="s">
        <v>836</v>
      </c>
      <c r="GKA29" t="s">
        <v>836</v>
      </c>
      <c r="GKB29" t="s">
        <v>836</v>
      </c>
      <c r="GKC29" t="s">
        <v>836</v>
      </c>
      <c r="GKD29" t="s">
        <v>836</v>
      </c>
      <c r="GKE29" t="s">
        <v>836</v>
      </c>
      <c r="GKF29" t="s">
        <v>836</v>
      </c>
      <c r="GKG29" t="s">
        <v>836</v>
      </c>
      <c r="GKH29" t="s">
        <v>836</v>
      </c>
      <c r="GKI29" t="s">
        <v>836</v>
      </c>
      <c r="GKJ29" t="s">
        <v>836</v>
      </c>
      <c r="GKK29" t="s">
        <v>836</v>
      </c>
      <c r="GKL29" t="s">
        <v>836</v>
      </c>
      <c r="GKM29" t="s">
        <v>836</v>
      </c>
      <c r="GKN29" t="s">
        <v>836</v>
      </c>
      <c r="GKO29" t="s">
        <v>836</v>
      </c>
      <c r="GKP29" t="s">
        <v>836</v>
      </c>
      <c r="GKQ29" t="s">
        <v>836</v>
      </c>
      <c r="GKR29" t="s">
        <v>836</v>
      </c>
      <c r="GKS29" t="s">
        <v>836</v>
      </c>
      <c r="GKT29" t="s">
        <v>836</v>
      </c>
      <c r="GKU29" t="s">
        <v>836</v>
      </c>
      <c r="GKV29" t="s">
        <v>836</v>
      </c>
      <c r="GKW29" t="s">
        <v>836</v>
      </c>
      <c r="GKX29" t="s">
        <v>836</v>
      </c>
      <c r="GKY29" t="s">
        <v>836</v>
      </c>
      <c r="GKZ29" t="s">
        <v>836</v>
      </c>
      <c r="GLA29" t="s">
        <v>836</v>
      </c>
      <c r="GLB29" t="s">
        <v>836</v>
      </c>
      <c r="GLC29" t="s">
        <v>836</v>
      </c>
      <c r="GLD29" t="s">
        <v>836</v>
      </c>
      <c r="GLE29" t="s">
        <v>836</v>
      </c>
      <c r="GLF29" t="s">
        <v>836</v>
      </c>
      <c r="GLG29" t="s">
        <v>836</v>
      </c>
      <c r="GLH29" t="s">
        <v>836</v>
      </c>
      <c r="GLI29" t="s">
        <v>836</v>
      </c>
      <c r="GLJ29" t="s">
        <v>836</v>
      </c>
      <c r="GLK29" t="s">
        <v>836</v>
      </c>
      <c r="GLL29" t="s">
        <v>836</v>
      </c>
      <c r="GLM29" t="s">
        <v>836</v>
      </c>
      <c r="GLN29" t="s">
        <v>836</v>
      </c>
      <c r="GLO29" t="s">
        <v>836</v>
      </c>
      <c r="GLP29" t="s">
        <v>836</v>
      </c>
      <c r="GLQ29" t="s">
        <v>836</v>
      </c>
      <c r="GLR29" t="s">
        <v>836</v>
      </c>
      <c r="GLS29" t="s">
        <v>836</v>
      </c>
      <c r="GLT29" t="s">
        <v>836</v>
      </c>
      <c r="GLU29" t="s">
        <v>836</v>
      </c>
      <c r="GLV29" t="s">
        <v>836</v>
      </c>
      <c r="GLW29" t="s">
        <v>836</v>
      </c>
      <c r="GLX29" t="s">
        <v>836</v>
      </c>
      <c r="GLY29" t="s">
        <v>836</v>
      </c>
      <c r="GLZ29" t="s">
        <v>836</v>
      </c>
      <c r="GMA29" t="s">
        <v>836</v>
      </c>
      <c r="GMB29" t="s">
        <v>836</v>
      </c>
      <c r="GMC29" t="s">
        <v>836</v>
      </c>
      <c r="GMD29" t="s">
        <v>836</v>
      </c>
      <c r="GME29" t="s">
        <v>836</v>
      </c>
      <c r="GMF29" t="s">
        <v>836</v>
      </c>
      <c r="GMG29" t="s">
        <v>836</v>
      </c>
      <c r="GMH29" t="s">
        <v>836</v>
      </c>
      <c r="GMI29" t="s">
        <v>836</v>
      </c>
      <c r="GMJ29" t="s">
        <v>836</v>
      </c>
      <c r="GMK29" t="s">
        <v>836</v>
      </c>
      <c r="GML29" t="s">
        <v>836</v>
      </c>
      <c r="GMM29" t="s">
        <v>836</v>
      </c>
      <c r="GMN29" t="s">
        <v>836</v>
      </c>
      <c r="GMO29" t="s">
        <v>836</v>
      </c>
      <c r="GMP29" t="s">
        <v>836</v>
      </c>
      <c r="GMQ29" t="s">
        <v>836</v>
      </c>
      <c r="GMR29" t="s">
        <v>836</v>
      </c>
      <c r="GMS29" t="s">
        <v>836</v>
      </c>
      <c r="GMT29" t="s">
        <v>836</v>
      </c>
      <c r="GMU29" t="s">
        <v>836</v>
      </c>
      <c r="GMV29" t="s">
        <v>836</v>
      </c>
      <c r="GMW29" t="s">
        <v>836</v>
      </c>
      <c r="GMX29" t="s">
        <v>836</v>
      </c>
      <c r="GMY29" t="s">
        <v>836</v>
      </c>
      <c r="GMZ29" t="s">
        <v>836</v>
      </c>
      <c r="GNA29" t="s">
        <v>836</v>
      </c>
      <c r="GNB29" t="s">
        <v>836</v>
      </c>
      <c r="GNC29" t="s">
        <v>836</v>
      </c>
      <c r="GND29" t="s">
        <v>836</v>
      </c>
      <c r="GNE29" t="s">
        <v>836</v>
      </c>
      <c r="GNF29" t="s">
        <v>836</v>
      </c>
      <c r="GNG29" t="s">
        <v>836</v>
      </c>
      <c r="GNH29" t="s">
        <v>836</v>
      </c>
      <c r="GNI29" t="s">
        <v>836</v>
      </c>
      <c r="GNJ29" t="s">
        <v>836</v>
      </c>
      <c r="GNK29" t="s">
        <v>836</v>
      </c>
      <c r="GNL29" t="s">
        <v>836</v>
      </c>
      <c r="GNM29" t="s">
        <v>836</v>
      </c>
      <c r="GNN29" t="s">
        <v>836</v>
      </c>
      <c r="GNO29" t="s">
        <v>836</v>
      </c>
      <c r="GNP29" t="s">
        <v>836</v>
      </c>
      <c r="GNQ29" t="s">
        <v>836</v>
      </c>
      <c r="GNR29" t="s">
        <v>836</v>
      </c>
      <c r="GNS29" t="s">
        <v>836</v>
      </c>
      <c r="GNT29" t="s">
        <v>836</v>
      </c>
      <c r="GNU29" t="s">
        <v>836</v>
      </c>
      <c r="GNV29" t="s">
        <v>836</v>
      </c>
      <c r="GNW29" t="s">
        <v>836</v>
      </c>
      <c r="GNX29" t="s">
        <v>836</v>
      </c>
      <c r="GNY29" t="s">
        <v>836</v>
      </c>
      <c r="GNZ29" t="s">
        <v>836</v>
      </c>
      <c r="GOA29" t="s">
        <v>836</v>
      </c>
      <c r="GOB29" t="s">
        <v>836</v>
      </c>
      <c r="GOC29" t="s">
        <v>836</v>
      </c>
      <c r="GOD29" t="s">
        <v>836</v>
      </c>
      <c r="GOE29" t="s">
        <v>836</v>
      </c>
      <c r="GOF29" t="s">
        <v>836</v>
      </c>
      <c r="GOG29" t="s">
        <v>836</v>
      </c>
      <c r="GOH29" t="s">
        <v>836</v>
      </c>
      <c r="GOI29" t="s">
        <v>836</v>
      </c>
      <c r="GOJ29" t="s">
        <v>836</v>
      </c>
      <c r="GOK29" t="s">
        <v>836</v>
      </c>
      <c r="GOL29" t="s">
        <v>836</v>
      </c>
      <c r="GOM29" t="s">
        <v>836</v>
      </c>
      <c r="GON29" t="s">
        <v>836</v>
      </c>
      <c r="GOO29" t="s">
        <v>836</v>
      </c>
      <c r="GOP29" t="s">
        <v>836</v>
      </c>
      <c r="GOQ29" t="s">
        <v>836</v>
      </c>
      <c r="GOR29" t="s">
        <v>836</v>
      </c>
      <c r="GOS29" t="s">
        <v>836</v>
      </c>
      <c r="GOT29" t="s">
        <v>836</v>
      </c>
      <c r="GOU29" t="s">
        <v>836</v>
      </c>
      <c r="GOV29" t="s">
        <v>836</v>
      </c>
      <c r="GOW29" t="s">
        <v>836</v>
      </c>
      <c r="GOX29" t="s">
        <v>836</v>
      </c>
      <c r="GOY29" t="s">
        <v>836</v>
      </c>
      <c r="GOZ29" t="s">
        <v>836</v>
      </c>
      <c r="GPA29" t="s">
        <v>836</v>
      </c>
      <c r="GPB29" t="s">
        <v>836</v>
      </c>
      <c r="GPC29" t="s">
        <v>836</v>
      </c>
      <c r="GPD29" t="s">
        <v>836</v>
      </c>
      <c r="GPE29" t="s">
        <v>836</v>
      </c>
      <c r="GPF29" t="s">
        <v>836</v>
      </c>
      <c r="GPG29" t="s">
        <v>836</v>
      </c>
      <c r="GPH29" t="s">
        <v>836</v>
      </c>
      <c r="GPI29" t="s">
        <v>836</v>
      </c>
      <c r="GPJ29" t="s">
        <v>836</v>
      </c>
      <c r="GPK29" t="s">
        <v>836</v>
      </c>
      <c r="GPL29" t="s">
        <v>836</v>
      </c>
      <c r="GPM29" t="s">
        <v>836</v>
      </c>
      <c r="GPN29" t="s">
        <v>836</v>
      </c>
      <c r="GPO29" t="s">
        <v>836</v>
      </c>
      <c r="GPP29" t="s">
        <v>836</v>
      </c>
      <c r="GPQ29" t="s">
        <v>836</v>
      </c>
      <c r="GPR29" t="s">
        <v>836</v>
      </c>
      <c r="GPS29" t="s">
        <v>836</v>
      </c>
      <c r="GPT29" t="s">
        <v>836</v>
      </c>
      <c r="GPU29" t="s">
        <v>836</v>
      </c>
      <c r="GPV29" t="s">
        <v>836</v>
      </c>
      <c r="GPW29" t="s">
        <v>836</v>
      </c>
      <c r="GPX29" t="s">
        <v>836</v>
      </c>
      <c r="GPY29" t="s">
        <v>836</v>
      </c>
      <c r="GPZ29" t="s">
        <v>836</v>
      </c>
      <c r="GQA29" t="s">
        <v>836</v>
      </c>
      <c r="GQB29" t="s">
        <v>836</v>
      </c>
      <c r="GQC29" t="s">
        <v>836</v>
      </c>
      <c r="GQD29" t="s">
        <v>836</v>
      </c>
      <c r="GQE29" t="s">
        <v>836</v>
      </c>
      <c r="GQF29" t="s">
        <v>836</v>
      </c>
      <c r="GQG29" t="s">
        <v>836</v>
      </c>
      <c r="GQH29" t="s">
        <v>836</v>
      </c>
      <c r="GQI29" t="s">
        <v>836</v>
      </c>
      <c r="GQJ29" t="s">
        <v>836</v>
      </c>
      <c r="GQK29" t="s">
        <v>836</v>
      </c>
      <c r="GQL29" t="s">
        <v>836</v>
      </c>
      <c r="GQM29" t="s">
        <v>836</v>
      </c>
      <c r="GQN29" t="s">
        <v>836</v>
      </c>
      <c r="GQO29" t="s">
        <v>836</v>
      </c>
      <c r="GQP29" t="s">
        <v>836</v>
      </c>
      <c r="GQQ29" t="s">
        <v>836</v>
      </c>
      <c r="GQR29" t="s">
        <v>836</v>
      </c>
      <c r="GQS29" t="s">
        <v>836</v>
      </c>
      <c r="GQT29" t="s">
        <v>836</v>
      </c>
      <c r="GQU29" t="s">
        <v>836</v>
      </c>
      <c r="GQV29" t="s">
        <v>836</v>
      </c>
      <c r="GQW29" t="s">
        <v>836</v>
      </c>
      <c r="GQX29" t="s">
        <v>836</v>
      </c>
      <c r="GQY29" t="s">
        <v>836</v>
      </c>
      <c r="GQZ29" t="s">
        <v>836</v>
      </c>
      <c r="GRA29" t="s">
        <v>836</v>
      </c>
      <c r="GRB29" t="s">
        <v>836</v>
      </c>
      <c r="GRC29" t="s">
        <v>836</v>
      </c>
      <c r="GRD29" t="s">
        <v>836</v>
      </c>
      <c r="GRE29" t="s">
        <v>836</v>
      </c>
      <c r="GRF29" t="s">
        <v>836</v>
      </c>
      <c r="GRG29" t="s">
        <v>836</v>
      </c>
      <c r="GRH29" t="s">
        <v>836</v>
      </c>
      <c r="GRI29" t="s">
        <v>836</v>
      </c>
      <c r="GRJ29" t="s">
        <v>836</v>
      </c>
      <c r="GRK29" t="s">
        <v>836</v>
      </c>
      <c r="GRL29" t="s">
        <v>836</v>
      </c>
      <c r="GRM29" t="s">
        <v>836</v>
      </c>
      <c r="GRN29" t="s">
        <v>836</v>
      </c>
      <c r="GRO29" t="s">
        <v>836</v>
      </c>
      <c r="GRP29" t="s">
        <v>836</v>
      </c>
      <c r="GRQ29" t="s">
        <v>836</v>
      </c>
      <c r="GRR29" t="s">
        <v>836</v>
      </c>
      <c r="GRS29" t="s">
        <v>836</v>
      </c>
      <c r="GRT29" t="s">
        <v>836</v>
      </c>
      <c r="GRU29" t="s">
        <v>836</v>
      </c>
      <c r="GRV29" t="s">
        <v>836</v>
      </c>
      <c r="GRW29" t="s">
        <v>836</v>
      </c>
      <c r="GRX29" t="s">
        <v>836</v>
      </c>
      <c r="GRY29" t="s">
        <v>836</v>
      </c>
      <c r="GRZ29" t="s">
        <v>836</v>
      </c>
      <c r="GSA29" t="s">
        <v>836</v>
      </c>
      <c r="GSB29" t="s">
        <v>836</v>
      </c>
      <c r="GSC29" t="s">
        <v>836</v>
      </c>
      <c r="GSD29" t="s">
        <v>836</v>
      </c>
      <c r="GSE29" t="s">
        <v>836</v>
      </c>
      <c r="GSF29" t="s">
        <v>836</v>
      </c>
      <c r="GSG29" t="s">
        <v>836</v>
      </c>
      <c r="GSH29" t="s">
        <v>836</v>
      </c>
      <c r="GSI29" t="s">
        <v>836</v>
      </c>
      <c r="GSJ29" t="s">
        <v>836</v>
      </c>
      <c r="GSK29" t="s">
        <v>836</v>
      </c>
      <c r="GSL29" t="s">
        <v>836</v>
      </c>
      <c r="GSM29" t="s">
        <v>836</v>
      </c>
      <c r="GSN29" t="s">
        <v>836</v>
      </c>
      <c r="GSO29" t="s">
        <v>836</v>
      </c>
      <c r="GSP29" t="s">
        <v>836</v>
      </c>
      <c r="GSQ29" t="s">
        <v>836</v>
      </c>
      <c r="GSR29" t="s">
        <v>836</v>
      </c>
      <c r="GSS29" t="s">
        <v>836</v>
      </c>
      <c r="GST29" t="s">
        <v>836</v>
      </c>
      <c r="GSU29" t="s">
        <v>836</v>
      </c>
      <c r="GSV29" t="s">
        <v>836</v>
      </c>
      <c r="GSW29" t="s">
        <v>836</v>
      </c>
      <c r="GSX29" t="s">
        <v>836</v>
      </c>
      <c r="GSY29" t="s">
        <v>836</v>
      </c>
      <c r="GSZ29" t="s">
        <v>836</v>
      </c>
      <c r="GTA29" t="s">
        <v>836</v>
      </c>
      <c r="GTB29" t="s">
        <v>836</v>
      </c>
      <c r="GTC29" t="s">
        <v>836</v>
      </c>
      <c r="GTD29" t="s">
        <v>836</v>
      </c>
      <c r="GTE29" t="s">
        <v>836</v>
      </c>
      <c r="GTF29" t="s">
        <v>836</v>
      </c>
      <c r="GTG29" t="s">
        <v>836</v>
      </c>
      <c r="GTH29" t="s">
        <v>836</v>
      </c>
      <c r="GTI29" t="s">
        <v>836</v>
      </c>
      <c r="GTJ29" t="s">
        <v>836</v>
      </c>
      <c r="GTK29" t="s">
        <v>836</v>
      </c>
      <c r="GTL29" t="s">
        <v>836</v>
      </c>
      <c r="GTM29" t="s">
        <v>836</v>
      </c>
      <c r="GTN29" t="s">
        <v>836</v>
      </c>
      <c r="GTO29" t="s">
        <v>836</v>
      </c>
      <c r="GTP29" t="s">
        <v>836</v>
      </c>
      <c r="GTQ29" t="s">
        <v>836</v>
      </c>
      <c r="GTR29" t="s">
        <v>836</v>
      </c>
      <c r="GTS29" t="s">
        <v>836</v>
      </c>
      <c r="GTT29" t="s">
        <v>836</v>
      </c>
      <c r="GTU29" t="s">
        <v>836</v>
      </c>
      <c r="GTV29" t="s">
        <v>836</v>
      </c>
      <c r="GTW29" t="s">
        <v>836</v>
      </c>
      <c r="GTX29" t="s">
        <v>836</v>
      </c>
      <c r="GTY29" t="s">
        <v>836</v>
      </c>
      <c r="GTZ29" t="s">
        <v>836</v>
      </c>
      <c r="GUA29" t="s">
        <v>836</v>
      </c>
      <c r="GUB29" t="s">
        <v>836</v>
      </c>
      <c r="GUC29" t="s">
        <v>836</v>
      </c>
      <c r="GUD29" t="s">
        <v>836</v>
      </c>
      <c r="GUE29" t="s">
        <v>836</v>
      </c>
      <c r="GUF29" t="s">
        <v>836</v>
      </c>
      <c r="GUG29" t="s">
        <v>836</v>
      </c>
      <c r="GUH29" t="s">
        <v>836</v>
      </c>
      <c r="GUI29" t="s">
        <v>836</v>
      </c>
      <c r="GUJ29" t="s">
        <v>836</v>
      </c>
      <c r="GUK29" t="s">
        <v>836</v>
      </c>
      <c r="GUL29" t="s">
        <v>836</v>
      </c>
      <c r="GUM29" t="s">
        <v>836</v>
      </c>
      <c r="GUN29" t="s">
        <v>836</v>
      </c>
      <c r="GUO29" t="s">
        <v>836</v>
      </c>
      <c r="GUP29" t="s">
        <v>836</v>
      </c>
      <c r="GUQ29" t="s">
        <v>836</v>
      </c>
      <c r="GUR29" t="s">
        <v>836</v>
      </c>
      <c r="GUS29" t="s">
        <v>836</v>
      </c>
      <c r="GUT29" t="s">
        <v>836</v>
      </c>
      <c r="GUU29" t="s">
        <v>836</v>
      </c>
      <c r="GUV29" t="s">
        <v>836</v>
      </c>
      <c r="GUW29" t="s">
        <v>836</v>
      </c>
      <c r="GUX29" t="s">
        <v>836</v>
      </c>
      <c r="GUY29" t="s">
        <v>836</v>
      </c>
      <c r="GUZ29" t="s">
        <v>836</v>
      </c>
      <c r="GVA29" t="s">
        <v>836</v>
      </c>
      <c r="GVB29" t="s">
        <v>836</v>
      </c>
      <c r="GVC29" t="s">
        <v>836</v>
      </c>
      <c r="GVD29" t="s">
        <v>836</v>
      </c>
      <c r="GVE29" t="s">
        <v>836</v>
      </c>
      <c r="GVF29" t="s">
        <v>836</v>
      </c>
      <c r="GVG29" t="s">
        <v>836</v>
      </c>
      <c r="GVH29" t="s">
        <v>836</v>
      </c>
      <c r="GVI29" t="s">
        <v>836</v>
      </c>
      <c r="GVJ29" t="s">
        <v>836</v>
      </c>
      <c r="GVK29" t="s">
        <v>836</v>
      </c>
      <c r="GVL29" t="s">
        <v>836</v>
      </c>
      <c r="GVM29" t="s">
        <v>836</v>
      </c>
      <c r="GVN29" t="s">
        <v>836</v>
      </c>
      <c r="GVO29" t="s">
        <v>836</v>
      </c>
      <c r="GVP29" t="s">
        <v>836</v>
      </c>
      <c r="GVQ29" t="s">
        <v>836</v>
      </c>
      <c r="GVR29" t="s">
        <v>836</v>
      </c>
      <c r="GVS29" t="s">
        <v>836</v>
      </c>
      <c r="GVT29" t="s">
        <v>836</v>
      </c>
      <c r="GVU29" t="s">
        <v>836</v>
      </c>
      <c r="GVV29" t="s">
        <v>836</v>
      </c>
      <c r="GVW29" t="s">
        <v>836</v>
      </c>
      <c r="GVX29" t="s">
        <v>836</v>
      </c>
      <c r="GVY29" t="s">
        <v>836</v>
      </c>
      <c r="GVZ29" t="s">
        <v>836</v>
      </c>
      <c r="GWA29" t="s">
        <v>836</v>
      </c>
      <c r="GWB29" t="s">
        <v>836</v>
      </c>
      <c r="GWC29" t="s">
        <v>836</v>
      </c>
      <c r="GWD29" t="s">
        <v>836</v>
      </c>
      <c r="GWE29" t="s">
        <v>836</v>
      </c>
      <c r="GWF29" t="s">
        <v>836</v>
      </c>
      <c r="GWG29" t="s">
        <v>836</v>
      </c>
      <c r="GWH29" t="s">
        <v>836</v>
      </c>
      <c r="GWI29" t="s">
        <v>836</v>
      </c>
      <c r="GWJ29" t="s">
        <v>836</v>
      </c>
      <c r="GWK29" t="s">
        <v>836</v>
      </c>
      <c r="GWL29" t="s">
        <v>836</v>
      </c>
      <c r="GWM29" t="s">
        <v>836</v>
      </c>
      <c r="GWN29" t="s">
        <v>836</v>
      </c>
      <c r="GWO29" t="s">
        <v>836</v>
      </c>
      <c r="GWP29" t="s">
        <v>836</v>
      </c>
      <c r="GWQ29" t="s">
        <v>836</v>
      </c>
      <c r="GWR29" t="s">
        <v>836</v>
      </c>
      <c r="GWS29" t="s">
        <v>836</v>
      </c>
      <c r="GWT29" t="s">
        <v>836</v>
      </c>
      <c r="GWU29" t="s">
        <v>836</v>
      </c>
      <c r="GWV29" t="s">
        <v>836</v>
      </c>
      <c r="GWW29" t="s">
        <v>836</v>
      </c>
      <c r="GWX29" t="s">
        <v>836</v>
      </c>
      <c r="GWY29" t="s">
        <v>836</v>
      </c>
      <c r="GWZ29" t="s">
        <v>836</v>
      </c>
      <c r="GXA29" t="s">
        <v>836</v>
      </c>
      <c r="GXB29" t="s">
        <v>836</v>
      </c>
      <c r="GXC29" t="s">
        <v>836</v>
      </c>
      <c r="GXD29" t="s">
        <v>836</v>
      </c>
      <c r="GXE29" t="s">
        <v>836</v>
      </c>
      <c r="GXF29" t="s">
        <v>836</v>
      </c>
      <c r="GXG29" t="s">
        <v>836</v>
      </c>
      <c r="GXH29" t="s">
        <v>836</v>
      </c>
      <c r="GXI29" t="s">
        <v>836</v>
      </c>
      <c r="GXJ29" t="s">
        <v>836</v>
      </c>
      <c r="GXK29" t="s">
        <v>836</v>
      </c>
      <c r="GXL29" t="s">
        <v>836</v>
      </c>
      <c r="GXM29" t="s">
        <v>836</v>
      </c>
      <c r="GXN29" t="s">
        <v>836</v>
      </c>
      <c r="GXO29" t="s">
        <v>836</v>
      </c>
      <c r="GXP29" t="s">
        <v>836</v>
      </c>
      <c r="GXQ29" t="s">
        <v>836</v>
      </c>
      <c r="GXR29" t="s">
        <v>836</v>
      </c>
      <c r="GXS29" t="s">
        <v>836</v>
      </c>
      <c r="GXT29" t="s">
        <v>836</v>
      </c>
      <c r="GXU29" t="s">
        <v>836</v>
      </c>
      <c r="GXV29" t="s">
        <v>836</v>
      </c>
      <c r="GXW29" t="s">
        <v>836</v>
      </c>
      <c r="GXX29" t="s">
        <v>836</v>
      </c>
      <c r="GXY29" t="s">
        <v>836</v>
      </c>
      <c r="GXZ29" t="s">
        <v>836</v>
      </c>
      <c r="GYA29" t="s">
        <v>836</v>
      </c>
      <c r="GYB29" t="s">
        <v>836</v>
      </c>
      <c r="GYC29" t="s">
        <v>836</v>
      </c>
      <c r="GYD29" t="s">
        <v>836</v>
      </c>
      <c r="GYE29" t="s">
        <v>836</v>
      </c>
      <c r="GYF29" t="s">
        <v>836</v>
      </c>
      <c r="GYG29" t="s">
        <v>836</v>
      </c>
      <c r="GYH29" t="s">
        <v>836</v>
      </c>
      <c r="GYI29" t="s">
        <v>836</v>
      </c>
      <c r="GYJ29" t="s">
        <v>836</v>
      </c>
      <c r="GYK29" t="s">
        <v>836</v>
      </c>
      <c r="GYL29" t="s">
        <v>836</v>
      </c>
      <c r="GYM29" t="s">
        <v>836</v>
      </c>
      <c r="GYN29" t="s">
        <v>836</v>
      </c>
      <c r="GYO29" t="s">
        <v>836</v>
      </c>
      <c r="GYP29" t="s">
        <v>836</v>
      </c>
      <c r="GYQ29" t="s">
        <v>836</v>
      </c>
      <c r="GYR29" t="s">
        <v>836</v>
      </c>
      <c r="GYS29" t="s">
        <v>836</v>
      </c>
      <c r="GYT29" t="s">
        <v>836</v>
      </c>
      <c r="GYU29" t="s">
        <v>836</v>
      </c>
      <c r="GYV29" t="s">
        <v>836</v>
      </c>
      <c r="GYW29" t="s">
        <v>836</v>
      </c>
      <c r="GYX29" t="s">
        <v>836</v>
      </c>
      <c r="GYY29" t="s">
        <v>836</v>
      </c>
      <c r="GYZ29" t="s">
        <v>836</v>
      </c>
      <c r="GZA29" t="s">
        <v>836</v>
      </c>
      <c r="GZB29" t="s">
        <v>836</v>
      </c>
      <c r="GZC29" t="s">
        <v>836</v>
      </c>
      <c r="GZD29" t="s">
        <v>836</v>
      </c>
      <c r="GZE29" t="s">
        <v>836</v>
      </c>
      <c r="GZF29" t="s">
        <v>836</v>
      </c>
      <c r="GZG29" t="s">
        <v>836</v>
      </c>
      <c r="GZH29" t="s">
        <v>836</v>
      </c>
      <c r="GZI29" t="s">
        <v>836</v>
      </c>
      <c r="GZJ29" t="s">
        <v>836</v>
      </c>
      <c r="GZK29" t="s">
        <v>836</v>
      </c>
      <c r="GZL29" t="s">
        <v>836</v>
      </c>
      <c r="GZM29" t="s">
        <v>836</v>
      </c>
      <c r="GZN29" t="s">
        <v>836</v>
      </c>
      <c r="GZO29" t="s">
        <v>836</v>
      </c>
      <c r="GZP29" t="s">
        <v>836</v>
      </c>
      <c r="GZQ29" t="s">
        <v>836</v>
      </c>
      <c r="GZR29" t="s">
        <v>836</v>
      </c>
      <c r="GZS29" t="s">
        <v>836</v>
      </c>
      <c r="GZT29" t="s">
        <v>836</v>
      </c>
      <c r="GZU29" t="s">
        <v>836</v>
      </c>
      <c r="GZV29" t="s">
        <v>836</v>
      </c>
      <c r="GZW29" t="s">
        <v>836</v>
      </c>
      <c r="GZX29" t="s">
        <v>836</v>
      </c>
      <c r="GZY29" t="s">
        <v>836</v>
      </c>
      <c r="GZZ29" t="s">
        <v>836</v>
      </c>
      <c r="HAA29" t="s">
        <v>836</v>
      </c>
      <c r="HAB29" t="s">
        <v>836</v>
      </c>
      <c r="HAC29" t="s">
        <v>836</v>
      </c>
      <c r="HAD29" t="s">
        <v>836</v>
      </c>
      <c r="HAE29" t="s">
        <v>836</v>
      </c>
      <c r="HAF29" t="s">
        <v>836</v>
      </c>
      <c r="HAG29" t="s">
        <v>836</v>
      </c>
      <c r="HAH29" t="s">
        <v>836</v>
      </c>
      <c r="HAI29" t="s">
        <v>836</v>
      </c>
      <c r="HAJ29" t="s">
        <v>836</v>
      </c>
      <c r="HAK29" t="s">
        <v>836</v>
      </c>
      <c r="HAL29" t="s">
        <v>836</v>
      </c>
      <c r="HAM29" t="s">
        <v>836</v>
      </c>
      <c r="HAN29" t="s">
        <v>836</v>
      </c>
      <c r="HAO29" t="s">
        <v>836</v>
      </c>
      <c r="HAP29" t="s">
        <v>836</v>
      </c>
      <c r="HAQ29" t="s">
        <v>836</v>
      </c>
      <c r="HAR29" t="s">
        <v>836</v>
      </c>
      <c r="HAS29" t="s">
        <v>836</v>
      </c>
      <c r="HAT29" t="s">
        <v>836</v>
      </c>
      <c r="HAU29" t="s">
        <v>836</v>
      </c>
      <c r="HAV29" t="s">
        <v>836</v>
      </c>
      <c r="HAW29" t="s">
        <v>836</v>
      </c>
      <c r="HAX29" t="s">
        <v>836</v>
      </c>
      <c r="HAY29" t="s">
        <v>836</v>
      </c>
      <c r="HAZ29" t="s">
        <v>836</v>
      </c>
      <c r="HBA29" t="s">
        <v>836</v>
      </c>
      <c r="HBB29" t="s">
        <v>836</v>
      </c>
      <c r="HBC29" t="s">
        <v>836</v>
      </c>
      <c r="HBD29" t="s">
        <v>836</v>
      </c>
      <c r="HBE29" t="s">
        <v>836</v>
      </c>
      <c r="HBF29" t="s">
        <v>836</v>
      </c>
      <c r="HBG29" t="s">
        <v>836</v>
      </c>
      <c r="HBH29" t="s">
        <v>836</v>
      </c>
      <c r="HBI29" t="s">
        <v>836</v>
      </c>
      <c r="HBJ29" t="s">
        <v>836</v>
      </c>
      <c r="HBK29" t="s">
        <v>836</v>
      </c>
      <c r="HBL29" t="s">
        <v>836</v>
      </c>
      <c r="HBM29" t="s">
        <v>836</v>
      </c>
      <c r="HBN29" t="s">
        <v>836</v>
      </c>
      <c r="HBO29" t="s">
        <v>836</v>
      </c>
      <c r="HBP29" t="s">
        <v>836</v>
      </c>
      <c r="HBQ29" t="s">
        <v>836</v>
      </c>
      <c r="HBR29" t="s">
        <v>836</v>
      </c>
      <c r="HBS29" t="s">
        <v>836</v>
      </c>
      <c r="HBT29" t="s">
        <v>836</v>
      </c>
      <c r="HBU29" t="s">
        <v>836</v>
      </c>
      <c r="HBV29" t="s">
        <v>836</v>
      </c>
      <c r="HBW29" t="s">
        <v>836</v>
      </c>
      <c r="HBX29" t="s">
        <v>836</v>
      </c>
      <c r="HBY29" t="s">
        <v>836</v>
      </c>
      <c r="HBZ29" t="s">
        <v>836</v>
      </c>
      <c r="HCA29" t="s">
        <v>836</v>
      </c>
      <c r="HCB29" t="s">
        <v>836</v>
      </c>
      <c r="HCC29" t="s">
        <v>836</v>
      </c>
      <c r="HCD29" t="s">
        <v>836</v>
      </c>
      <c r="HCE29" t="s">
        <v>836</v>
      </c>
      <c r="HCF29" t="s">
        <v>836</v>
      </c>
      <c r="HCG29" t="s">
        <v>836</v>
      </c>
      <c r="HCH29" t="s">
        <v>836</v>
      </c>
      <c r="HCI29" t="s">
        <v>836</v>
      </c>
      <c r="HCJ29" t="s">
        <v>836</v>
      </c>
      <c r="HCK29" t="s">
        <v>836</v>
      </c>
      <c r="HCL29" t="s">
        <v>836</v>
      </c>
      <c r="HCM29" t="s">
        <v>836</v>
      </c>
      <c r="HCN29" t="s">
        <v>836</v>
      </c>
      <c r="HCO29" t="s">
        <v>836</v>
      </c>
      <c r="HCP29" t="s">
        <v>836</v>
      </c>
      <c r="HCQ29" t="s">
        <v>836</v>
      </c>
      <c r="HCR29" t="s">
        <v>836</v>
      </c>
      <c r="HCS29" t="s">
        <v>836</v>
      </c>
      <c r="HCT29" t="s">
        <v>836</v>
      </c>
      <c r="HCU29" t="s">
        <v>836</v>
      </c>
      <c r="HCV29" t="s">
        <v>836</v>
      </c>
      <c r="HCW29" t="s">
        <v>836</v>
      </c>
      <c r="HCX29" t="s">
        <v>836</v>
      </c>
      <c r="HCY29" t="s">
        <v>836</v>
      </c>
      <c r="HCZ29" t="s">
        <v>836</v>
      </c>
      <c r="HDA29" t="s">
        <v>836</v>
      </c>
      <c r="HDB29" t="s">
        <v>836</v>
      </c>
      <c r="HDC29" t="s">
        <v>836</v>
      </c>
      <c r="HDD29" t="s">
        <v>836</v>
      </c>
      <c r="HDE29" t="s">
        <v>836</v>
      </c>
      <c r="HDF29" t="s">
        <v>836</v>
      </c>
      <c r="HDG29" t="s">
        <v>836</v>
      </c>
      <c r="HDH29" t="s">
        <v>836</v>
      </c>
      <c r="HDI29" t="s">
        <v>836</v>
      </c>
      <c r="HDJ29" t="s">
        <v>836</v>
      </c>
      <c r="HDK29" t="s">
        <v>836</v>
      </c>
      <c r="HDL29" t="s">
        <v>836</v>
      </c>
      <c r="HDM29" t="s">
        <v>836</v>
      </c>
      <c r="HDN29" t="s">
        <v>836</v>
      </c>
      <c r="HDO29" t="s">
        <v>836</v>
      </c>
      <c r="HDP29" t="s">
        <v>836</v>
      </c>
      <c r="HDQ29" t="s">
        <v>836</v>
      </c>
      <c r="HDR29" t="s">
        <v>836</v>
      </c>
      <c r="HDS29" t="s">
        <v>836</v>
      </c>
      <c r="HDT29" t="s">
        <v>836</v>
      </c>
      <c r="HDU29" t="s">
        <v>836</v>
      </c>
      <c r="HDV29" t="s">
        <v>836</v>
      </c>
      <c r="HDW29" t="s">
        <v>836</v>
      </c>
      <c r="HDX29" t="s">
        <v>836</v>
      </c>
      <c r="HDY29" t="s">
        <v>836</v>
      </c>
      <c r="HDZ29" t="s">
        <v>836</v>
      </c>
      <c r="HEA29" t="s">
        <v>836</v>
      </c>
      <c r="HEB29" t="s">
        <v>836</v>
      </c>
      <c r="HEC29" t="s">
        <v>836</v>
      </c>
      <c r="HED29" t="s">
        <v>836</v>
      </c>
      <c r="HEE29" t="s">
        <v>836</v>
      </c>
      <c r="HEF29" t="s">
        <v>836</v>
      </c>
      <c r="HEG29" t="s">
        <v>836</v>
      </c>
      <c r="HEH29" t="s">
        <v>836</v>
      </c>
      <c r="HEI29" t="s">
        <v>836</v>
      </c>
      <c r="HEJ29" t="s">
        <v>836</v>
      </c>
      <c r="HEK29" t="s">
        <v>836</v>
      </c>
      <c r="HEL29" t="s">
        <v>836</v>
      </c>
      <c r="HEM29" t="s">
        <v>836</v>
      </c>
      <c r="HEN29" t="s">
        <v>836</v>
      </c>
      <c r="HEO29" t="s">
        <v>836</v>
      </c>
      <c r="HEP29" t="s">
        <v>836</v>
      </c>
      <c r="HEQ29" t="s">
        <v>836</v>
      </c>
      <c r="HER29" t="s">
        <v>836</v>
      </c>
      <c r="HES29" t="s">
        <v>836</v>
      </c>
      <c r="HET29" t="s">
        <v>836</v>
      </c>
      <c r="HEU29" t="s">
        <v>836</v>
      </c>
      <c r="HEV29" t="s">
        <v>836</v>
      </c>
      <c r="HEW29" t="s">
        <v>836</v>
      </c>
      <c r="HEX29" t="s">
        <v>836</v>
      </c>
      <c r="HEY29" t="s">
        <v>836</v>
      </c>
      <c r="HEZ29" t="s">
        <v>836</v>
      </c>
      <c r="HFA29" t="s">
        <v>836</v>
      </c>
      <c r="HFB29" t="s">
        <v>836</v>
      </c>
      <c r="HFC29" t="s">
        <v>836</v>
      </c>
      <c r="HFD29" t="s">
        <v>836</v>
      </c>
      <c r="HFE29" t="s">
        <v>836</v>
      </c>
      <c r="HFF29" t="s">
        <v>836</v>
      </c>
      <c r="HFG29" t="s">
        <v>836</v>
      </c>
      <c r="HFH29" t="s">
        <v>836</v>
      </c>
      <c r="HFI29" t="s">
        <v>836</v>
      </c>
      <c r="HFJ29" t="s">
        <v>836</v>
      </c>
      <c r="HFK29" t="s">
        <v>836</v>
      </c>
      <c r="HFL29" t="s">
        <v>836</v>
      </c>
      <c r="HFM29" t="s">
        <v>836</v>
      </c>
      <c r="HFN29" t="s">
        <v>836</v>
      </c>
      <c r="HFO29" t="s">
        <v>836</v>
      </c>
      <c r="HFP29" t="s">
        <v>836</v>
      </c>
      <c r="HFQ29" t="s">
        <v>836</v>
      </c>
      <c r="HFR29" t="s">
        <v>836</v>
      </c>
      <c r="HFS29" t="s">
        <v>836</v>
      </c>
      <c r="HFT29" t="s">
        <v>836</v>
      </c>
      <c r="HFU29" t="s">
        <v>836</v>
      </c>
      <c r="HFV29" t="s">
        <v>836</v>
      </c>
      <c r="HFW29" t="s">
        <v>836</v>
      </c>
      <c r="HFX29" t="s">
        <v>836</v>
      </c>
      <c r="HFY29" t="s">
        <v>836</v>
      </c>
      <c r="HFZ29" t="s">
        <v>836</v>
      </c>
      <c r="HGA29" t="s">
        <v>836</v>
      </c>
      <c r="HGB29" t="s">
        <v>836</v>
      </c>
      <c r="HGC29" t="s">
        <v>836</v>
      </c>
      <c r="HGD29" t="s">
        <v>836</v>
      </c>
      <c r="HGE29" t="s">
        <v>836</v>
      </c>
      <c r="HGF29" t="s">
        <v>836</v>
      </c>
      <c r="HGG29" t="s">
        <v>836</v>
      </c>
      <c r="HGH29" t="s">
        <v>836</v>
      </c>
      <c r="HGI29" t="s">
        <v>836</v>
      </c>
      <c r="HGJ29" t="s">
        <v>836</v>
      </c>
      <c r="HGK29" t="s">
        <v>836</v>
      </c>
      <c r="HGL29" t="s">
        <v>836</v>
      </c>
      <c r="HGM29" t="s">
        <v>836</v>
      </c>
      <c r="HGN29" t="s">
        <v>836</v>
      </c>
      <c r="HGO29" t="s">
        <v>836</v>
      </c>
      <c r="HGP29" t="s">
        <v>836</v>
      </c>
      <c r="HGQ29" t="s">
        <v>836</v>
      </c>
      <c r="HGR29" t="s">
        <v>836</v>
      </c>
      <c r="HGS29" t="s">
        <v>836</v>
      </c>
      <c r="HGT29" t="s">
        <v>836</v>
      </c>
      <c r="HGU29" t="s">
        <v>836</v>
      </c>
      <c r="HGV29" t="s">
        <v>836</v>
      </c>
      <c r="HGW29" t="s">
        <v>836</v>
      </c>
      <c r="HGX29" t="s">
        <v>836</v>
      </c>
      <c r="HGY29" t="s">
        <v>836</v>
      </c>
      <c r="HGZ29" t="s">
        <v>836</v>
      </c>
      <c r="HHA29" t="s">
        <v>836</v>
      </c>
      <c r="HHB29" t="s">
        <v>836</v>
      </c>
      <c r="HHC29" t="s">
        <v>836</v>
      </c>
      <c r="HHD29" t="s">
        <v>836</v>
      </c>
      <c r="HHE29" t="s">
        <v>836</v>
      </c>
      <c r="HHF29" t="s">
        <v>836</v>
      </c>
      <c r="HHG29" t="s">
        <v>836</v>
      </c>
      <c r="HHH29" t="s">
        <v>836</v>
      </c>
      <c r="HHI29" t="s">
        <v>836</v>
      </c>
      <c r="HHJ29" t="s">
        <v>836</v>
      </c>
      <c r="HHK29" t="s">
        <v>836</v>
      </c>
      <c r="HHL29" t="s">
        <v>836</v>
      </c>
      <c r="HHM29" t="s">
        <v>836</v>
      </c>
      <c r="HHN29" t="s">
        <v>836</v>
      </c>
      <c r="HHO29" t="s">
        <v>836</v>
      </c>
      <c r="HHP29" t="s">
        <v>836</v>
      </c>
      <c r="HHQ29" t="s">
        <v>836</v>
      </c>
      <c r="HHR29" t="s">
        <v>836</v>
      </c>
      <c r="HHS29" t="s">
        <v>836</v>
      </c>
      <c r="HHT29" t="s">
        <v>836</v>
      </c>
      <c r="HHU29" t="s">
        <v>836</v>
      </c>
      <c r="HHV29" t="s">
        <v>836</v>
      </c>
      <c r="HHW29" t="s">
        <v>836</v>
      </c>
      <c r="HHX29" t="s">
        <v>836</v>
      </c>
      <c r="HHY29" t="s">
        <v>836</v>
      </c>
      <c r="HHZ29" t="s">
        <v>836</v>
      </c>
      <c r="HIA29" t="s">
        <v>836</v>
      </c>
      <c r="HIB29" t="s">
        <v>836</v>
      </c>
      <c r="HIC29" t="s">
        <v>836</v>
      </c>
      <c r="HID29" t="s">
        <v>836</v>
      </c>
      <c r="HIE29" t="s">
        <v>836</v>
      </c>
      <c r="HIF29" t="s">
        <v>836</v>
      </c>
      <c r="HIG29" t="s">
        <v>836</v>
      </c>
      <c r="HIH29" t="s">
        <v>836</v>
      </c>
      <c r="HII29" t="s">
        <v>836</v>
      </c>
      <c r="HIJ29" t="s">
        <v>836</v>
      </c>
      <c r="HIK29" t="s">
        <v>836</v>
      </c>
      <c r="HIL29" t="s">
        <v>836</v>
      </c>
      <c r="HIM29" t="s">
        <v>836</v>
      </c>
      <c r="HIN29" t="s">
        <v>836</v>
      </c>
      <c r="HIO29" t="s">
        <v>836</v>
      </c>
      <c r="HIP29" t="s">
        <v>836</v>
      </c>
      <c r="HIQ29" t="s">
        <v>836</v>
      </c>
      <c r="HIR29" t="s">
        <v>836</v>
      </c>
      <c r="HIS29" t="s">
        <v>836</v>
      </c>
      <c r="HIT29" t="s">
        <v>836</v>
      </c>
      <c r="HIU29" t="s">
        <v>836</v>
      </c>
      <c r="HIV29" t="s">
        <v>836</v>
      </c>
      <c r="HIW29" t="s">
        <v>836</v>
      </c>
      <c r="HIX29" t="s">
        <v>836</v>
      </c>
      <c r="HIY29" t="s">
        <v>836</v>
      </c>
      <c r="HIZ29" t="s">
        <v>836</v>
      </c>
      <c r="HJA29" t="s">
        <v>836</v>
      </c>
      <c r="HJB29" t="s">
        <v>836</v>
      </c>
      <c r="HJC29" t="s">
        <v>836</v>
      </c>
      <c r="HJD29" t="s">
        <v>836</v>
      </c>
      <c r="HJE29" t="s">
        <v>836</v>
      </c>
      <c r="HJF29" t="s">
        <v>836</v>
      </c>
      <c r="HJG29" t="s">
        <v>836</v>
      </c>
      <c r="HJH29" t="s">
        <v>836</v>
      </c>
      <c r="HJI29" t="s">
        <v>836</v>
      </c>
      <c r="HJJ29" t="s">
        <v>836</v>
      </c>
      <c r="HJK29" t="s">
        <v>836</v>
      </c>
      <c r="HJL29" t="s">
        <v>836</v>
      </c>
      <c r="HJM29" t="s">
        <v>836</v>
      </c>
      <c r="HJN29" t="s">
        <v>836</v>
      </c>
      <c r="HJO29" t="s">
        <v>836</v>
      </c>
      <c r="HJP29" t="s">
        <v>836</v>
      </c>
      <c r="HJQ29" t="s">
        <v>836</v>
      </c>
      <c r="HJR29" t="s">
        <v>836</v>
      </c>
      <c r="HJS29" t="s">
        <v>836</v>
      </c>
      <c r="HJT29" t="s">
        <v>836</v>
      </c>
      <c r="HJU29" t="s">
        <v>836</v>
      </c>
      <c r="HJV29" t="s">
        <v>836</v>
      </c>
      <c r="HJW29" t="s">
        <v>836</v>
      </c>
      <c r="HJX29" t="s">
        <v>836</v>
      </c>
      <c r="HJY29" t="s">
        <v>836</v>
      </c>
      <c r="HJZ29" t="s">
        <v>836</v>
      </c>
      <c r="HKA29" t="s">
        <v>836</v>
      </c>
      <c r="HKB29" t="s">
        <v>836</v>
      </c>
      <c r="HKC29" t="s">
        <v>836</v>
      </c>
      <c r="HKD29" t="s">
        <v>836</v>
      </c>
      <c r="HKE29" t="s">
        <v>836</v>
      </c>
      <c r="HKF29" t="s">
        <v>836</v>
      </c>
      <c r="HKG29" t="s">
        <v>836</v>
      </c>
      <c r="HKH29" t="s">
        <v>836</v>
      </c>
      <c r="HKI29" t="s">
        <v>836</v>
      </c>
      <c r="HKJ29" t="s">
        <v>836</v>
      </c>
      <c r="HKK29" t="s">
        <v>836</v>
      </c>
      <c r="HKL29" t="s">
        <v>836</v>
      </c>
      <c r="HKM29" t="s">
        <v>836</v>
      </c>
      <c r="HKN29" t="s">
        <v>836</v>
      </c>
      <c r="HKO29" t="s">
        <v>836</v>
      </c>
      <c r="HKP29" t="s">
        <v>836</v>
      </c>
      <c r="HKQ29" t="s">
        <v>836</v>
      </c>
      <c r="HKR29" t="s">
        <v>836</v>
      </c>
      <c r="HKS29" t="s">
        <v>836</v>
      </c>
      <c r="HKT29" t="s">
        <v>836</v>
      </c>
      <c r="HKU29" t="s">
        <v>836</v>
      </c>
      <c r="HKV29" t="s">
        <v>836</v>
      </c>
      <c r="HKW29" t="s">
        <v>836</v>
      </c>
      <c r="HKX29" t="s">
        <v>836</v>
      </c>
      <c r="HKY29" t="s">
        <v>836</v>
      </c>
      <c r="HKZ29" t="s">
        <v>836</v>
      </c>
      <c r="HLA29" t="s">
        <v>836</v>
      </c>
      <c r="HLB29" t="s">
        <v>836</v>
      </c>
      <c r="HLC29" t="s">
        <v>836</v>
      </c>
      <c r="HLD29" t="s">
        <v>836</v>
      </c>
      <c r="HLE29" t="s">
        <v>836</v>
      </c>
      <c r="HLF29" t="s">
        <v>836</v>
      </c>
      <c r="HLG29" t="s">
        <v>836</v>
      </c>
      <c r="HLH29" t="s">
        <v>836</v>
      </c>
      <c r="HLI29" t="s">
        <v>836</v>
      </c>
      <c r="HLJ29" t="s">
        <v>836</v>
      </c>
      <c r="HLK29" t="s">
        <v>836</v>
      </c>
      <c r="HLL29" t="s">
        <v>836</v>
      </c>
      <c r="HLM29" t="s">
        <v>836</v>
      </c>
      <c r="HLN29" t="s">
        <v>836</v>
      </c>
      <c r="HLO29" t="s">
        <v>836</v>
      </c>
      <c r="HLP29" t="s">
        <v>836</v>
      </c>
      <c r="HLQ29" t="s">
        <v>836</v>
      </c>
      <c r="HLR29" t="s">
        <v>836</v>
      </c>
      <c r="HLS29" t="s">
        <v>836</v>
      </c>
      <c r="HLT29" t="s">
        <v>836</v>
      </c>
      <c r="HLU29" t="s">
        <v>836</v>
      </c>
      <c r="HLV29" t="s">
        <v>836</v>
      </c>
      <c r="HLW29" t="s">
        <v>836</v>
      </c>
      <c r="HLX29" t="s">
        <v>836</v>
      </c>
      <c r="HLY29" t="s">
        <v>836</v>
      </c>
      <c r="HLZ29" t="s">
        <v>836</v>
      </c>
      <c r="HMA29" t="s">
        <v>836</v>
      </c>
      <c r="HMB29" t="s">
        <v>836</v>
      </c>
      <c r="HMC29" t="s">
        <v>836</v>
      </c>
      <c r="HMD29" t="s">
        <v>836</v>
      </c>
      <c r="HME29" t="s">
        <v>836</v>
      </c>
      <c r="HMF29" t="s">
        <v>836</v>
      </c>
      <c r="HMG29" t="s">
        <v>836</v>
      </c>
      <c r="HMH29" t="s">
        <v>836</v>
      </c>
      <c r="HMI29" t="s">
        <v>836</v>
      </c>
      <c r="HMJ29" t="s">
        <v>836</v>
      </c>
      <c r="HMK29" t="s">
        <v>836</v>
      </c>
      <c r="HML29" t="s">
        <v>836</v>
      </c>
      <c r="HMM29" t="s">
        <v>836</v>
      </c>
      <c r="HMN29" t="s">
        <v>836</v>
      </c>
      <c r="HMO29" t="s">
        <v>836</v>
      </c>
      <c r="HMP29" t="s">
        <v>836</v>
      </c>
      <c r="HMQ29" t="s">
        <v>836</v>
      </c>
      <c r="HMR29" t="s">
        <v>836</v>
      </c>
      <c r="HMS29" t="s">
        <v>836</v>
      </c>
      <c r="HMT29" t="s">
        <v>836</v>
      </c>
      <c r="HMU29" t="s">
        <v>836</v>
      </c>
      <c r="HMV29" t="s">
        <v>836</v>
      </c>
      <c r="HMW29" t="s">
        <v>836</v>
      </c>
      <c r="HMX29" t="s">
        <v>836</v>
      </c>
      <c r="HMY29" t="s">
        <v>836</v>
      </c>
      <c r="HMZ29" t="s">
        <v>836</v>
      </c>
      <c r="HNA29" t="s">
        <v>836</v>
      </c>
      <c r="HNB29" t="s">
        <v>836</v>
      </c>
      <c r="HNC29" t="s">
        <v>836</v>
      </c>
      <c r="HND29" t="s">
        <v>836</v>
      </c>
      <c r="HNE29" t="s">
        <v>836</v>
      </c>
      <c r="HNF29" t="s">
        <v>836</v>
      </c>
      <c r="HNG29" t="s">
        <v>836</v>
      </c>
      <c r="HNH29" t="s">
        <v>836</v>
      </c>
      <c r="HNI29" t="s">
        <v>836</v>
      </c>
      <c r="HNJ29" t="s">
        <v>836</v>
      </c>
      <c r="HNK29" t="s">
        <v>836</v>
      </c>
      <c r="HNL29" t="s">
        <v>836</v>
      </c>
      <c r="HNM29" t="s">
        <v>836</v>
      </c>
      <c r="HNN29" t="s">
        <v>836</v>
      </c>
      <c r="HNO29" t="s">
        <v>836</v>
      </c>
      <c r="HNP29" t="s">
        <v>836</v>
      </c>
      <c r="HNQ29" t="s">
        <v>836</v>
      </c>
      <c r="HNR29" t="s">
        <v>836</v>
      </c>
      <c r="HNS29" t="s">
        <v>836</v>
      </c>
      <c r="HNT29" t="s">
        <v>836</v>
      </c>
      <c r="HNU29" t="s">
        <v>836</v>
      </c>
      <c r="HNV29" t="s">
        <v>836</v>
      </c>
      <c r="HNW29" t="s">
        <v>836</v>
      </c>
      <c r="HNX29" t="s">
        <v>836</v>
      </c>
      <c r="HNY29" t="s">
        <v>836</v>
      </c>
      <c r="HNZ29" t="s">
        <v>836</v>
      </c>
      <c r="HOA29" t="s">
        <v>836</v>
      </c>
      <c r="HOB29" t="s">
        <v>836</v>
      </c>
      <c r="HOC29" t="s">
        <v>836</v>
      </c>
      <c r="HOD29" t="s">
        <v>836</v>
      </c>
      <c r="HOE29" t="s">
        <v>836</v>
      </c>
      <c r="HOF29" t="s">
        <v>836</v>
      </c>
      <c r="HOG29" t="s">
        <v>836</v>
      </c>
      <c r="HOH29" t="s">
        <v>836</v>
      </c>
      <c r="HOI29" t="s">
        <v>836</v>
      </c>
      <c r="HOJ29" t="s">
        <v>836</v>
      </c>
      <c r="HOK29" t="s">
        <v>836</v>
      </c>
      <c r="HOL29" t="s">
        <v>836</v>
      </c>
      <c r="HOM29" t="s">
        <v>836</v>
      </c>
      <c r="HON29" t="s">
        <v>836</v>
      </c>
      <c r="HOO29" t="s">
        <v>836</v>
      </c>
      <c r="HOP29" t="s">
        <v>836</v>
      </c>
      <c r="HOQ29" t="s">
        <v>836</v>
      </c>
      <c r="HOR29" t="s">
        <v>836</v>
      </c>
      <c r="HOS29" t="s">
        <v>836</v>
      </c>
      <c r="HOT29" t="s">
        <v>836</v>
      </c>
      <c r="HOU29" t="s">
        <v>836</v>
      </c>
      <c r="HOV29" t="s">
        <v>836</v>
      </c>
      <c r="HOW29" t="s">
        <v>836</v>
      </c>
      <c r="HOX29" t="s">
        <v>836</v>
      </c>
      <c r="HOY29" t="s">
        <v>836</v>
      </c>
      <c r="HOZ29" t="s">
        <v>836</v>
      </c>
      <c r="HPA29" t="s">
        <v>836</v>
      </c>
      <c r="HPB29" t="s">
        <v>836</v>
      </c>
      <c r="HPC29" t="s">
        <v>836</v>
      </c>
      <c r="HPD29" t="s">
        <v>836</v>
      </c>
      <c r="HPE29" t="s">
        <v>836</v>
      </c>
      <c r="HPF29" t="s">
        <v>836</v>
      </c>
      <c r="HPG29" t="s">
        <v>836</v>
      </c>
      <c r="HPH29" t="s">
        <v>836</v>
      </c>
      <c r="HPI29" t="s">
        <v>836</v>
      </c>
      <c r="HPJ29" t="s">
        <v>836</v>
      </c>
      <c r="HPK29" t="s">
        <v>836</v>
      </c>
      <c r="HPL29" t="s">
        <v>836</v>
      </c>
      <c r="HPM29" t="s">
        <v>836</v>
      </c>
      <c r="HPN29" t="s">
        <v>836</v>
      </c>
      <c r="HPO29" t="s">
        <v>836</v>
      </c>
      <c r="HPP29" t="s">
        <v>836</v>
      </c>
      <c r="HPQ29" t="s">
        <v>836</v>
      </c>
      <c r="HPR29" t="s">
        <v>836</v>
      </c>
      <c r="HPS29" t="s">
        <v>836</v>
      </c>
      <c r="HPT29" t="s">
        <v>836</v>
      </c>
      <c r="HPU29" t="s">
        <v>836</v>
      </c>
      <c r="HPV29" t="s">
        <v>836</v>
      </c>
      <c r="HPW29" t="s">
        <v>836</v>
      </c>
      <c r="HPX29" t="s">
        <v>836</v>
      </c>
      <c r="HPY29" t="s">
        <v>836</v>
      </c>
      <c r="HPZ29" t="s">
        <v>836</v>
      </c>
      <c r="HQA29" t="s">
        <v>836</v>
      </c>
      <c r="HQB29" t="s">
        <v>836</v>
      </c>
      <c r="HQC29" t="s">
        <v>836</v>
      </c>
      <c r="HQD29" t="s">
        <v>836</v>
      </c>
      <c r="HQE29" t="s">
        <v>836</v>
      </c>
      <c r="HQF29" t="s">
        <v>836</v>
      </c>
      <c r="HQG29" t="s">
        <v>836</v>
      </c>
      <c r="HQH29" t="s">
        <v>836</v>
      </c>
      <c r="HQI29" t="s">
        <v>836</v>
      </c>
      <c r="HQJ29" t="s">
        <v>836</v>
      </c>
      <c r="HQK29" t="s">
        <v>836</v>
      </c>
      <c r="HQL29" t="s">
        <v>836</v>
      </c>
      <c r="HQM29" t="s">
        <v>836</v>
      </c>
      <c r="HQN29" t="s">
        <v>836</v>
      </c>
      <c r="HQO29" t="s">
        <v>836</v>
      </c>
      <c r="HQP29" t="s">
        <v>836</v>
      </c>
      <c r="HQQ29" t="s">
        <v>836</v>
      </c>
      <c r="HQR29" t="s">
        <v>836</v>
      </c>
      <c r="HQS29" t="s">
        <v>836</v>
      </c>
      <c r="HQT29" t="s">
        <v>836</v>
      </c>
      <c r="HQU29" t="s">
        <v>836</v>
      </c>
      <c r="HQV29" t="s">
        <v>836</v>
      </c>
      <c r="HQW29" t="s">
        <v>836</v>
      </c>
      <c r="HQX29" t="s">
        <v>836</v>
      </c>
      <c r="HQY29" t="s">
        <v>836</v>
      </c>
      <c r="HQZ29" t="s">
        <v>836</v>
      </c>
      <c r="HRA29" t="s">
        <v>836</v>
      </c>
      <c r="HRB29" t="s">
        <v>836</v>
      </c>
      <c r="HRC29" t="s">
        <v>836</v>
      </c>
      <c r="HRD29" t="s">
        <v>836</v>
      </c>
      <c r="HRE29" t="s">
        <v>836</v>
      </c>
      <c r="HRF29" t="s">
        <v>836</v>
      </c>
      <c r="HRG29" t="s">
        <v>836</v>
      </c>
      <c r="HRH29" t="s">
        <v>836</v>
      </c>
      <c r="HRI29" t="s">
        <v>836</v>
      </c>
      <c r="HRJ29" t="s">
        <v>836</v>
      </c>
      <c r="HRK29" t="s">
        <v>836</v>
      </c>
      <c r="HRL29" t="s">
        <v>836</v>
      </c>
      <c r="HRM29" t="s">
        <v>836</v>
      </c>
      <c r="HRN29" t="s">
        <v>836</v>
      </c>
      <c r="HRO29" t="s">
        <v>836</v>
      </c>
      <c r="HRP29" t="s">
        <v>836</v>
      </c>
      <c r="HRQ29" t="s">
        <v>836</v>
      </c>
      <c r="HRR29" t="s">
        <v>836</v>
      </c>
      <c r="HRS29" t="s">
        <v>836</v>
      </c>
      <c r="HRT29" t="s">
        <v>836</v>
      </c>
      <c r="HRU29" t="s">
        <v>836</v>
      </c>
      <c r="HRV29" t="s">
        <v>836</v>
      </c>
      <c r="HRW29" t="s">
        <v>836</v>
      </c>
      <c r="HRX29" t="s">
        <v>836</v>
      </c>
      <c r="HRY29" t="s">
        <v>836</v>
      </c>
      <c r="HRZ29" t="s">
        <v>836</v>
      </c>
      <c r="HSA29" t="s">
        <v>836</v>
      </c>
      <c r="HSB29" t="s">
        <v>836</v>
      </c>
      <c r="HSC29" t="s">
        <v>836</v>
      </c>
      <c r="HSD29" t="s">
        <v>836</v>
      </c>
      <c r="HSE29" t="s">
        <v>836</v>
      </c>
      <c r="HSF29" t="s">
        <v>836</v>
      </c>
      <c r="HSG29" t="s">
        <v>836</v>
      </c>
      <c r="HSH29" t="s">
        <v>836</v>
      </c>
      <c r="HSI29" t="s">
        <v>836</v>
      </c>
      <c r="HSJ29" t="s">
        <v>836</v>
      </c>
      <c r="HSK29" t="s">
        <v>836</v>
      </c>
      <c r="HSL29" t="s">
        <v>836</v>
      </c>
      <c r="HSM29" t="s">
        <v>836</v>
      </c>
      <c r="HSN29" t="s">
        <v>836</v>
      </c>
      <c r="HSO29" t="s">
        <v>836</v>
      </c>
      <c r="HSP29" t="s">
        <v>836</v>
      </c>
      <c r="HSQ29" t="s">
        <v>836</v>
      </c>
      <c r="HSR29" t="s">
        <v>836</v>
      </c>
      <c r="HSS29" t="s">
        <v>836</v>
      </c>
      <c r="HST29" t="s">
        <v>836</v>
      </c>
      <c r="HSU29" t="s">
        <v>836</v>
      </c>
      <c r="HSV29" t="s">
        <v>836</v>
      </c>
      <c r="HSW29" t="s">
        <v>836</v>
      </c>
      <c r="HSX29" t="s">
        <v>836</v>
      </c>
      <c r="HSY29" t="s">
        <v>836</v>
      </c>
      <c r="HSZ29" t="s">
        <v>836</v>
      </c>
      <c r="HTA29" t="s">
        <v>836</v>
      </c>
      <c r="HTB29" t="s">
        <v>836</v>
      </c>
      <c r="HTC29" t="s">
        <v>836</v>
      </c>
      <c r="HTD29" t="s">
        <v>836</v>
      </c>
      <c r="HTE29" t="s">
        <v>836</v>
      </c>
      <c r="HTF29" t="s">
        <v>836</v>
      </c>
      <c r="HTG29" t="s">
        <v>836</v>
      </c>
      <c r="HTH29" t="s">
        <v>836</v>
      </c>
      <c r="HTI29" t="s">
        <v>836</v>
      </c>
      <c r="HTJ29" t="s">
        <v>836</v>
      </c>
      <c r="HTK29" t="s">
        <v>836</v>
      </c>
      <c r="HTL29" t="s">
        <v>836</v>
      </c>
      <c r="HTM29" t="s">
        <v>836</v>
      </c>
      <c r="HTN29" t="s">
        <v>836</v>
      </c>
      <c r="HTO29" t="s">
        <v>836</v>
      </c>
      <c r="HTP29" t="s">
        <v>836</v>
      </c>
      <c r="HTQ29" t="s">
        <v>836</v>
      </c>
      <c r="HTR29" t="s">
        <v>836</v>
      </c>
      <c r="HTS29" t="s">
        <v>836</v>
      </c>
      <c r="HTT29" t="s">
        <v>836</v>
      </c>
      <c r="HTU29" t="s">
        <v>836</v>
      </c>
      <c r="HTV29" t="s">
        <v>836</v>
      </c>
      <c r="HTW29" t="s">
        <v>836</v>
      </c>
      <c r="HTX29" t="s">
        <v>836</v>
      </c>
      <c r="HTY29" t="s">
        <v>836</v>
      </c>
      <c r="HTZ29" t="s">
        <v>836</v>
      </c>
      <c r="HUA29" t="s">
        <v>836</v>
      </c>
      <c r="HUB29" t="s">
        <v>836</v>
      </c>
      <c r="HUC29" t="s">
        <v>836</v>
      </c>
      <c r="HUD29" t="s">
        <v>836</v>
      </c>
      <c r="HUE29" t="s">
        <v>836</v>
      </c>
      <c r="HUF29" t="s">
        <v>836</v>
      </c>
      <c r="HUG29" t="s">
        <v>836</v>
      </c>
      <c r="HUH29" t="s">
        <v>836</v>
      </c>
      <c r="HUI29" t="s">
        <v>836</v>
      </c>
      <c r="HUJ29" t="s">
        <v>836</v>
      </c>
      <c r="HUK29" t="s">
        <v>836</v>
      </c>
      <c r="HUL29" t="s">
        <v>836</v>
      </c>
      <c r="HUM29" t="s">
        <v>836</v>
      </c>
      <c r="HUN29" t="s">
        <v>836</v>
      </c>
      <c r="HUO29" t="s">
        <v>836</v>
      </c>
      <c r="HUP29" t="s">
        <v>836</v>
      </c>
      <c r="HUQ29" t="s">
        <v>836</v>
      </c>
      <c r="HUR29" t="s">
        <v>836</v>
      </c>
      <c r="HUS29" t="s">
        <v>836</v>
      </c>
      <c r="HUT29" t="s">
        <v>836</v>
      </c>
      <c r="HUU29" t="s">
        <v>836</v>
      </c>
      <c r="HUV29" t="s">
        <v>836</v>
      </c>
      <c r="HUW29" t="s">
        <v>836</v>
      </c>
      <c r="HUX29" t="s">
        <v>836</v>
      </c>
      <c r="HUY29" t="s">
        <v>836</v>
      </c>
      <c r="HUZ29" t="s">
        <v>836</v>
      </c>
      <c r="HVA29" t="s">
        <v>836</v>
      </c>
      <c r="HVB29" t="s">
        <v>836</v>
      </c>
      <c r="HVC29" t="s">
        <v>836</v>
      </c>
      <c r="HVD29" t="s">
        <v>836</v>
      </c>
      <c r="HVE29" t="s">
        <v>836</v>
      </c>
      <c r="HVF29" t="s">
        <v>836</v>
      </c>
      <c r="HVG29" t="s">
        <v>836</v>
      </c>
      <c r="HVH29" t="s">
        <v>836</v>
      </c>
      <c r="HVI29" t="s">
        <v>836</v>
      </c>
      <c r="HVJ29" t="s">
        <v>836</v>
      </c>
      <c r="HVK29" t="s">
        <v>836</v>
      </c>
      <c r="HVL29" t="s">
        <v>836</v>
      </c>
      <c r="HVM29" t="s">
        <v>836</v>
      </c>
      <c r="HVN29" t="s">
        <v>836</v>
      </c>
      <c r="HVO29" t="s">
        <v>836</v>
      </c>
      <c r="HVP29" t="s">
        <v>836</v>
      </c>
      <c r="HVQ29" t="s">
        <v>836</v>
      </c>
      <c r="HVR29" t="s">
        <v>836</v>
      </c>
      <c r="HVS29" t="s">
        <v>836</v>
      </c>
      <c r="HVT29" t="s">
        <v>836</v>
      </c>
      <c r="HVU29" t="s">
        <v>836</v>
      </c>
      <c r="HVV29" t="s">
        <v>836</v>
      </c>
      <c r="HVW29" t="s">
        <v>836</v>
      </c>
      <c r="HVX29" t="s">
        <v>836</v>
      </c>
      <c r="HVY29" t="s">
        <v>836</v>
      </c>
      <c r="HVZ29" t="s">
        <v>836</v>
      </c>
      <c r="HWA29" t="s">
        <v>836</v>
      </c>
      <c r="HWB29" t="s">
        <v>836</v>
      </c>
      <c r="HWC29" t="s">
        <v>836</v>
      </c>
      <c r="HWD29" t="s">
        <v>836</v>
      </c>
      <c r="HWE29" t="s">
        <v>836</v>
      </c>
      <c r="HWF29" t="s">
        <v>836</v>
      </c>
      <c r="HWG29" t="s">
        <v>836</v>
      </c>
      <c r="HWH29" t="s">
        <v>836</v>
      </c>
      <c r="HWI29" t="s">
        <v>836</v>
      </c>
      <c r="HWJ29" t="s">
        <v>836</v>
      </c>
      <c r="HWK29" t="s">
        <v>836</v>
      </c>
      <c r="HWL29" t="s">
        <v>836</v>
      </c>
      <c r="HWM29" t="s">
        <v>836</v>
      </c>
      <c r="HWN29" t="s">
        <v>836</v>
      </c>
      <c r="HWO29" t="s">
        <v>836</v>
      </c>
      <c r="HWP29" t="s">
        <v>836</v>
      </c>
      <c r="HWQ29" t="s">
        <v>836</v>
      </c>
      <c r="HWR29" t="s">
        <v>836</v>
      </c>
      <c r="HWS29" t="s">
        <v>836</v>
      </c>
      <c r="HWT29" t="s">
        <v>836</v>
      </c>
      <c r="HWU29" t="s">
        <v>836</v>
      </c>
      <c r="HWV29" t="s">
        <v>836</v>
      </c>
      <c r="HWW29" t="s">
        <v>836</v>
      </c>
      <c r="HWX29" t="s">
        <v>836</v>
      </c>
      <c r="HWY29" t="s">
        <v>836</v>
      </c>
      <c r="HWZ29" t="s">
        <v>836</v>
      </c>
      <c r="HXA29" t="s">
        <v>836</v>
      </c>
      <c r="HXB29" t="s">
        <v>836</v>
      </c>
      <c r="HXC29" t="s">
        <v>836</v>
      </c>
      <c r="HXD29" t="s">
        <v>836</v>
      </c>
      <c r="HXE29" t="s">
        <v>836</v>
      </c>
      <c r="HXF29" t="s">
        <v>836</v>
      </c>
      <c r="HXG29" t="s">
        <v>836</v>
      </c>
      <c r="HXH29" t="s">
        <v>836</v>
      </c>
      <c r="HXI29" t="s">
        <v>836</v>
      </c>
      <c r="HXJ29" t="s">
        <v>836</v>
      </c>
      <c r="HXK29" t="s">
        <v>836</v>
      </c>
      <c r="HXL29" t="s">
        <v>836</v>
      </c>
      <c r="HXM29" t="s">
        <v>836</v>
      </c>
      <c r="HXN29" t="s">
        <v>836</v>
      </c>
      <c r="HXO29" t="s">
        <v>836</v>
      </c>
      <c r="HXP29" t="s">
        <v>836</v>
      </c>
      <c r="HXQ29" t="s">
        <v>836</v>
      </c>
      <c r="HXR29" t="s">
        <v>836</v>
      </c>
      <c r="HXS29" t="s">
        <v>836</v>
      </c>
      <c r="HXT29" t="s">
        <v>836</v>
      </c>
      <c r="HXU29" t="s">
        <v>836</v>
      </c>
      <c r="HXV29" t="s">
        <v>836</v>
      </c>
      <c r="HXW29" t="s">
        <v>836</v>
      </c>
      <c r="HXX29" t="s">
        <v>836</v>
      </c>
      <c r="HXY29" t="s">
        <v>836</v>
      </c>
      <c r="HXZ29" t="s">
        <v>836</v>
      </c>
      <c r="HYA29" t="s">
        <v>836</v>
      </c>
      <c r="HYB29" t="s">
        <v>836</v>
      </c>
      <c r="HYC29" t="s">
        <v>836</v>
      </c>
      <c r="HYD29" t="s">
        <v>836</v>
      </c>
      <c r="HYE29" t="s">
        <v>836</v>
      </c>
      <c r="HYF29" t="s">
        <v>836</v>
      </c>
      <c r="HYG29" t="s">
        <v>836</v>
      </c>
      <c r="HYH29" t="s">
        <v>836</v>
      </c>
      <c r="HYI29" t="s">
        <v>836</v>
      </c>
      <c r="HYJ29" t="s">
        <v>836</v>
      </c>
      <c r="HYK29" t="s">
        <v>836</v>
      </c>
      <c r="HYL29" t="s">
        <v>836</v>
      </c>
      <c r="HYM29" t="s">
        <v>836</v>
      </c>
      <c r="HYN29" t="s">
        <v>836</v>
      </c>
      <c r="HYO29" t="s">
        <v>836</v>
      </c>
      <c r="HYP29" t="s">
        <v>836</v>
      </c>
      <c r="HYQ29" t="s">
        <v>836</v>
      </c>
      <c r="HYR29" t="s">
        <v>836</v>
      </c>
      <c r="HYS29" t="s">
        <v>836</v>
      </c>
      <c r="HYT29" t="s">
        <v>836</v>
      </c>
      <c r="HYU29" t="s">
        <v>836</v>
      </c>
      <c r="HYV29" t="s">
        <v>836</v>
      </c>
      <c r="HYW29" t="s">
        <v>836</v>
      </c>
      <c r="HYX29" t="s">
        <v>836</v>
      </c>
      <c r="HYY29" t="s">
        <v>836</v>
      </c>
      <c r="HYZ29" t="s">
        <v>836</v>
      </c>
      <c r="HZA29" t="s">
        <v>836</v>
      </c>
      <c r="HZB29" t="s">
        <v>836</v>
      </c>
      <c r="HZC29" t="s">
        <v>836</v>
      </c>
      <c r="HZD29" t="s">
        <v>836</v>
      </c>
      <c r="HZE29" t="s">
        <v>836</v>
      </c>
      <c r="HZF29" t="s">
        <v>836</v>
      </c>
      <c r="HZG29" t="s">
        <v>836</v>
      </c>
      <c r="HZH29" t="s">
        <v>836</v>
      </c>
      <c r="HZI29" t="s">
        <v>836</v>
      </c>
      <c r="HZJ29" t="s">
        <v>836</v>
      </c>
      <c r="HZK29" t="s">
        <v>836</v>
      </c>
      <c r="HZL29" t="s">
        <v>836</v>
      </c>
      <c r="HZM29" t="s">
        <v>836</v>
      </c>
      <c r="HZN29" t="s">
        <v>836</v>
      </c>
      <c r="HZO29" t="s">
        <v>836</v>
      </c>
      <c r="HZP29" t="s">
        <v>836</v>
      </c>
      <c r="HZQ29" t="s">
        <v>836</v>
      </c>
      <c r="HZR29" t="s">
        <v>836</v>
      </c>
      <c r="HZS29" t="s">
        <v>836</v>
      </c>
      <c r="HZT29" t="s">
        <v>836</v>
      </c>
      <c r="HZU29" t="s">
        <v>836</v>
      </c>
      <c r="HZV29" t="s">
        <v>836</v>
      </c>
      <c r="HZW29" t="s">
        <v>836</v>
      </c>
      <c r="HZX29" t="s">
        <v>836</v>
      </c>
      <c r="HZY29" t="s">
        <v>836</v>
      </c>
      <c r="HZZ29" t="s">
        <v>836</v>
      </c>
      <c r="IAA29" t="s">
        <v>836</v>
      </c>
      <c r="IAB29" t="s">
        <v>836</v>
      </c>
      <c r="IAC29" t="s">
        <v>836</v>
      </c>
      <c r="IAD29" t="s">
        <v>836</v>
      </c>
      <c r="IAE29" t="s">
        <v>836</v>
      </c>
      <c r="IAF29" t="s">
        <v>836</v>
      </c>
      <c r="IAG29" t="s">
        <v>836</v>
      </c>
      <c r="IAH29" t="s">
        <v>836</v>
      </c>
      <c r="IAI29" t="s">
        <v>836</v>
      </c>
      <c r="IAJ29" t="s">
        <v>836</v>
      </c>
      <c r="IAK29" t="s">
        <v>836</v>
      </c>
      <c r="IAL29" t="s">
        <v>836</v>
      </c>
      <c r="IAM29" t="s">
        <v>836</v>
      </c>
      <c r="IAN29" t="s">
        <v>836</v>
      </c>
      <c r="IAO29" t="s">
        <v>836</v>
      </c>
      <c r="IAP29" t="s">
        <v>836</v>
      </c>
      <c r="IAQ29" t="s">
        <v>836</v>
      </c>
      <c r="IAR29" t="s">
        <v>836</v>
      </c>
      <c r="IAS29" t="s">
        <v>836</v>
      </c>
      <c r="IAT29" t="s">
        <v>836</v>
      </c>
      <c r="IAU29" t="s">
        <v>836</v>
      </c>
      <c r="IAV29" t="s">
        <v>836</v>
      </c>
      <c r="IAW29" t="s">
        <v>836</v>
      </c>
      <c r="IAX29" t="s">
        <v>836</v>
      </c>
      <c r="IAY29" t="s">
        <v>836</v>
      </c>
      <c r="IAZ29" t="s">
        <v>836</v>
      </c>
      <c r="IBA29" t="s">
        <v>836</v>
      </c>
      <c r="IBB29" t="s">
        <v>836</v>
      </c>
      <c r="IBC29" t="s">
        <v>836</v>
      </c>
      <c r="IBD29" t="s">
        <v>836</v>
      </c>
      <c r="IBE29" t="s">
        <v>836</v>
      </c>
      <c r="IBF29" t="s">
        <v>836</v>
      </c>
      <c r="IBG29" t="s">
        <v>836</v>
      </c>
      <c r="IBH29" t="s">
        <v>836</v>
      </c>
      <c r="IBI29" t="s">
        <v>836</v>
      </c>
      <c r="IBJ29" t="s">
        <v>836</v>
      </c>
      <c r="IBK29" t="s">
        <v>836</v>
      </c>
      <c r="IBL29" t="s">
        <v>836</v>
      </c>
      <c r="IBM29" t="s">
        <v>836</v>
      </c>
      <c r="IBN29" t="s">
        <v>836</v>
      </c>
      <c r="IBO29" t="s">
        <v>836</v>
      </c>
      <c r="IBP29" t="s">
        <v>836</v>
      </c>
      <c r="IBQ29" t="s">
        <v>836</v>
      </c>
      <c r="IBR29" t="s">
        <v>836</v>
      </c>
      <c r="IBS29" t="s">
        <v>836</v>
      </c>
      <c r="IBT29" t="s">
        <v>836</v>
      </c>
      <c r="IBU29" t="s">
        <v>836</v>
      </c>
      <c r="IBV29" t="s">
        <v>836</v>
      </c>
      <c r="IBW29" t="s">
        <v>836</v>
      </c>
      <c r="IBX29" t="s">
        <v>836</v>
      </c>
      <c r="IBY29" t="s">
        <v>836</v>
      </c>
      <c r="IBZ29" t="s">
        <v>836</v>
      </c>
      <c r="ICA29" t="s">
        <v>836</v>
      </c>
      <c r="ICB29" t="s">
        <v>836</v>
      </c>
      <c r="ICC29" t="s">
        <v>836</v>
      </c>
      <c r="ICD29" t="s">
        <v>836</v>
      </c>
      <c r="ICE29" t="s">
        <v>836</v>
      </c>
      <c r="ICF29" t="s">
        <v>836</v>
      </c>
      <c r="ICG29" t="s">
        <v>836</v>
      </c>
      <c r="ICH29" t="s">
        <v>836</v>
      </c>
      <c r="ICI29" t="s">
        <v>836</v>
      </c>
      <c r="ICJ29" t="s">
        <v>836</v>
      </c>
      <c r="ICK29" t="s">
        <v>836</v>
      </c>
      <c r="ICL29" t="s">
        <v>836</v>
      </c>
      <c r="ICM29" t="s">
        <v>836</v>
      </c>
      <c r="ICN29" t="s">
        <v>836</v>
      </c>
      <c r="ICO29" t="s">
        <v>836</v>
      </c>
      <c r="ICP29" t="s">
        <v>836</v>
      </c>
      <c r="ICQ29" t="s">
        <v>836</v>
      </c>
      <c r="ICR29" t="s">
        <v>836</v>
      </c>
      <c r="ICS29" t="s">
        <v>836</v>
      </c>
      <c r="ICT29" t="s">
        <v>836</v>
      </c>
      <c r="ICU29" t="s">
        <v>836</v>
      </c>
      <c r="ICV29" t="s">
        <v>836</v>
      </c>
      <c r="ICW29" t="s">
        <v>836</v>
      </c>
      <c r="ICX29" t="s">
        <v>836</v>
      </c>
      <c r="ICY29" t="s">
        <v>836</v>
      </c>
      <c r="ICZ29" t="s">
        <v>836</v>
      </c>
      <c r="IDA29" t="s">
        <v>836</v>
      </c>
      <c r="IDB29" t="s">
        <v>836</v>
      </c>
      <c r="IDC29" t="s">
        <v>836</v>
      </c>
      <c r="IDD29" t="s">
        <v>836</v>
      </c>
      <c r="IDE29" t="s">
        <v>836</v>
      </c>
      <c r="IDF29" t="s">
        <v>836</v>
      </c>
      <c r="IDG29" t="s">
        <v>836</v>
      </c>
      <c r="IDH29" t="s">
        <v>836</v>
      </c>
      <c r="IDI29" t="s">
        <v>836</v>
      </c>
      <c r="IDJ29" t="s">
        <v>836</v>
      </c>
      <c r="IDK29" t="s">
        <v>836</v>
      </c>
      <c r="IDL29" t="s">
        <v>836</v>
      </c>
      <c r="IDM29" t="s">
        <v>836</v>
      </c>
      <c r="IDN29" t="s">
        <v>836</v>
      </c>
      <c r="IDO29" t="s">
        <v>836</v>
      </c>
      <c r="IDP29" t="s">
        <v>836</v>
      </c>
      <c r="IDQ29" t="s">
        <v>836</v>
      </c>
      <c r="IDR29" t="s">
        <v>836</v>
      </c>
      <c r="IDS29" t="s">
        <v>836</v>
      </c>
      <c r="IDT29" t="s">
        <v>836</v>
      </c>
      <c r="IDU29" t="s">
        <v>836</v>
      </c>
      <c r="IDV29" t="s">
        <v>836</v>
      </c>
      <c r="IDW29" t="s">
        <v>836</v>
      </c>
      <c r="IDX29" t="s">
        <v>836</v>
      </c>
      <c r="IDY29" t="s">
        <v>836</v>
      </c>
      <c r="IDZ29" t="s">
        <v>836</v>
      </c>
      <c r="IEA29" t="s">
        <v>836</v>
      </c>
      <c r="IEB29" t="s">
        <v>836</v>
      </c>
      <c r="IEC29" t="s">
        <v>836</v>
      </c>
      <c r="IED29" t="s">
        <v>836</v>
      </c>
      <c r="IEE29" t="s">
        <v>836</v>
      </c>
      <c r="IEF29" t="s">
        <v>836</v>
      </c>
      <c r="IEG29" t="s">
        <v>836</v>
      </c>
      <c r="IEH29" t="s">
        <v>836</v>
      </c>
      <c r="IEI29" t="s">
        <v>836</v>
      </c>
      <c r="IEJ29" t="s">
        <v>836</v>
      </c>
      <c r="IEK29" t="s">
        <v>836</v>
      </c>
      <c r="IEL29" t="s">
        <v>836</v>
      </c>
      <c r="IEM29" t="s">
        <v>836</v>
      </c>
      <c r="IEN29" t="s">
        <v>836</v>
      </c>
      <c r="IEO29" t="s">
        <v>836</v>
      </c>
      <c r="IEP29" t="s">
        <v>836</v>
      </c>
      <c r="IEQ29" t="s">
        <v>836</v>
      </c>
      <c r="IER29" t="s">
        <v>836</v>
      </c>
      <c r="IES29" t="s">
        <v>836</v>
      </c>
      <c r="IET29" t="s">
        <v>836</v>
      </c>
      <c r="IEU29" t="s">
        <v>836</v>
      </c>
      <c r="IEV29" t="s">
        <v>836</v>
      </c>
      <c r="IEW29" t="s">
        <v>836</v>
      </c>
      <c r="IEX29" t="s">
        <v>836</v>
      </c>
      <c r="IEY29" t="s">
        <v>836</v>
      </c>
      <c r="IEZ29" t="s">
        <v>836</v>
      </c>
      <c r="IFA29" t="s">
        <v>836</v>
      </c>
      <c r="IFB29" t="s">
        <v>836</v>
      </c>
      <c r="IFC29" t="s">
        <v>836</v>
      </c>
      <c r="IFD29" t="s">
        <v>836</v>
      </c>
      <c r="IFE29" t="s">
        <v>836</v>
      </c>
      <c r="IFF29" t="s">
        <v>836</v>
      </c>
      <c r="IFG29" t="s">
        <v>836</v>
      </c>
      <c r="IFH29" t="s">
        <v>836</v>
      </c>
      <c r="IFI29" t="s">
        <v>836</v>
      </c>
      <c r="IFJ29" t="s">
        <v>836</v>
      </c>
      <c r="IFK29" t="s">
        <v>836</v>
      </c>
      <c r="IFL29" t="s">
        <v>836</v>
      </c>
      <c r="IFM29" t="s">
        <v>836</v>
      </c>
      <c r="IFN29" t="s">
        <v>836</v>
      </c>
      <c r="IFO29" t="s">
        <v>836</v>
      </c>
      <c r="IFP29" t="s">
        <v>836</v>
      </c>
      <c r="IFQ29" t="s">
        <v>836</v>
      </c>
      <c r="IFR29" t="s">
        <v>836</v>
      </c>
      <c r="IFS29" t="s">
        <v>836</v>
      </c>
      <c r="IFT29" t="s">
        <v>836</v>
      </c>
      <c r="IFU29" t="s">
        <v>836</v>
      </c>
      <c r="IFV29" t="s">
        <v>836</v>
      </c>
      <c r="IFW29" t="s">
        <v>836</v>
      </c>
      <c r="IFX29" t="s">
        <v>836</v>
      </c>
      <c r="IFY29" t="s">
        <v>836</v>
      </c>
      <c r="IFZ29" t="s">
        <v>836</v>
      </c>
      <c r="IGA29" t="s">
        <v>836</v>
      </c>
      <c r="IGB29" t="s">
        <v>836</v>
      </c>
      <c r="IGC29" t="s">
        <v>836</v>
      </c>
      <c r="IGD29" t="s">
        <v>836</v>
      </c>
      <c r="IGE29" t="s">
        <v>836</v>
      </c>
      <c r="IGF29" t="s">
        <v>836</v>
      </c>
      <c r="IGG29" t="s">
        <v>836</v>
      </c>
      <c r="IGH29" t="s">
        <v>836</v>
      </c>
      <c r="IGI29" t="s">
        <v>836</v>
      </c>
      <c r="IGJ29" t="s">
        <v>836</v>
      </c>
      <c r="IGK29" t="s">
        <v>836</v>
      </c>
      <c r="IGL29" t="s">
        <v>836</v>
      </c>
      <c r="IGM29" t="s">
        <v>836</v>
      </c>
      <c r="IGN29" t="s">
        <v>836</v>
      </c>
      <c r="IGO29" t="s">
        <v>836</v>
      </c>
      <c r="IGP29" t="s">
        <v>836</v>
      </c>
      <c r="IGQ29" t="s">
        <v>836</v>
      </c>
      <c r="IGR29" t="s">
        <v>836</v>
      </c>
      <c r="IGS29" t="s">
        <v>836</v>
      </c>
      <c r="IGT29" t="s">
        <v>836</v>
      </c>
      <c r="IGU29" t="s">
        <v>836</v>
      </c>
      <c r="IGV29" t="s">
        <v>836</v>
      </c>
      <c r="IGW29" t="s">
        <v>836</v>
      </c>
      <c r="IGX29" t="s">
        <v>836</v>
      </c>
      <c r="IGY29" t="s">
        <v>836</v>
      </c>
      <c r="IGZ29" t="s">
        <v>836</v>
      </c>
      <c r="IHA29" t="s">
        <v>836</v>
      </c>
      <c r="IHB29" t="s">
        <v>836</v>
      </c>
      <c r="IHC29" t="s">
        <v>836</v>
      </c>
      <c r="IHD29" t="s">
        <v>836</v>
      </c>
      <c r="IHE29" t="s">
        <v>836</v>
      </c>
      <c r="IHF29" t="s">
        <v>836</v>
      </c>
      <c r="IHG29" t="s">
        <v>836</v>
      </c>
      <c r="IHH29" t="s">
        <v>836</v>
      </c>
      <c r="IHI29" t="s">
        <v>836</v>
      </c>
      <c r="IHJ29" t="s">
        <v>836</v>
      </c>
      <c r="IHK29" t="s">
        <v>836</v>
      </c>
      <c r="IHL29" t="s">
        <v>836</v>
      </c>
      <c r="IHM29" t="s">
        <v>836</v>
      </c>
      <c r="IHN29" t="s">
        <v>836</v>
      </c>
      <c r="IHO29" t="s">
        <v>836</v>
      </c>
      <c r="IHP29" t="s">
        <v>836</v>
      </c>
      <c r="IHQ29" t="s">
        <v>836</v>
      </c>
      <c r="IHR29" t="s">
        <v>836</v>
      </c>
      <c r="IHS29" t="s">
        <v>836</v>
      </c>
      <c r="IHT29" t="s">
        <v>836</v>
      </c>
      <c r="IHU29" t="s">
        <v>836</v>
      </c>
      <c r="IHV29" t="s">
        <v>836</v>
      </c>
      <c r="IHW29" t="s">
        <v>836</v>
      </c>
      <c r="IHX29" t="s">
        <v>836</v>
      </c>
      <c r="IHY29" t="s">
        <v>836</v>
      </c>
      <c r="IHZ29" t="s">
        <v>836</v>
      </c>
      <c r="IIA29" t="s">
        <v>836</v>
      </c>
      <c r="IIB29" t="s">
        <v>836</v>
      </c>
      <c r="IIC29" t="s">
        <v>836</v>
      </c>
      <c r="IID29" t="s">
        <v>836</v>
      </c>
      <c r="IIE29" t="s">
        <v>836</v>
      </c>
      <c r="IIF29" t="s">
        <v>836</v>
      </c>
      <c r="IIG29" t="s">
        <v>836</v>
      </c>
      <c r="IIH29" t="s">
        <v>836</v>
      </c>
      <c r="III29" t="s">
        <v>836</v>
      </c>
      <c r="IIJ29" t="s">
        <v>836</v>
      </c>
      <c r="IIK29" t="s">
        <v>836</v>
      </c>
      <c r="IIL29" t="s">
        <v>836</v>
      </c>
      <c r="IIM29" t="s">
        <v>836</v>
      </c>
      <c r="IIN29" t="s">
        <v>836</v>
      </c>
      <c r="IIO29" t="s">
        <v>836</v>
      </c>
      <c r="IIP29" t="s">
        <v>836</v>
      </c>
      <c r="IIQ29" t="s">
        <v>836</v>
      </c>
      <c r="IIR29" t="s">
        <v>836</v>
      </c>
      <c r="IIS29" t="s">
        <v>836</v>
      </c>
      <c r="IIT29" t="s">
        <v>836</v>
      </c>
      <c r="IIU29" t="s">
        <v>836</v>
      </c>
      <c r="IIV29" t="s">
        <v>836</v>
      </c>
      <c r="IIW29" t="s">
        <v>836</v>
      </c>
      <c r="IIX29" t="s">
        <v>836</v>
      </c>
      <c r="IIY29" t="s">
        <v>836</v>
      </c>
      <c r="IIZ29" t="s">
        <v>836</v>
      </c>
      <c r="IJA29" t="s">
        <v>836</v>
      </c>
      <c r="IJB29" t="s">
        <v>836</v>
      </c>
      <c r="IJC29" t="s">
        <v>836</v>
      </c>
      <c r="IJD29" t="s">
        <v>836</v>
      </c>
      <c r="IJE29" t="s">
        <v>836</v>
      </c>
      <c r="IJF29" t="s">
        <v>836</v>
      </c>
      <c r="IJG29" t="s">
        <v>836</v>
      </c>
      <c r="IJH29" t="s">
        <v>836</v>
      </c>
      <c r="IJI29" t="s">
        <v>836</v>
      </c>
      <c r="IJJ29" t="s">
        <v>836</v>
      </c>
      <c r="IJK29" t="s">
        <v>836</v>
      </c>
      <c r="IJL29" t="s">
        <v>836</v>
      </c>
      <c r="IJM29" t="s">
        <v>836</v>
      </c>
      <c r="IJN29" t="s">
        <v>836</v>
      </c>
      <c r="IJO29" t="s">
        <v>836</v>
      </c>
      <c r="IJP29" t="s">
        <v>836</v>
      </c>
      <c r="IJQ29" t="s">
        <v>836</v>
      </c>
      <c r="IJR29" t="s">
        <v>836</v>
      </c>
      <c r="IJS29" t="s">
        <v>836</v>
      </c>
      <c r="IJT29" t="s">
        <v>836</v>
      </c>
      <c r="IJU29" t="s">
        <v>836</v>
      </c>
      <c r="IJV29" t="s">
        <v>836</v>
      </c>
      <c r="IJW29" t="s">
        <v>836</v>
      </c>
      <c r="IJX29" t="s">
        <v>836</v>
      </c>
      <c r="IJY29" t="s">
        <v>836</v>
      </c>
      <c r="IJZ29" t="s">
        <v>836</v>
      </c>
      <c r="IKA29" t="s">
        <v>836</v>
      </c>
      <c r="IKB29" t="s">
        <v>836</v>
      </c>
      <c r="IKC29" t="s">
        <v>836</v>
      </c>
      <c r="IKD29" t="s">
        <v>836</v>
      </c>
      <c r="IKE29" t="s">
        <v>836</v>
      </c>
      <c r="IKF29" t="s">
        <v>836</v>
      </c>
      <c r="IKG29" t="s">
        <v>836</v>
      </c>
      <c r="IKH29" t="s">
        <v>836</v>
      </c>
      <c r="IKI29" t="s">
        <v>836</v>
      </c>
      <c r="IKJ29" t="s">
        <v>836</v>
      </c>
      <c r="IKK29" t="s">
        <v>836</v>
      </c>
      <c r="IKL29" t="s">
        <v>836</v>
      </c>
      <c r="IKM29" t="s">
        <v>836</v>
      </c>
      <c r="IKN29" t="s">
        <v>836</v>
      </c>
      <c r="IKO29" t="s">
        <v>836</v>
      </c>
      <c r="IKP29" t="s">
        <v>836</v>
      </c>
      <c r="IKQ29" t="s">
        <v>836</v>
      </c>
      <c r="IKR29" t="s">
        <v>836</v>
      </c>
      <c r="IKS29" t="s">
        <v>836</v>
      </c>
      <c r="IKT29" t="s">
        <v>836</v>
      </c>
      <c r="IKU29" t="s">
        <v>836</v>
      </c>
      <c r="IKV29" t="s">
        <v>836</v>
      </c>
      <c r="IKW29" t="s">
        <v>836</v>
      </c>
      <c r="IKX29" t="s">
        <v>836</v>
      </c>
      <c r="IKY29" t="s">
        <v>836</v>
      </c>
      <c r="IKZ29" t="s">
        <v>836</v>
      </c>
      <c r="ILA29" t="s">
        <v>836</v>
      </c>
      <c r="ILB29" t="s">
        <v>836</v>
      </c>
      <c r="ILC29" t="s">
        <v>836</v>
      </c>
      <c r="ILD29" t="s">
        <v>836</v>
      </c>
      <c r="ILE29" t="s">
        <v>836</v>
      </c>
      <c r="ILF29" t="s">
        <v>836</v>
      </c>
      <c r="ILG29" t="s">
        <v>836</v>
      </c>
      <c r="ILH29" t="s">
        <v>836</v>
      </c>
      <c r="ILI29" t="s">
        <v>836</v>
      </c>
      <c r="ILJ29" t="s">
        <v>836</v>
      </c>
      <c r="ILK29" t="s">
        <v>836</v>
      </c>
      <c r="ILL29" t="s">
        <v>836</v>
      </c>
      <c r="ILM29" t="s">
        <v>836</v>
      </c>
      <c r="ILN29" t="s">
        <v>836</v>
      </c>
      <c r="ILO29" t="s">
        <v>836</v>
      </c>
      <c r="ILP29" t="s">
        <v>836</v>
      </c>
      <c r="ILQ29" t="s">
        <v>836</v>
      </c>
      <c r="ILR29" t="s">
        <v>836</v>
      </c>
      <c r="ILS29" t="s">
        <v>836</v>
      </c>
      <c r="ILT29" t="s">
        <v>836</v>
      </c>
      <c r="ILU29" t="s">
        <v>836</v>
      </c>
      <c r="ILV29" t="s">
        <v>836</v>
      </c>
      <c r="ILW29" t="s">
        <v>836</v>
      </c>
      <c r="ILX29" t="s">
        <v>836</v>
      </c>
      <c r="ILY29" t="s">
        <v>836</v>
      </c>
      <c r="ILZ29" t="s">
        <v>836</v>
      </c>
      <c r="IMA29" t="s">
        <v>836</v>
      </c>
      <c r="IMB29" t="s">
        <v>836</v>
      </c>
      <c r="IMC29" t="s">
        <v>836</v>
      </c>
      <c r="IMD29" t="s">
        <v>836</v>
      </c>
      <c r="IME29" t="s">
        <v>836</v>
      </c>
      <c r="IMF29" t="s">
        <v>836</v>
      </c>
      <c r="IMG29" t="s">
        <v>836</v>
      </c>
      <c r="IMH29" t="s">
        <v>836</v>
      </c>
      <c r="IMI29" t="s">
        <v>836</v>
      </c>
      <c r="IMJ29" t="s">
        <v>836</v>
      </c>
      <c r="IMK29" t="s">
        <v>836</v>
      </c>
      <c r="IML29" t="s">
        <v>836</v>
      </c>
      <c r="IMM29" t="s">
        <v>836</v>
      </c>
      <c r="IMN29" t="s">
        <v>836</v>
      </c>
      <c r="IMO29" t="s">
        <v>836</v>
      </c>
      <c r="IMP29" t="s">
        <v>836</v>
      </c>
      <c r="IMQ29" t="s">
        <v>836</v>
      </c>
      <c r="IMR29" t="s">
        <v>836</v>
      </c>
      <c r="IMS29" t="s">
        <v>836</v>
      </c>
      <c r="IMT29" t="s">
        <v>836</v>
      </c>
      <c r="IMU29" t="s">
        <v>836</v>
      </c>
      <c r="IMV29" t="s">
        <v>836</v>
      </c>
      <c r="IMW29" t="s">
        <v>836</v>
      </c>
      <c r="IMX29" t="s">
        <v>836</v>
      </c>
      <c r="IMY29" t="s">
        <v>836</v>
      </c>
      <c r="IMZ29" t="s">
        <v>836</v>
      </c>
      <c r="INA29" t="s">
        <v>836</v>
      </c>
      <c r="INB29" t="s">
        <v>836</v>
      </c>
      <c r="INC29" t="s">
        <v>836</v>
      </c>
      <c r="IND29" t="s">
        <v>836</v>
      </c>
      <c r="INE29" t="s">
        <v>836</v>
      </c>
      <c r="INF29" t="s">
        <v>836</v>
      </c>
      <c r="ING29" t="s">
        <v>836</v>
      </c>
      <c r="INH29" t="s">
        <v>836</v>
      </c>
      <c r="INI29" t="s">
        <v>836</v>
      </c>
      <c r="INJ29" t="s">
        <v>836</v>
      </c>
      <c r="INK29" t="s">
        <v>836</v>
      </c>
      <c r="INL29" t="s">
        <v>836</v>
      </c>
      <c r="INM29" t="s">
        <v>836</v>
      </c>
      <c r="INN29" t="s">
        <v>836</v>
      </c>
      <c r="INO29" t="s">
        <v>836</v>
      </c>
      <c r="INP29" t="s">
        <v>836</v>
      </c>
      <c r="INQ29" t="s">
        <v>836</v>
      </c>
      <c r="INR29" t="s">
        <v>836</v>
      </c>
      <c r="INS29" t="s">
        <v>836</v>
      </c>
      <c r="INT29" t="s">
        <v>836</v>
      </c>
      <c r="INU29" t="s">
        <v>836</v>
      </c>
      <c r="INV29" t="s">
        <v>836</v>
      </c>
      <c r="INW29" t="s">
        <v>836</v>
      </c>
      <c r="INX29" t="s">
        <v>836</v>
      </c>
      <c r="INY29" t="s">
        <v>836</v>
      </c>
      <c r="INZ29" t="s">
        <v>836</v>
      </c>
      <c r="IOA29" t="s">
        <v>836</v>
      </c>
      <c r="IOB29" t="s">
        <v>836</v>
      </c>
      <c r="IOC29" t="s">
        <v>836</v>
      </c>
      <c r="IOD29" t="s">
        <v>836</v>
      </c>
      <c r="IOE29" t="s">
        <v>836</v>
      </c>
      <c r="IOF29" t="s">
        <v>836</v>
      </c>
      <c r="IOG29" t="s">
        <v>836</v>
      </c>
      <c r="IOH29" t="s">
        <v>836</v>
      </c>
      <c r="IOI29" t="s">
        <v>836</v>
      </c>
      <c r="IOJ29" t="s">
        <v>836</v>
      </c>
      <c r="IOK29" t="s">
        <v>836</v>
      </c>
      <c r="IOL29" t="s">
        <v>836</v>
      </c>
      <c r="IOM29" t="s">
        <v>836</v>
      </c>
      <c r="ION29" t="s">
        <v>836</v>
      </c>
      <c r="IOO29" t="s">
        <v>836</v>
      </c>
      <c r="IOP29" t="s">
        <v>836</v>
      </c>
      <c r="IOQ29" t="s">
        <v>836</v>
      </c>
      <c r="IOR29" t="s">
        <v>836</v>
      </c>
      <c r="IOS29" t="s">
        <v>836</v>
      </c>
      <c r="IOT29" t="s">
        <v>836</v>
      </c>
      <c r="IOU29" t="s">
        <v>836</v>
      </c>
      <c r="IOV29" t="s">
        <v>836</v>
      </c>
      <c r="IOW29" t="s">
        <v>836</v>
      </c>
      <c r="IOX29" t="s">
        <v>836</v>
      </c>
      <c r="IOY29" t="s">
        <v>836</v>
      </c>
      <c r="IOZ29" t="s">
        <v>836</v>
      </c>
      <c r="IPA29" t="s">
        <v>836</v>
      </c>
      <c r="IPB29" t="s">
        <v>836</v>
      </c>
      <c r="IPC29" t="s">
        <v>836</v>
      </c>
      <c r="IPD29" t="s">
        <v>836</v>
      </c>
      <c r="IPE29" t="s">
        <v>836</v>
      </c>
      <c r="IPF29" t="s">
        <v>836</v>
      </c>
      <c r="IPG29" t="s">
        <v>836</v>
      </c>
      <c r="IPH29" t="s">
        <v>836</v>
      </c>
      <c r="IPI29" t="s">
        <v>836</v>
      </c>
      <c r="IPJ29" t="s">
        <v>836</v>
      </c>
      <c r="IPK29" t="s">
        <v>836</v>
      </c>
      <c r="IPL29" t="s">
        <v>836</v>
      </c>
      <c r="IPM29" t="s">
        <v>836</v>
      </c>
      <c r="IPN29" t="s">
        <v>836</v>
      </c>
      <c r="IPO29" t="s">
        <v>836</v>
      </c>
      <c r="IPP29" t="s">
        <v>836</v>
      </c>
      <c r="IPQ29" t="s">
        <v>836</v>
      </c>
      <c r="IPR29" t="s">
        <v>836</v>
      </c>
      <c r="IPS29" t="s">
        <v>836</v>
      </c>
      <c r="IPT29" t="s">
        <v>836</v>
      </c>
      <c r="IPU29" t="s">
        <v>836</v>
      </c>
      <c r="IPV29" t="s">
        <v>836</v>
      </c>
      <c r="IPW29" t="s">
        <v>836</v>
      </c>
      <c r="IPX29" t="s">
        <v>836</v>
      </c>
      <c r="IPY29" t="s">
        <v>836</v>
      </c>
      <c r="IPZ29" t="s">
        <v>836</v>
      </c>
      <c r="IQA29" t="s">
        <v>836</v>
      </c>
      <c r="IQB29" t="s">
        <v>836</v>
      </c>
      <c r="IQC29" t="s">
        <v>836</v>
      </c>
      <c r="IQD29" t="s">
        <v>836</v>
      </c>
      <c r="IQE29" t="s">
        <v>836</v>
      </c>
      <c r="IQF29" t="s">
        <v>836</v>
      </c>
      <c r="IQG29" t="s">
        <v>836</v>
      </c>
      <c r="IQH29" t="s">
        <v>836</v>
      </c>
      <c r="IQI29" t="s">
        <v>836</v>
      </c>
      <c r="IQJ29" t="s">
        <v>836</v>
      </c>
      <c r="IQK29" t="s">
        <v>836</v>
      </c>
      <c r="IQL29" t="s">
        <v>836</v>
      </c>
      <c r="IQM29" t="s">
        <v>836</v>
      </c>
      <c r="IQN29" t="s">
        <v>836</v>
      </c>
      <c r="IQO29" t="s">
        <v>836</v>
      </c>
      <c r="IQP29" t="s">
        <v>836</v>
      </c>
      <c r="IQQ29" t="s">
        <v>836</v>
      </c>
      <c r="IQR29" t="s">
        <v>836</v>
      </c>
      <c r="IQS29" t="s">
        <v>836</v>
      </c>
      <c r="IQT29" t="s">
        <v>836</v>
      </c>
      <c r="IQU29" t="s">
        <v>836</v>
      </c>
      <c r="IQV29" t="s">
        <v>836</v>
      </c>
      <c r="IQW29" t="s">
        <v>836</v>
      </c>
      <c r="IQX29" t="s">
        <v>836</v>
      </c>
      <c r="IQY29" t="s">
        <v>836</v>
      </c>
      <c r="IQZ29" t="s">
        <v>836</v>
      </c>
      <c r="IRA29" t="s">
        <v>836</v>
      </c>
      <c r="IRB29" t="s">
        <v>836</v>
      </c>
      <c r="IRC29" t="s">
        <v>836</v>
      </c>
      <c r="IRD29" t="s">
        <v>836</v>
      </c>
      <c r="IRE29" t="s">
        <v>836</v>
      </c>
      <c r="IRF29" t="s">
        <v>836</v>
      </c>
      <c r="IRG29" t="s">
        <v>836</v>
      </c>
      <c r="IRH29" t="s">
        <v>836</v>
      </c>
      <c r="IRI29" t="s">
        <v>836</v>
      </c>
      <c r="IRJ29" t="s">
        <v>836</v>
      </c>
      <c r="IRK29" t="s">
        <v>836</v>
      </c>
      <c r="IRL29" t="s">
        <v>836</v>
      </c>
      <c r="IRM29" t="s">
        <v>836</v>
      </c>
      <c r="IRN29" t="s">
        <v>836</v>
      </c>
      <c r="IRO29" t="s">
        <v>836</v>
      </c>
      <c r="IRP29" t="s">
        <v>836</v>
      </c>
      <c r="IRQ29" t="s">
        <v>836</v>
      </c>
      <c r="IRR29" t="s">
        <v>836</v>
      </c>
      <c r="IRS29" t="s">
        <v>836</v>
      </c>
      <c r="IRT29" t="s">
        <v>836</v>
      </c>
      <c r="IRU29" t="s">
        <v>836</v>
      </c>
      <c r="IRV29" t="s">
        <v>836</v>
      </c>
      <c r="IRW29" t="s">
        <v>836</v>
      </c>
      <c r="IRX29" t="s">
        <v>836</v>
      </c>
      <c r="IRY29" t="s">
        <v>836</v>
      </c>
      <c r="IRZ29" t="s">
        <v>836</v>
      </c>
      <c r="ISA29" t="s">
        <v>836</v>
      </c>
      <c r="ISB29" t="s">
        <v>836</v>
      </c>
      <c r="ISC29" t="s">
        <v>836</v>
      </c>
      <c r="ISD29" t="s">
        <v>836</v>
      </c>
      <c r="ISE29" t="s">
        <v>836</v>
      </c>
      <c r="ISF29" t="s">
        <v>836</v>
      </c>
      <c r="ISG29" t="s">
        <v>836</v>
      </c>
      <c r="ISH29" t="s">
        <v>836</v>
      </c>
      <c r="ISI29" t="s">
        <v>836</v>
      </c>
      <c r="ISJ29" t="s">
        <v>836</v>
      </c>
      <c r="ISK29" t="s">
        <v>836</v>
      </c>
      <c r="ISL29" t="s">
        <v>836</v>
      </c>
      <c r="ISM29" t="s">
        <v>836</v>
      </c>
      <c r="ISN29" t="s">
        <v>836</v>
      </c>
      <c r="ISO29" t="s">
        <v>836</v>
      </c>
      <c r="ISP29" t="s">
        <v>836</v>
      </c>
      <c r="ISQ29" t="s">
        <v>836</v>
      </c>
      <c r="ISR29" t="s">
        <v>836</v>
      </c>
      <c r="ISS29" t="s">
        <v>836</v>
      </c>
      <c r="IST29" t="s">
        <v>836</v>
      </c>
      <c r="ISU29" t="s">
        <v>836</v>
      </c>
      <c r="ISV29" t="s">
        <v>836</v>
      </c>
      <c r="ISW29" t="s">
        <v>836</v>
      </c>
      <c r="ISX29" t="s">
        <v>836</v>
      </c>
      <c r="ISY29" t="s">
        <v>836</v>
      </c>
      <c r="ISZ29" t="s">
        <v>836</v>
      </c>
      <c r="ITA29" t="s">
        <v>836</v>
      </c>
      <c r="ITB29" t="s">
        <v>836</v>
      </c>
      <c r="ITC29" t="s">
        <v>836</v>
      </c>
      <c r="ITD29" t="s">
        <v>836</v>
      </c>
      <c r="ITE29" t="s">
        <v>836</v>
      </c>
      <c r="ITF29" t="s">
        <v>836</v>
      </c>
      <c r="ITG29" t="s">
        <v>836</v>
      </c>
      <c r="ITH29" t="s">
        <v>836</v>
      </c>
      <c r="ITI29" t="s">
        <v>836</v>
      </c>
      <c r="ITJ29" t="s">
        <v>836</v>
      </c>
      <c r="ITK29" t="s">
        <v>836</v>
      </c>
      <c r="ITL29" t="s">
        <v>836</v>
      </c>
      <c r="ITM29" t="s">
        <v>836</v>
      </c>
      <c r="ITN29" t="s">
        <v>836</v>
      </c>
      <c r="ITO29" t="s">
        <v>836</v>
      </c>
      <c r="ITP29" t="s">
        <v>836</v>
      </c>
      <c r="ITQ29" t="s">
        <v>836</v>
      </c>
      <c r="ITR29" t="s">
        <v>836</v>
      </c>
      <c r="ITS29" t="s">
        <v>836</v>
      </c>
      <c r="ITT29" t="s">
        <v>836</v>
      </c>
      <c r="ITU29" t="s">
        <v>836</v>
      </c>
      <c r="ITV29" t="s">
        <v>836</v>
      </c>
      <c r="ITW29" t="s">
        <v>836</v>
      </c>
      <c r="ITX29" t="s">
        <v>836</v>
      </c>
      <c r="ITY29" t="s">
        <v>836</v>
      </c>
      <c r="ITZ29" t="s">
        <v>836</v>
      </c>
      <c r="IUA29" t="s">
        <v>836</v>
      </c>
      <c r="IUB29" t="s">
        <v>836</v>
      </c>
      <c r="IUC29" t="s">
        <v>836</v>
      </c>
      <c r="IUD29" t="s">
        <v>836</v>
      </c>
      <c r="IUE29" t="s">
        <v>836</v>
      </c>
      <c r="IUF29" t="s">
        <v>836</v>
      </c>
      <c r="IUG29" t="s">
        <v>836</v>
      </c>
      <c r="IUH29" t="s">
        <v>836</v>
      </c>
      <c r="IUI29" t="s">
        <v>836</v>
      </c>
      <c r="IUJ29" t="s">
        <v>836</v>
      </c>
      <c r="IUK29" t="s">
        <v>836</v>
      </c>
      <c r="IUL29" t="s">
        <v>836</v>
      </c>
      <c r="IUM29" t="s">
        <v>836</v>
      </c>
      <c r="IUN29" t="s">
        <v>836</v>
      </c>
      <c r="IUO29" t="s">
        <v>836</v>
      </c>
      <c r="IUP29" t="s">
        <v>836</v>
      </c>
      <c r="IUQ29" t="s">
        <v>836</v>
      </c>
      <c r="IUR29" t="s">
        <v>836</v>
      </c>
      <c r="IUS29" t="s">
        <v>836</v>
      </c>
      <c r="IUT29" t="s">
        <v>836</v>
      </c>
      <c r="IUU29" t="s">
        <v>836</v>
      </c>
      <c r="IUV29" t="s">
        <v>836</v>
      </c>
      <c r="IUW29" t="s">
        <v>836</v>
      </c>
      <c r="IUX29" t="s">
        <v>836</v>
      </c>
      <c r="IUY29" t="s">
        <v>836</v>
      </c>
      <c r="IUZ29" t="s">
        <v>836</v>
      </c>
      <c r="IVA29" t="s">
        <v>836</v>
      </c>
      <c r="IVB29" t="s">
        <v>836</v>
      </c>
      <c r="IVC29" t="s">
        <v>836</v>
      </c>
      <c r="IVD29" t="s">
        <v>836</v>
      </c>
      <c r="IVE29" t="s">
        <v>836</v>
      </c>
      <c r="IVF29" t="s">
        <v>836</v>
      </c>
      <c r="IVG29" t="s">
        <v>836</v>
      </c>
      <c r="IVH29" t="s">
        <v>836</v>
      </c>
      <c r="IVI29" t="s">
        <v>836</v>
      </c>
      <c r="IVJ29" t="s">
        <v>836</v>
      </c>
      <c r="IVK29" t="s">
        <v>836</v>
      </c>
      <c r="IVL29" t="s">
        <v>836</v>
      </c>
      <c r="IVM29" t="s">
        <v>836</v>
      </c>
      <c r="IVN29" t="s">
        <v>836</v>
      </c>
      <c r="IVO29" t="s">
        <v>836</v>
      </c>
      <c r="IVP29" t="s">
        <v>836</v>
      </c>
      <c r="IVQ29" t="s">
        <v>836</v>
      </c>
      <c r="IVR29" t="s">
        <v>836</v>
      </c>
      <c r="IVS29" t="s">
        <v>836</v>
      </c>
      <c r="IVT29" t="s">
        <v>836</v>
      </c>
      <c r="IVU29" t="s">
        <v>836</v>
      </c>
      <c r="IVV29" t="s">
        <v>836</v>
      </c>
      <c r="IVW29" t="s">
        <v>836</v>
      </c>
      <c r="IVX29" t="s">
        <v>836</v>
      </c>
      <c r="IVY29" t="s">
        <v>836</v>
      </c>
      <c r="IVZ29" t="s">
        <v>836</v>
      </c>
      <c r="IWA29" t="s">
        <v>836</v>
      </c>
      <c r="IWB29" t="s">
        <v>836</v>
      </c>
      <c r="IWC29" t="s">
        <v>836</v>
      </c>
      <c r="IWD29" t="s">
        <v>836</v>
      </c>
      <c r="IWE29" t="s">
        <v>836</v>
      </c>
      <c r="IWF29" t="s">
        <v>836</v>
      </c>
      <c r="IWG29" t="s">
        <v>836</v>
      </c>
      <c r="IWH29" t="s">
        <v>836</v>
      </c>
      <c r="IWI29" t="s">
        <v>836</v>
      </c>
      <c r="IWJ29" t="s">
        <v>836</v>
      </c>
      <c r="IWK29" t="s">
        <v>836</v>
      </c>
      <c r="IWL29" t="s">
        <v>836</v>
      </c>
      <c r="IWM29" t="s">
        <v>836</v>
      </c>
      <c r="IWN29" t="s">
        <v>836</v>
      </c>
      <c r="IWO29" t="s">
        <v>836</v>
      </c>
      <c r="IWP29" t="s">
        <v>836</v>
      </c>
      <c r="IWQ29" t="s">
        <v>836</v>
      </c>
      <c r="IWR29" t="s">
        <v>836</v>
      </c>
      <c r="IWS29" t="s">
        <v>836</v>
      </c>
      <c r="IWT29" t="s">
        <v>836</v>
      </c>
      <c r="IWU29" t="s">
        <v>836</v>
      </c>
      <c r="IWV29" t="s">
        <v>836</v>
      </c>
      <c r="IWW29" t="s">
        <v>836</v>
      </c>
      <c r="IWX29" t="s">
        <v>836</v>
      </c>
      <c r="IWY29" t="s">
        <v>836</v>
      </c>
      <c r="IWZ29" t="s">
        <v>836</v>
      </c>
      <c r="IXA29" t="s">
        <v>836</v>
      </c>
      <c r="IXB29" t="s">
        <v>836</v>
      </c>
      <c r="IXC29" t="s">
        <v>836</v>
      </c>
      <c r="IXD29" t="s">
        <v>836</v>
      </c>
      <c r="IXE29" t="s">
        <v>836</v>
      </c>
      <c r="IXF29" t="s">
        <v>836</v>
      </c>
      <c r="IXG29" t="s">
        <v>836</v>
      </c>
      <c r="IXH29" t="s">
        <v>836</v>
      </c>
      <c r="IXI29" t="s">
        <v>836</v>
      </c>
      <c r="IXJ29" t="s">
        <v>836</v>
      </c>
      <c r="IXK29" t="s">
        <v>836</v>
      </c>
      <c r="IXL29" t="s">
        <v>836</v>
      </c>
      <c r="IXM29" t="s">
        <v>836</v>
      </c>
      <c r="IXN29" t="s">
        <v>836</v>
      </c>
      <c r="IXO29" t="s">
        <v>836</v>
      </c>
      <c r="IXP29" t="s">
        <v>836</v>
      </c>
      <c r="IXQ29" t="s">
        <v>836</v>
      </c>
      <c r="IXR29" t="s">
        <v>836</v>
      </c>
      <c r="IXS29" t="s">
        <v>836</v>
      </c>
      <c r="IXT29" t="s">
        <v>836</v>
      </c>
      <c r="IXU29" t="s">
        <v>836</v>
      </c>
      <c r="IXV29" t="s">
        <v>836</v>
      </c>
      <c r="IXW29" t="s">
        <v>836</v>
      </c>
      <c r="IXX29" t="s">
        <v>836</v>
      </c>
      <c r="IXY29" t="s">
        <v>836</v>
      </c>
      <c r="IXZ29" t="s">
        <v>836</v>
      </c>
      <c r="IYA29" t="s">
        <v>836</v>
      </c>
      <c r="IYB29" t="s">
        <v>836</v>
      </c>
      <c r="IYC29" t="s">
        <v>836</v>
      </c>
      <c r="IYD29" t="s">
        <v>836</v>
      </c>
      <c r="IYE29" t="s">
        <v>836</v>
      </c>
      <c r="IYF29" t="s">
        <v>836</v>
      </c>
      <c r="IYG29" t="s">
        <v>836</v>
      </c>
      <c r="IYH29" t="s">
        <v>836</v>
      </c>
      <c r="IYI29" t="s">
        <v>836</v>
      </c>
      <c r="IYJ29" t="s">
        <v>836</v>
      </c>
      <c r="IYK29" t="s">
        <v>836</v>
      </c>
      <c r="IYL29" t="s">
        <v>836</v>
      </c>
      <c r="IYM29" t="s">
        <v>836</v>
      </c>
      <c r="IYN29" t="s">
        <v>836</v>
      </c>
      <c r="IYO29" t="s">
        <v>836</v>
      </c>
      <c r="IYP29" t="s">
        <v>836</v>
      </c>
      <c r="IYQ29" t="s">
        <v>836</v>
      </c>
      <c r="IYR29" t="s">
        <v>836</v>
      </c>
      <c r="IYS29" t="s">
        <v>836</v>
      </c>
      <c r="IYT29" t="s">
        <v>836</v>
      </c>
      <c r="IYU29" t="s">
        <v>836</v>
      </c>
      <c r="IYV29" t="s">
        <v>836</v>
      </c>
      <c r="IYW29" t="s">
        <v>836</v>
      </c>
      <c r="IYX29" t="s">
        <v>836</v>
      </c>
      <c r="IYY29" t="s">
        <v>836</v>
      </c>
      <c r="IYZ29" t="s">
        <v>836</v>
      </c>
      <c r="IZA29" t="s">
        <v>836</v>
      </c>
      <c r="IZB29" t="s">
        <v>836</v>
      </c>
      <c r="IZC29" t="s">
        <v>836</v>
      </c>
      <c r="IZD29" t="s">
        <v>836</v>
      </c>
      <c r="IZE29" t="s">
        <v>836</v>
      </c>
      <c r="IZF29" t="s">
        <v>836</v>
      </c>
      <c r="IZG29" t="s">
        <v>836</v>
      </c>
      <c r="IZH29" t="s">
        <v>836</v>
      </c>
      <c r="IZI29" t="s">
        <v>836</v>
      </c>
      <c r="IZJ29" t="s">
        <v>836</v>
      </c>
      <c r="IZK29" t="s">
        <v>836</v>
      </c>
      <c r="IZL29" t="s">
        <v>836</v>
      </c>
      <c r="IZM29" t="s">
        <v>836</v>
      </c>
      <c r="IZN29" t="s">
        <v>836</v>
      </c>
      <c r="IZO29" t="s">
        <v>836</v>
      </c>
      <c r="IZP29" t="s">
        <v>836</v>
      </c>
      <c r="IZQ29" t="s">
        <v>836</v>
      </c>
      <c r="IZR29" t="s">
        <v>836</v>
      </c>
      <c r="IZS29" t="s">
        <v>836</v>
      </c>
      <c r="IZT29" t="s">
        <v>836</v>
      </c>
      <c r="IZU29" t="s">
        <v>836</v>
      </c>
      <c r="IZV29" t="s">
        <v>836</v>
      </c>
      <c r="IZW29" t="s">
        <v>836</v>
      </c>
      <c r="IZX29" t="s">
        <v>836</v>
      </c>
      <c r="IZY29" t="s">
        <v>836</v>
      </c>
      <c r="IZZ29" t="s">
        <v>836</v>
      </c>
      <c r="JAA29" t="s">
        <v>836</v>
      </c>
      <c r="JAB29" t="s">
        <v>836</v>
      </c>
      <c r="JAC29" t="s">
        <v>836</v>
      </c>
      <c r="JAD29" t="s">
        <v>836</v>
      </c>
      <c r="JAE29" t="s">
        <v>836</v>
      </c>
      <c r="JAF29" t="s">
        <v>836</v>
      </c>
      <c r="JAG29" t="s">
        <v>836</v>
      </c>
      <c r="JAH29" t="s">
        <v>836</v>
      </c>
      <c r="JAI29" t="s">
        <v>836</v>
      </c>
      <c r="JAJ29" t="s">
        <v>836</v>
      </c>
      <c r="JAK29" t="s">
        <v>836</v>
      </c>
      <c r="JAL29" t="s">
        <v>836</v>
      </c>
      <c r="JAM29" t="s">
        <v>836</v>
      </c>
      <c r="JAN29" t="s">
        <v>836</v>
      </c>
      <c r="JAO29" t="s">
        <v>836</v>
      </c>
      <c r="JAP29" t="s">
        <v>836</v>
      </c>
      <c r="JAQ29" t="s">
        <v>836</v>
      </c>
      <c r="JAR29" t="s">
        <v>836</v>
      </c>
      <c r="JAS29" t="s">
        <v>836</v>
      </c>
      <c r="JAT29" t="s">
        <v>836</v>
      </c>
      <c r="JAU29" t="s">
        <v>836</v>
      </c>
      <c r="JAV29" t="s">
        <v>836</v>
      </c>
      <c r="JAW29" t="s">
        <v>836</v>
      </c>
      <c r="JAX29" t="s">
        <v>836</v>
      </c>
      <c r="JAY29" t="s">
        <v>836</v>
      </c>
      <c r="JAZ29" t="s">
        <v>836</v>
      </c>
      <c r="JBA29" t="s">
        <v>836</v>
      </c>
      <c r="JBB29" t="s">
        <v>836</v>
      </c>
      <c r="JBC29" t="s">
        <v>836</v>
      </c>
      <c r="JBD29" t="s">
        <v>836</v>
      </c>
      <c r="JBE29" t="s">
        <v>836</v>
      </c>
      <c r="JBF29" t="s">
        <v>836</v>
      </c>
      <c r="JBG29" t="s">
        <v>836</v>
      </c>
      <c r="JBH29" t="s">
        <v>836</v>
      </c>
      <c r="JBI29" t="s">
        <v>836</v>
      </c>
      <c r="JBJ29" t="s">
        <v>836</v>
      </c>
      <c r="JBK29" t="s">
        <v>836</v>
      </c>
      <c r="JBL29" t="s">
        <v>836</v>
      </c>
      <c r="JBM29" t="s">
        <v>836</v>
      </c>
      <c r="JBN29" t="s">
        <v>836</v>
      </c>
      <c r="JBO29" t="s">
        <v>836</v>
      </c>
      <c r="JBP29" t="s">
        <v>836</v>
      </c>
      <c r="JBQ29" t="s">
        <v>836</v>
      </c>
      <c r="JBR29" t="s">
        <v>836</v>
      </c>
      <c r="JBS29" t="s">
        <v>836</v>
      </c>
      <c r="JBT29" t="s">
        <v>836</v>
      </c>
      <c r="JBU29" t="s">
        <v>836</v>
      </c>
      <c r="JBV29" t="s">
        <v>836</v>
      </c>
      <c r="JBW29" t="s">
        <v>836</v>
      </c>
      <c r="JBX29" t="s">
        <v>836</v>
      </c>
      <c r="JBY29" t="s">
        <v>836</v>
      </c>
      <c r="JBZ29" t="s">
        <v>836</v>
      </c>
      <c r="JCA29" t="s">
        <v>836</v>
      </c>
      <c r="JCB29" t="s">
        <v>836</v>
      </c>
      <c r="JCC29" t="s">
        <v>836</v>
      </c>
      <c r="JCD29" t="s">
        <v>836</v>
      </c>
      <c r="JCE29" t="s">
        <v>836</v>
      </c>
      <c r="JCF29" t="s">
        <v>836</v>
      </c>
      <c r="JCG29" t="s">
        <v>836</v>
      </c>
      <c r="JCH29" t="s">
        <v>836</v>
      </c>
      <c r="JCI29" t="s">
        <v>836</v>
      </c>
      <c r="JCJ29" t="s">
        <v>836</v>
      </c>
      <c r="JCK29" t="s">
        <v>836</v>
      </c>
      <c r="JCL29" t="s">
        <v>836</v>
      </c>
      <c r="JCM29" t="s">
        <v>836</v>
      </c>
      <c r="JCN29" t="s">
        <v>836</v>
      </c>
      <c r="JCO29" t="s">
        <v>836</v>
      </c>
      <c r="JCP29" t="s">
        <v>836</v>
      </c>
      <c r="JCQ29" t="s">
        <v>836</v>
      </c>
      <c r="JCR29" t="s">
        <v>836</v>
      </c>
      <c r="JCS29" t="s">
        <v>836</v>
      </c>
      <c r="JCT29" t="s">
        <v>836</v>
      </c>
      <c r="JCU29" t="s">
        <v>836</v>
      </c>
      <c r="JCV29" t="s">
        <v>836</v>
      </c>
      <c r="JCW29" t="s">
        <v>836</v>
      </c>
      <c r="JCX29" t="s">
        <v>836</v>
      </c>
      <c r="JCY29" t="s">
        <v>836</v>
      </c>
      <c r="JCZ29" t="s">
        <v>836</v>
      </c>
      <c r="JDA29" t="s">
        <v>836</v>
      </c>
      <c r="JDB29" t="s">
        <v>836</v>
      </c>
      <c r="JDC29" t="s">
        <v>836</v>
      </c>
      <c r="JDD29" t="s">
        <v>836</v>
      </c>
      <c r="JDE29" t="s">
        <v>836</v>
      </c>
      <c r="JDF29" t="s">
        <v>836</v>
      </c>
      <c r="JDG29" t="s">
        <v>836</v>
      </c>
      <c r="JDH29" t="s">
        <v>836</v>
      </c>
      <c r="JDI29" t="s">
        <v>836</v>
      </c>
      <c r="JDJ29" t="s">
        <v>836</v>
      </c>
      <c r="JDK29" t="s">
        <v>836</v>
      </c>
      <c r="JDL29" t="s">
        <v>836</v>
      </c>
      <c r="JDM29" t="s">
        <v>836</v>
      </c>
      <c r="JDN29" t="s">
        <v>836</v>
      </c>
      <c r="JDO29" t="s">
        <v>836</v>
      </c>
      <c r="JDP29" t="s">
        <v>836</v>
      </c>
      <c r="JDQ29" t="s">
        <v>836</v>
      </c>
      <c r="JDR29" t="s">
        <v>836</v>
      </c>
      <c r="JDS29" t="s">
        <v>836</v>
      </c>
      <c r="JDT29" t="s">
        <v>836</v>
      </c>
      <c r="JDU29" t="s">
        <v>836</v>
      </c>
      <c r="JDV29" t="s">
        <v>836</v>
      </c>
      <c r="JDW29" t="s">
        <v>836</v>
      </c>
      <c r="JDX29" t="s">
        <v>836</v>
      </c>
      <c r="JDY29" t="s">
        <v>836</v>
      </c>
      <c r="JDZ29" t="s">
        <v>836</v>
      </c>
      <c r="JEA29" t="s">
        <v>836</v>
      </c>
      <c r="JEB29" t="s">
        <v>836</v>
      </c>
      <c r="JEC29" t="s">
        <v>836</v>
      </c>
      <c r="JED29" t="s">
        <v>836</v>
      </c>
      <c r="JEE29" t="s">
        <v>836</v>
      </c>
      <c r="JEF29" t="s">
        <v>836</v>
      </c>
      <c r="JEG29" t="s">
        <v>836</v>
      </c>
      <c r="JEH29" t="s">
        <v>836</v>
      </c>
      <c r="JEI29" t="s">
        <v>836</v>
      </c>
      <c r="JEJ29" t="s">
        <v>836</v>
      </c>
      <c r="JEK29" t="s">
        <v>836</v>
      </c>
      <c r="JEL29" t="s">
        <v>836</v>
      </c>
      <c r="JEM29" t="s">
        <v>836</v>
      </c>
      <c r="JEN29" t="s">
        <v>836</v>
      </c>
      <c r="JEO29" t="s">
        <v>836</v>
      </c>
      <c r="JEP29" t="s">
        <v>836</v>
      </c>
      <c r="JEQ29" t="s">
        <v>836</v>
      </c>
      <c r="JER29" t="s">
        <v>836</v>
      </c>
      <c r="JES29" t="s">
        <v>836</v>
      </c>
      <c r="JET29" t="s">
        <v>836</v>
      </c>
      <c r="JEU29" t="s">
        <v>836</v>
      </c>
      <c r="JEV29" t="s">
        <v>836</v>
      </c>
      <c r="JEW29" t="s">
        <v>836</v>
      </c>
      <c r="JEX29" t="s">
        <v>836</v>
      </c>
      <c r="JEY29" t="s">
        <v>836</v>
      </c>
      <c r="JEZ29" t="s">
        <v>836</v>
      </c>
      <c r="JFA29" t="s">
        <v>836</v>
      </c>
      <c r="JFB29" t="s">
        <v>836</v>
      </c>
      <c r="JFC29" t="s">
        <v>836</v>
      </c>
      <c r="JFD29" t="s">
        <v>836</v>
      </c>
      <c r="JFE29" t="s">
        <v>836</v>
      </c>
      <c r="JFF29" t="s">
        <v>836</v>
      </c>
      <c r="JFG29" t="s">
        <v>836</v>
      </c>
      <c r="JFH29" t="s">
        <v>836</v>
      </c>
      <c r="JFI29" t="s">
        <v>836</v>
      </c>
      <c r="JFJ29" t="s">
        <v>836</v>
      </c>
      <c r="JFK29" t="s">
        <v>836</v>
      </c>
      <c r="JFL29" t="s">
        <v>836</v>
      </c>
      <c r="JFM29" t="s">
        <v>836</v>
      </c>
      <c r="JFN29" t="s">
        <v>836</v>
      </c>
      <c r="JFO29" t="s">
        <v>836</v>
      </c>
      <c r="JFP29" t="s">
        <v>836</v>
      </c>
      <c r="JFQ29" t="s">
        <v>836</v>
      </c>
      <c r="JFR29" t="s">
        <v>836</v>
      </c>
      <c r="JFS29" t="s">
        <v>836</v>
      </c>
      <c r="JFT29" t="s">
        <v>836</v>
      </c>
      <c r="JFU29" t="s">
        <v>836</v>
      </c>
      <c r="JFV29" t="s">
        <v>836</v>
      </c>
      <c r="JFW29" t="s">
        <v>836</v>
      </c>
      <c r="JFX29" t="s">
        <v>836</v>
      </c>
      <c r="JFY29" t="s">
        <v>836</v>
      </c>
      <c r="JFZ29" t="s">
        <v>836</v>
      </c>
      <c r="JGA29" t="s">
        <v>836</v>
      </c>
      <c r="JGB29" t="s">
        <v>836</v>
      </c>
      <c r="JGC29" t="s">
        <v>836</v>
      </c>
      <c r="JGD29" t="s">
        <v>836</v>
      </c>
      <c r="JGE29" t="s">
        <v>836</v>
      </c>
      <c r="JGF29" t="s">
        <v>836</v>
      </c>
      <c r="JGG29" t="s">
        <v>836</v>
      </c>
      <c r="JGH29" t="s">
        <v>836</v>
      </c>
      <c r="JGI29" t="s">
        <v>836</v>
      </c>
      <c r="JGJ29" t="s">
        <v>836</v>
      </c>
      <c r="JGK29" t="s">
        <v>836</v>
      </c>
      <c r="JGL29" t="s">
        <v>836</v>
      </c>
      <c r="JGM29" t="s">
        <v>836</v>
      </c>
      <c r="JGN29" t="s">
        <v>836</v>
      </c>
      <c r="JGO29" t="s">
        <v>836</v>
      </c>
      <c r="JGP29" t="s">
        <v>836</v>
      </c>
      <c r="JGQ29" t="s">
        <v>836</v>
      </c>
      <c r="JGR29" t="s">
        <v>836</v>
      </c>
      <c r="JGS29" t="s">
        <v>836</v>
      </c>
      <c r="JGT29" t="s">
        <v>836</v>
      </c>
      <c r="JGU29" t="s">
        <v>836</v>
      </c>
      <c r="JGV29" t="s">
        <v>836</v>
      </c>
      <c r="JGW29" t="s">
        <v>836</v>
      </c>
      <c r="JGX29" t="s">
        <v>836</v>
      </c>
      <c r="JGY29" t="s">
        <v>836</v>
      </c>
      <c r="JGZ29" t="s">
        <v>836</v>
      </c>
      <c r="JHA29" t="s">
        <v>836</v>
      </c>
      <c r="JHB29" t="s">
        <v>836</v>
      </c>
      <c r="JHC29" t="s">
        <v>836</v>
      </c>
      <c r="JHD29" t="s">
        <v>836</v>
      </c>
      <c r="JHE29" t="s">
        <v>836</v>
      </c>
      <c r="JHF29" t="s">
        <v>836</v>
      </c>
      <c r="JHG29" t="s">
        <v>836</v>
      </c>
      <c r="JHH29" t="s">
        <v>836</v>
      </c>
      <c r="JHI29" t="s">
        <v>836</v>
      </c>
      <c r="JHJ29" t="s">
        <v>836</v>
      </c>
      <c r="JHK29" t="s">
        <v>836</v>
      </c>
      <c r="JHL29" t="s">
        <v>836</v>
      </c>
      <c r="JHM29" t="s">
        <v>836</v>
      </c>
      <c r="JHN29" t="s">
        <v>836</v>
      </c>
      <c r="JHO29" t="s">
        <v>836</v>
      </c>
      <c r="JHP29" t="s">
        <v>836</v>
      </c>
      <c r="JHQ29" t="s">
        <v>836</v>
      </c>
      <c r="JHR29" t="s">
        <v>836</v>
      </c>
      <c r="JHS29" t="s">
        <v>836</v>
      </c>
      <c r="JHT29" t="s">
        <v>836</v>
      </c>
      <c r="JHU29" t="s">
        <v>836</v>
      </c>
      <c r="JHV29" t="s">
        <v>836</v>
      </c>
      <c r="JHW29" t="s">
        <v>836</v>
      </c>
      <c r="JHX29" t="s">
        <v>836</v>
      </c>
      <c r="JHY29" t="s">
        <v>836</v>
      </c>
      <c r="JHZ29" t="s">
        <v>836</v>
      </c>
      <c r="JIA29" t="s">
        <v>836</v>
      </c>
      <c r="JIB29" t="s">
        <v>836</v>
      </c>
      <c r="JIC29" t="s">
        <v>836</v>
      </c>
      <c r="JID29" t="s">
        <v>836</v>
      </c>
      <c r="JIE29" t="s">
        <v>836</v>
      </c>
      <c r="JIF29" t="s">
        <v>836</v>
      </c>
      <c r="JIG29" t="s">
        <v>836</v>
      </c>
      <c r="JIH29" t="s">
        <v>836</v>
      </c>
      <c r="JII29" t="s">
        <v>836</v>
      </c>
      <c r="JIJ29" t="s">
        <v>836</v>
      </c>
      <c r="JIK29" t="s">
        <v>836</v>
      </c>
      <c r="JIL29" t="s">
        <v>836</v>
      </c>
      <c r="JIM29" t="s">
        <v>836</v>
      </c>
      <c r="JIN29" t="s">
        <v>836</v>
      </c>
      <c r="JIO29" t="s">
        <v>836</v>
      </c>
      <c r="JIP29" t="s">
        <v>836</v>
      </c>
      <c r="JIQ29" t="s">
        <v>836</v>
      </c>
      <c r="JIR29" t="s">
        <v>836</v>
      </c>
      <c r="JIS29" t="s">
        <v>836</v>
      </c>
      <c r="JIT29" t="s">
        <v>836</v>
      </c>
      <c r="JIU29" t="s">
        <v>836</v>
      </c>
      <c r="JIV29" t="s">
        <v>836</v>
      </c>
      <c r="JIW29" t="s">
        <v>836</v>
      </c>
      <c r="JIX29" t="s">
        <v>836</v>
      </c>
      <c r="JIY29" t="s">
        <v>836</v>
      </c>
      <c r="JIZ29" t="s">
        <v>836</v>
      </c>
      <c r="JJA29" t="s">
        <v>836</v>
      </c>
      <c r="JJB29" t="s">
        <v>836</v>
      </c>
      <c r="JJC29" t="s">
        <v>836</v>
      </c>
      <c r="JJD29" t="s">
        <v>836</v>
      </c>
      <c r="JJE29" t="s">
        <v>836</v>
      </c>
      <c r="JJF29" t="s">
        <v>836</v>
      </c>
      <c r="JJG29" t="s">
        <v>836</v>
      </c>
      <c r="JJH29" t="s">
        <v>836</v>
      </c>
      <c r="JJI29" t="s">
        <v>836</v>
      </c>
      <c r="JJJ29" t="s">
        <v>836</v>
      </c>
      <c r="JJK29" t="s">
        <v>836</v>
      </c>
      <c r="JJL29" t="s">
        <v>836</v>
      </c>
      <c r="JJM29" t="s">
        <v>836</v>
      </c>
      <c r="JJN29" t="s">
        <v>836</v>
      </c>
      <c r="JJO29" t="s">
        <v>836</v>
      </c>
      <c r="JJP29" t="s">
        <v>836</v>
      </c>
      <c r="JJQ29" t="s">
        <v>836</v>
      </c>
      <c r="JJR29" t="s">
        <v>836</v>
      </c>
      <c r="JJS29" t="s">
        <v>836</v>
      </c>
      <c r="JJT29" t="s">
        <v>836</v>
      </c>
      <c r="JJU29" t="s">
        <v>836</v>
      </c>
      <c r="JJV29" t="s">
        <v>836</v>
      </c>
      <c r="JJW29" t="s">
        <v>836</v>
      </c>
      <c r="JJX29" t="s">
        <v>836</v>
      </c>
      <c r="JJY29" t="s">
        <v>836</v>
      </c>
      <c r="JJZ29" t="s">
        <v>836</v>
      </c>
      <c r="JKA29" t="s">
        <v>836</v>
      </c>
      <c r="JKB29" t="s">
        <v>836</v>
      </c>
      <c r="JKC29" t="s">
        <v>836</v>
      </c>
      <c r="JKD29" t="s">
        <v>836</v>
      </c>
      <c r="JKE29" t="s">
        <v>836</v>
      </c>
      <c r="JKF29" t="s">
        <v>836</v>
      </c>
      <c r="JKG29" t="s">
        <v>836</v>
      </c>
      <c r="JKH29" t="s">
        <v>836</v>
      </c>
      <c r="JKI29" t="s">
        <v>836</v>
      </c>
      <c r="JKJ29" t="s">
        <v>836</v>
      </c>
      <c r="JKK29" t="s">
        <v>836</v>
      </c>
      <c r="JKL29" t="s">
        <v>836</v>
      </c>
      <c r="JKM29" t="s">
        <v>836</v>
      </c>
      <c r="JKN29" t="s">
        <v>836</v>
      </c>
      <c r="JKO29" t="s">
        <v>836</v>
      </c>
      <c r="JKP29" t="s">
        <v>836</v>
      </c>
      <c r="JKQ29" t="s">
        <v>836</v>
      </c>
      <c r="JKR29" t="s">
        <v>836</v>
      </c>
      <c r="JKS29" t="s">
        <v>836</v>
      </c>
      <c r="JKT29" t="s">
        <v>836</v>
      </c>
      <c r="JKU29" t="s">
        <v>836</v>
      </c>
      <c r="JKV29" t="s">
        <v>836</v>
      </c>
      <c r="JKW29" t="s">
        <v>836</v>
      </c>
      <c r="JKX29" t="s">
        <v>836</v>
      </c>
      <c r="JKY29" t="s">
        <v>836</v>
      </c>
      <c r="JKZ29" t="s">
        <v>836</v>
      </c>
      <c r="JLA29" t="s">
        <v>836</v>
      </c>
      <c r="JLB29" t="s">
        <v>836</v>
      </c>
      <c r="JLC29" t="s">
        <v>836</v>
      </c>
      <c r="JLD29" t="s">
        <v>836</v>
      </c>
      <c r="JLE29" t="s">
        <v>836</v>
      </c>
      <c r="JLF29" t="s">
        <v>836</v>
      </c>
      <c r="JLG29" t="s">
        <v>836</v>
      </c>
      <c r="JLH29" t="s">
        <v>836</v>
      </c>
      <c r="JLI29" t="s">
        <v>836</v>
      </c>
      <c r="JLJ29" t="s">
        <v>836</v>
      </c>
      <c r="JLK29" t="s">
        <v>836</v>
      </c>
      <c r="JLL29" t="s">
        <v>836</v>
      </c>
      <c r="JLM29" t="s">
        <v>836</v>
      </c>
      <c r="JLN29" t="s">
        <v>836</v>
      </c>
      <c r="JLO29" t="s">
        <v>836</v>
      </c>
      <c r="JLP29" t="s">
        <v>836</v>
      </c>
      <c r="JLQ29" t="s">
        <v>836</v>
      </c>
      <c r="JLR29" t="s">
        <v>836</v>
      </c>
      <c r="JLS29" t="s">
        <v>836</v>
      </c>
      <c r="JLT29" t="s">
        <v>836</v>
      </c>
      <c r="JLU29" t="s">
        <v>836</v>
      </c>
      <c r="JLV29" t="s">
        <v>836</v>
      </c>
      <c r="JLW29" t="s">
        <v>836</v>
      </c>
      <c r="JLX29" t="s">
        <v>836</v>
      </c>
      <c r="JLY29" t="s">
        <v>836</v>
      </c>
      <c r="JLZ29" t="s">
        <v>836</v>
      </c>
      <c r="JMA29" t="s">
        <v>836</v>
      </c>
      <c r="JMB29" t="s">
        <v>836</v>
      </c>
      <c r="JMC29" t="s">
        <v>836</v>
      </c>
      <c r="JMD29" t="s">
        <v>836</v>
      </c>
      <c r="JME29" t="s">
        <v>836</v>
      </c>
      <c r="JMF29" t="s">
        <v>836</v>
      </c>
      <c r="JMG29" t="s">
        <v>836</v>
      </c>
      <c r="JMH29" t="s">
        <v>836</v>
      </c>
      <c r="JMI29" t="s">
        <v>836</v>
      </c>
      <c r="JMJ29" t="s">
        <v>836</v>
      </c>
      <c r="JMK29" t="s">
        <v>836</v>
      </c>
      <c r="JML29" t="s">
        <v>836</v>
      </c>
      <c r="JMM29" t="s">
        <v>836</v>
      </c>
      <c r="JMN29" t="s">
        <v>836</v>
      </c>
      <c r="JMO29" t="s">
        <v>836</v>
      </c>
      <c r="JMP29" t="s">
        <v>836</v>
      </c>
      <c r="JMQ29" t="s">
        <v>836</v>
      </c>
      <c r="JMR29" t="s">
        <v>836</v>
      </c>
      <c r="JMS29" t="s">
        <v>836</v>
      </c>
      <c r="JMT29" t="s">
        <v>836</v>
      </c>
      <c r="JMU29" t="s">
        <v>836</v>
      </c>
      <c r="JMV29" t="s">
        <v>836</v>
      </c>
      <c r="JMW29" t="s">
        <v>836</v>
      </c>
      <c r="JMX29" t="s">
        <v>836</v>
      </c>
      <c r="JMY29" t="s">
        <v>836</v>
      </c>
      <c r="JMZ29" t="s">
        <v>836</v>
      </c>
      <c r="JNA29" t="s">
        <v>836</v>
      </c>
      <c r="JNB29" t="s">
        <v>836</v>
      </c>
      <c r="JNC29" t="s">
        <v>836</v>
      </c>
      <c r="JND29" t="s">
        <v>836</v>
      </c>
      <c r="JNE29" t="s">
        <v>836</v>
      </c>
      <c r="JNF29" t="s">
        <v>836</v>
      </c>
      <c r="JNG29" t="s">
        <v>836</v>
      </c>
      <c r="JNH29" t="s">
        <v>836</v>
      </c>
      <c r="JNI29" t="s">
        <v>836</v>
      </c>
      <c r="JNJ29" t="s">
        <v>836</v>
      </c>
      <c r="JNK29" t="s">
        <v>836</v>
      </c>
      <c r="JNL29" t="s">
        <v>836</v>
      </c>
      <c r="JNM29" t="s">
        <v>836</v>
      </c>
      <c r="JNN29" t="s">
        <v>836</v>
      </c>
      <c r="JNO29" t="s">
        <v>836</v>
      </c>
      <c r="JNP29" t="s">
        <v>836</v>
      </c>
      <c r="JNQ29" t="s">
        <v>836</v>
      </c>
      <c r="JNR29" t="s">
        <v>836</v>
      </c>
      <c r="JNS29" t="s">
        <v>836</v>
      </c>
      <c r="JNT29" t="s">
        <v>836</v>
      </c>
      <c r="JNU29" t="s">
        <v>836</v>
      </c>
      <c r="JNV29" t="s">
        <v>836</v>
      </c>
      <c r="JNW29" t="s">
        <v>836</v>
      </c>
      <c r="JNX29" t="s">
        <v>836</v>
      </c>
      <c r="JNY29" t="s">
        <v>836</v>
      </c>
      <c r="JNZ29" t="s">
        <v>836</v>
      </c>
      <c r="JOA29" t="s">
        <v>836</v>
      </c>
      <c r="JOB29" t="s">
        <v>836</v>
      </c>
      <c r="JOC29" t="s">
        <v>836</v>
      </c>
      <c r="JOD29" t="s">
        <v>836</v>
      </c>
      <c r="JOE29" t="s">
        <v>836</v>
      </c>
      <c r="JOF29" t="s">
        <v>836</v>
      </c>
      <c r="JOG29" t="s">
        <v>836</v>
      </c>
      <c r="JOH29" t="s">
        <v>836</v>
      </c>
      <c r="JOI29" t="s">
        <v>836</v>
      </c>
      <c r="JOJ29" t="s">
        <v>836</v>
      </c>
      <c r="JOK29" t="s">
        <v>836</v>
      </c>
      <c r="JOL29" t="s">
        <v>836</v>
      </c>
      <c r="JOM29" t="s">
        <v>836</v>
      </c>
      <c r="JON29" t="s">
        <v>836</v>
      </c>
      <c r="JOO29" t="s">
        <v>836</v>
      </c>
      <c r="JOP29" t="s">
        <v>836</v>
      </c>
      <c r="JOQ29" t="s">
        <v>836</v>
      </c>
      <c r="JOR29" t="s">
        <v>836</v>
      </c>
      <c r="JOS29" t="s">
        <v>836</v>
      </c>
      <c r="JOT29" t="s">
        <v>836</v>
      </c>
      <c r="JOU29" t="s">
        <v>836</v>
      </c>
      <c r="JOV29" t="s">
        <v>836</v>
      </c>
      <c r="JOW29" t="s">
        <v>836</v>
      </c>
      <c r="JOX29" t="s">
        <v>836</v>
      </c>
      <c r="JOY29" t="s">
        <v>836</v>
      </c>
      <c r="JOZ29" t="s">
        <v>836</v>
      </c>
      <c r="JPA29" t="s">
        <v>836</v>
      </c>
      <c r="JPB29" t="s">
        <v>836</v>
      </c>
      <c r="JPC29" t="s">
        <v>836</v>
      </c>
      <c r="JPD29" t="s">
        <v>836</v>
      </c>
      <c r="JPE29" t="s">
        <v>836</v>
      </c>
      <c r="JPF29" t="s">
        <v>836</v>
      </c>
      <c r="JPG29" t="s">
        <v>836</v>
      </c>
      <c r="JPH29" t="s">
        <v>836</v>
      </c>
      <c r="JPI29" t="s">
        <v>836</v>
      </c>
      <c r="JPJ29" t="s">
        <v>836</v>
      </c>
      <c r="JPK29" t="s">
        <v>836</v>
      </c>
      <c r="JPL29" t="s">
        <v>836</v>
      </c>
      <c r="JPM29" t="s">
        <v>836</v>
      </c>
      <c r="JPN29" t="s">
        <v>836</v>
      </c>
      <c r="JPO29" t="s">
        <v>836</v>
      </c>
      <c r="JPP29" t="s">
        <v>836</v>
      </c>
      <c r="JPQ29" t="s">
        <v>836</v>
      </c>
      <c r="JPR29" t="s">
        <v>836</v>
      </c>
      <c r="JPS29" t="s">
        <v>836</v>
      </c>
      <c r="JPT29" t="s">
        <v>836</v>
      </c>
      <c r="JPU29" t="s">
        <v>836</v>
      </c>
      <c r="JPV29" t="s">
        <v>836</v>
      </c>
      <c r="JPW29" t="s">
        <v>836</v>
      </c>
      <c r="JPX29" t="s">
        <v>836</v>
      </c>
      <c r="JPY29" t="s">
        <v>836</v>
      </c>
      <c r="JPZ29" t="s">
        <v>836</v>
      </c>
      <c r="JQA29" t="s">
        <v>836</v>
      </c>
      <c r="JQB29" t="s">
        <v>836</v>
      </c>
      <c r="JQC29" t="s">
        <v>836</v>
      </c>
      <c r="JQD29" t="s">
        <v>836</v>
      </c>
      <c r="JQE29" t="s">
        <v>836</v>
      </c>
      <c r="JQF29" t="s">
        <v>836</v>
      </c>
      <c r="JQG29" t="s">
        <v>836</v>
      </c>
      <c r="JQH29" t="s">
        <v>836</v>
      </c>
      <c r="JQI29" t="s">
        <v>836</v>
      </c>
      <c r="JQJ29" t="s">
        <v>836</v>
      </c>
      <c r="JQK29" t="s">
        <v>836</v>
      </c>
      <c r="JQL29" t="s">
        <v>836</v>
      </c>
      <c r="JQM29" t="s">
        <v>836</v>
      </c>
      <c r="JQN29" t="s">
        <v>836</v>
      </c>
      <c r="JQO29" t="s">
        <v>836</v>
      </c>
      <c r="JQP29" t="s">
        <v>836</v>
      </c>
      <c r="JQQ29" t="s">
        <v>836</v>
      </c>
      <c r="JQR29" t="s">
        <v>836</v>
      </c>
      <c r="JQS29" t="s">
        <v>836</v>
      </c>
      <c r="JQT29" t="s">
        <v>836</v>
      </c>
      <c r="JQU29" t="s">
        <v>836</v>
      </c>
      <c r="JQV29" t="s">
        <v>836</v>
      </c>
      <c r="JQW29" t="s">
        <v>836</v>
      </c>
      <c r="JQX29" t="s">
        <v>836</v>
      </c>
      <c r="JQY29" t="s">
        <v>836</v>
      </c>
      <c r="JQZ29" t="s">
        <v>836</v>
      </c>
      <c r="JRA29" t="s">
        <v>836</v>
      </c>
      <c r="JRB29" t="s">
        <v>836</v>
      </c>
      <c r="JRC29" t="s">
        <v>836</v>
      </c>
      <c r="JRD29" t="s">
        <v>836</v>
      </c>
      <c r="JRE29" t="s">
        <v>836</v>
      </c>
      <c r="JRF29" t="s">
        <v>836</v>
      </c>
      <c r="JRG29" t="s">
        <v>836</v>
      </c>
      <c r="JRH29" t="s">
        <v>836</v>
      </c>
      <c r="JRI29" t="s">
        <v>836</v>
      </c>
      <c r="JRJ29" t="s">
        <v>836</v>
      </c>
      <c r="JRK29" t="s">
        <v>836</v>
      </c>
      <c r="JRL29" t="s">
        <v>836</v>
      </c>
      <c r="JRM29" t="s">
        <v>836</v>
      </c>
      <c r="JRN29" t="s">
        <v>836</v>
      </c>
      <c r="JRO29" t="s">
        <v>836</v>
      </c>
      <c r="JRP29" t="s">
        <v>836</v>
      </c>
      <c r="JRQ29" t="s">
        <v>836</v>
      </c>
      <c r="JRR29" t="s">
        <v>836</v>
      </c>
      <c r="JRS29" t="s">
        <v>836</v>
      </c>
      <c r="JRT29" t="s">
        <v>836</v>
      </c>
      <c r="JRU29" t="s">
        <v>836</v>
      </c>
      <c r="JRV29" t="s">
        <v>836</v>
      </c>
      <c r="JRW29" t="s">
        <v>836</v>
      </c>
      <c r="JRX29" t="s">
        <v>836</v>
      </c>
      <c r="JRY29" t="s">
        <v>836</v>
      </c>
      <c r="JRZ29" t="s">
        <v>836</v>
      </c>
      <c r="JSA29" t="s">
        <v>836</v>
      </c>
      <c r="JSB29" t="s">
        <v>836</v>
      </c>
      <c r="JSC29" t="s">
        <v>836</v>
      </c>
      <c r="JSD29" t="s">
        <v>836</v>
      </c>
      <c r="JSE29" t="s">
        <v>836</v>
      </c>
      <c r="JSF29" t="s">
        <v>836</v>
      </c>
      <c r="JSG29" t="s">
        <v>836</v>
      </c>
      <c r="JSH29" t="s">
        <v>836</v>
      </c>
      <c r="JSI29" t="s">
        <v>836</v>
      </c>
      <c r="JSJ29" t="s">
        <v>836</v>
      </c>
      <c r="JSK29" t="s">
        <v>836</v>
      </c>
      <c r="JSL29" t="s">
        <v>836</v>
      </c>
      <c r="JSM29" t="s">
        <v>836</v>
      </c>
      <c r="JSN29" t="s">
        <v>836</v>
      </c>
      <c r="JSO29" t="s">
        <v>836</v>
      </c>
      <c r="JSP29" t="s">
        <v>836</v>
      </c>
      <c r="JSQ29" t="s">
        <v>836</v>
      </c>
      <c r="JSR29" t="s">
        <v>836</v>
      </c>
      <c r="JSS29" t="s">
        <v>836</v>
      </c>
      <c r="JST29" t="s">
        <v>836</v>
      </c>
      <c r="JSU29" t="s">
        <v>836</v>
      </c>
      <c r="JSV29" t="s">
        <v>836</v>
      </c>
      <c r="JSW29" t="s">
        <v>836</v>
      </c>
      <c r="JSX29" t="s">
        <v>836</v>
      </c>
      <c r="JSY29" t="s">
        <v>836</v>
      </c>
      <c r="JSZ29" t="s">
        <v>836</v>
      </c>
      <c r="JTA29" t="s">
        <v>836</v>
      </c>
      <c r="JTB29" t="s">
        <v>836</v>
      </c>
      <c r="JTC29" t="s">
        <v>836</v>
      </c>
      <c r="JTD29" t="s">
        <v>836</v>
      </c>
      <c r="JTE29" t="s">
        <v>836</v>
      </c>
      <c r="JTF29" t="s">
        <v>836</v>
      </c>
      <c r="JTG29" t="s">
        <v>836</v>
      </c>
      <c r="JTH29" t="s">
        <v>836</v>
      </c>
      <c r="JTI29" t="s">
        <v>836</v>
      </c>
      <c r="JTJ29" t="s">
        <v>836</v>
      </c>
      <c r="JTK29" t="s">
        <v>836</v>
      </c>
      <c r="JTL29" t="s">
        <v>836</v>
      </c>
      <c r="JTM29" t="s">
        <v>836</v>
      </c>
      <c r="JTN29" t="s">
        <v>836</v>
      </c>
      <c r="JTO29" t="s">
        <v>836</v>
      </c>
      <c r="JTP29" t="s">
        <v>836</v>
      </c>
      <c r="JTQ29" t="s">
        <v>836</v>
      </c>
      <c r="JTR29" t="s">
        <v>836</v>
      </c>
      <c r="JTS29" t="s">
        <v>836</v>
      </c>
      <c r="JTT29" t="s">
        <v>836</v>
      </c>
      <c r="JTU29" t="s">
        <v>836</v>
      </c>
      <c r="JTV29" t="s">
        <v>836</v>
      </c>
      <c r="JTW29" t="s">
        <v>836</v>
      </c>
      <c r="JTX29" t="s">
        <v>836</v>
      </c>
      <c r="JTY29" t="s">
        <v>836</v>
      </c>
      <c r="JTZ29" t="s">
        <v>836</v>
      </c>
      <c r="JUA29" t="s">
        <v>836</v>
      </c>
      <c r="JUB29" t="s">
        <v>836</v>
      </c>
      <c r="JUC29" t="s">
        <v>836</v>
      </c>
      <c r="JUD29" t="s">
        <v>836</v>
      </c>
      <c r="JUE29" t="s">
        <v>836</v>
      </c>
      <c r="JUF29" t="s">
        <v>836</v>
      </c>
      <c r="JUG29" t="s">
        <v>836</v>
      </c>
      <c r="JUH29" t="s">
        <v>836</v>
      </c>
      <c r="JUI29" t="s">
        <v>836</v>
      </c>
      <c r="JUJ29" t="s">
        <v>836</v>
      </c>
      <c r="JUK29" t="s">
        <v>836</v>
      </c>
      <c r="JUL29" t="s">
        <v>836</v>
      </c>
      <c r="JUM29" t="s">
        <v>836</v>
      </c>
      <c r="JUN29" t="s">
        <v>836</v>
      </c>
      <c r="JUO29" t="s">
        <v>836</v>
      </c>
      <c r="JUP29" t="s">
        <v>836</v>
      </c>
      <c r="JUQ29" t="s">
        <v>836</v>
      </c>
      <c r="JUR29" t="s">
        <v>836</v>
      </c>
      <c r="JUS29" t="s">
        <v>836</v>
      </c>
      <c r="JUT29" t="s">
        <v>836</v>
      </c>
      <c r="JUU29" t="s">
        <v>836</v>
      </c>
      <c r="JUV29" t="s">
        <v>836</v>
      </c>
      <c r="JUW29" t="s">
        <v>836</v>
      </c>
      <c r="JUX29" t="s">
        <v>836</v>
      </c>
      <c r="JUY29" t="s">
        <v>836</v>
      </c>
      <c r="JUZ29" t="s">
        <v>836</v>
      </c>
      <c r="JVA29" t="s">
        <v>836</v>
      </c>
      <c r="JVB29" t="s">
        <v>836</v>
      </c>
      <c r="JVC29" t="s">
        <v>836</v>
      </c>
      <c r="JVD29" t="s">
        <v>836</v>
      </c>
      <c r="JVE29" t="s">
        <v>836</v>
      </c>
      <c r="JVF29" t="s">
        <v>836</v>
      </c>
      <c r="JVG29" t="s">
        <v>836</v>
      </c>
      <c r="JVH29" t="s">
        <v>836</v>
      </c>
      <c r="JVI29" t="s">
        <v>836</v>
      </c>
      <c r="JVJ29" t="s">
        <v>836</v>
      </c>
      <c r="JVK29" t="s">
        <v>836</v>
      </c>
      <c r="JVL29" t="s">
        <v>836</v>
      </c>
      <c r="JVM29" t="s">
        <v>836</v>
      </c>
      <c r="JVN29" t="s">
        <v>836</v>
      </c>
      <c r="JVO29" t="s">
        <v>836</v>
      </c>
      <c r="JVP29" t="s">
        <v>836</v>
      </c>
      <c r="JVQ29" t="s">
        <v>836</v>
      </c>
      <c r="JVR29" t="s">
        <v>836</v>
      </c>
      <c r="JVS29" t="s">
        <v>836</v>
      </c>
      <c r="JVT29" t="s">
        <v>836</v>
      </c>
      <c r="JVU29" t="s">
        <v>836</v>
      </c>
      <c r="JVV29" t="s">
        <v>836</v>
      </c>
      <c r="JVW29" t="s">
        <v>836</v>
      </c>
      <c r="JVX29" t="s">
        <v>836</v>
      </c>
      <c r="JVY29" t="s">
        <v>836</v>
      </c>
      <c r="JVZ29" t="s">
        <v>836</v>
      </c>
      <c r="JWA29" t="s">
        <v>836</v>
      </c>
      <c r="JWB29" t="s">
        <v>836</v>
      </c>
      <c r="JWC29" t="s">
        <v>836</v>
      </c>
      <c r="JWD29" t="s">
        <v>836</v>
      </c>
      <c r="JWE29" t="s">
        <v>836</v>
      </c>
      <c r="JWF29" t="s">
        <v>836</v>
      </c>
      <c r="JWG29" t="s">
        <v>836</v>
      </c>
      <c r="JWH29" t="s">
        <v>836</v>
      </c>
      <c r="JWI29" t="s">
        <v>836</v>
      </c>
      <c r="JWJ29" t="s">
        <v>836</v>
      </c>
      <c r="JWK29" t="s">
        <v>836</v>
      </c>
      <c r="JWL29" t="s">
        <v>836</v>
      </c>
      <c r="JWM29" t="s">
        <v>836</v>
      </c>
      <c r="JWN29" t="s">
        <v>836</v>
      </c>
      <c r="JWO29" t="s">
        <v>836</v>
      </c>
      <c r="JWP29" t="s">
        <v>836</v>
      </c>
      <c r="JWQ29" t="s">
        <v>836</v>
      </c>
      <c r="JWR29" t="s">
        <v>836</v>
      </c>
      <c r="JWS29" t="s">
        <v>836</v>
      </c>
      <c r="JWT29" t="s">
        <v>836</v>
      </c>
      <c r="JWU29" t="s">
        <v>836</v>
      </c>
      <c r="JWV29" t="s">
        <v>836</v>
      </c>
      <c r="JWW29" t="s">
        <v>836</v>
      </c>
      <c r="JWX29" t="s">
        <v>836</v>
      </c>
      <c r="JWY29" t="s">
        <v>836</v>
      </c>
      <c r="JWZ29" t="s">
        <v>836</v>
      </c>
      <c r="JXA29" t="s">
        <v>836</v>
      </c>
      <c r="JXB29" t="s">
        <v>836</v>
      </c>
      <c r="JXC29" t="s">
        <v>836</v>
      </c>
      <c r="JXD29" t="s">
        <v>836</v>
      </c>
      <c r="JXE29" t="s">
        <v>836</v>
      </c>
      <c r="JXF29" t="s">
        <v>836</v>
      </c>
      <c r="JXG29" t="s">
        <v>836</v>
      </c>
      <c r="JXH29" t="s">
        <v>836</v>
      </c>
      <c r="JXI29" t="s">
        <v>836</v>
      </c>
      <c r="JXJ29" t="s">
        <v>836</v>
      </c>
      <c r="JXK29" t="s">
        <v>836</v>
      </c>
      <c r="JXL29" t="s">
        <v>836</v>
      </c>
      <c r="JXM29" t="s">
        <v>836</v>
      </c>
      <c r="JXN29" t="s">
        <v>836</v>
      </c>
      <c r="JXO29" t="s">
        <v>836</v>
      </c>
      <c r="JXP29" t="s">
        <v>836</v>
      </c>
      <c r="JXQ29" t="s">
        <v>836</v>
      </c>
      <c r="JXR29" t="s">
        <v>836</v>
      </c>
      <c r="JXS29" t="s">
        <v>836</v>
      </c>
      <c r="JXT29" t="s">
        <v>836</v>
      </c>
      <c r="JXU29" t="s">
        <v>836</v>
      </c>
      <c r="JXV29" t="s">
        <v>836</v>
      </c>
      <c r="JXW29" t="s">
        <v>836</v>
      </c>
      <c r="JXX29" t="s">
        <v>836</v>
      </c>
      <c r="JXY29" t="s">
        <v>836</v>
      </c>
      <c r="JXZ29" t="s">
        <v>836</v>
      </c>
      <c r="JYA29" t="s">
        <v>836</v>
      </c>
      <c r="JYB29" t="s">
        <v>836</v>
      </c>
      <c r="JYC29" t="s">
        <v>836</v>
      </c>
      <c r="JYD29" t="s">
        <v>836</v>
      </c>
      <c r="JYE29" t="s">
        <v>836</v>
      </c>
      <c r="JYF29" t="s">
        <v>836</v>
      </c>
      <c r="JYG29" t="s">
        <v>836</v>
      </c>
      <c r="JYH29" t="s">
        <v>836</v>
      </c>
      <c r="JYI29" t="s">
        <v>836</v>
      </c>
      <c r="JYJ29" t="s">
        <v>836</v>
      </c>
      <c r="JYK29" t="s">
        <v>836</v>
      </c>
      <c r="JYL29" t="s">
        <v>836</v>
      </c>
      <c r="JYM29" t="s">
        <v>836</v>
      </c>
      <c r="JYN29" t="s">
        <v>836</v>
      </c>
      <c r="JYO29" t="s">
        <v>836</v>
      </c>
      <c r="JYP29" t="s">
        <v>836</v>
      </c>
      <c r="JYQ29" t="s">
        <v>836</v>
      </c>
      <c r="JYR29" t="s">
        <v>836</v>
      </c>
      <c r="JYS29" t="s">
        <v>836</v>
      </c>
      <c r="JYT29" t="s">
        <v>836</v>
      </c>
      <c r="JYU29" t="s">
        <v>836</v>
      </c>
      <c r="JYV29" t="s">
        <v>836</v>
      </c>
      <c r="JYW29" t="s">
        <v>836</v>
      </c>
      <c r="JYX29" t="s">
        <v>836</v>
      </c>
      <c r="JYY29" t="s">
        <v>836</v>
      </c>
      <c r="JYZ29" t="s">
        <v>836</v>
      </c>
      <c r="JZA29" t="s">
        <v>836</v>
      </c>
      <c r="JZB29" t="s">
        <v>836</v>
      </c>
      <c r="JZC29" t="s">
        <v>836</v>
      </c>
      <c r="JZD29" t="s">
        <v>836</v>
      </c>
      <c r="JZE29" t="s">
        <v>836</v>
      </c>
      <c r="JZF29" t="s">
        <v>836</v>
      </c>
      <c r="JZG29" t="s">
        <v>836</v>
      </c>
      <c r="JZH29" t="s">
        <v>836</v>
      </c>
      <c r="JZI29" t="s">
        <v>836</v>
      </c>
      <c r="JZJ29" t="s">
        <v>836</v>
      </c>
      <c r="JZK29" t="s">
        <v>836</v>
      </c>
      <c r="JZL29" t="s">
        <v>836</v>
      </c>
      <c r="JZM29" t="s">
        <v>836</v>
      </c>
      <c r="JZN29" t="s">
        <v>836</v>
      </c>
      <c r="JZO29" t="s">
        <v>836</v>
      </c>
      <c r="JZP29" t="s">
        <v>836</v>
      </c>
      <c r="JZQ29" t="s">
        <v>836</v>
      </c>
      <c r="JZR29" t="s">
        <v>836</v>
      </c>
      <c r="JZS29" t="s">
        <v>836</v>
      </c>
      <c r="JZT29" t="s">
        <v>836</v>
      </c>
      <c r="JZU29" t="s">
        <v>836</v>
      </c>
      <c r="JZV29" t="s">
        <v>836</v>
      </c>
      <c r="JZW29" t="s">
        <v>836</v>
      </c>
      <c r="JZX29" t="s">
        <v>836</v>
      </c>
      <c r="JZY29" t="s">
        <v>836</v>
      </c>
      <c r="JZZ29" t="s">
        <v>836</v>
      </c>
      <c r="KAA29" t="s">
        <v>836</v>
      </c>
      <c r="KAB29" t="s">
        <v>836</v>
      </c>
      <c r="KAC29" t="s">
        <v>836</v>
      </c>
      <c r="KAD29" t="s">
        <v>836</v>
      </c>
      <c r="KAE29" t="s">
        <v>836</v>
      </c>
      <c r="KAF29" t="s">
        <v>836</v>
      </c>
      <c r="KAG29" t="s">
        <v>836</v>
      </c>
      <c r="KAH29" t="s">
        <v>836</v>
      </c>
      <c r="KAI29" t="s">
        <v>836</v>
      </c>
      <c r="KAJ29" t="s">
        <v>836</v>
      </c>
      <c r="KAK29" t="s">
        <v>836</v>
      </c>
      <c r="KAL29" t="s">
        <v>836</v>
      </c>
      <c r="KAM29" t="s">
        <v>836</v>
      </c>
      <c r="KAN29" t="s">
        <v>836</v>
      </c>
      <c r="KAO29" t="s">
        <v>836</v>
      </c>
      <c r="KAP29" t="s">
        <v>836</v>
      </c>
      <c r="KAQ29" t="s">
        <v>836</v>
      </c>
      <c r="KAR29" t="s">
        <v>836</v>
      </c>
      <c r="KAS29" t="s">
        <v>836</v>
      </c>
      <c r="KAT29" t="s">
        <v>836</v>
      </c>
      <c r="KAU29" t="s">
        <v>836</v>
      </c>
      <c r="KAV29" t="s">
        <v>836</v>
      </c>
      <c r="KAW29" t="s">
        <v>836</v>
      </c>
      <c r="KAX29" t="s">
        <v>836</v>
      </c>
      <c r="KAY29" t="s">
        <v>836</v>
      </c>
      <c r="KAZ29" t="s">
        <v>836</v>
      </c>
      <c r="KBA29" t="s">
        <v>836</v>
      </c>
      <c r="KBB29" t="s">
        <v>836</v>
      </c>
      <c r="KBC29" t="s">
        <v>836</v>
      </c>
      <c r="KBD29" t="s">
        <v>836</v>
      </c>
      <c r="KBE29" t="s">
        <v>836</v>
      </c>
      <c r="KBF29" t="s">
        <v>836</v>
      </c>
      <c r="KBG29" t="s">
        <v>836</v>
      </c>
      <c r="KBH29" t="s">
        <v>836</v>
      </c>
      <c r="KBI29" t="s">
        <v>836</v>
      </c>
      <c r="KBJ29" t="s">
        <v>836</v>
      </c>
      <c r="KBK29" t="s">
        <v>836</v>
      </c>
      <c r="KBL29" t="s">
        <v>836</v>
      </c>
      <c r="KBM29" t="s">
        <v>836</v>
      </c>
      <c r="KBN29" t="s">
        <v>836</v>
      </c>
      <c r="KBO29" t="s">
        <v>836</v>
      </c>
      <c r="KBP29" t="s">
        <v>836</v>
      </c>
      <c r="KBQ29" t="s">
        <v>836</v>
      </c>
      <c r="KBR29" t="s">
        <v>836</v>
      </c>
      <c r="KBS29" t="s">
        <v>836</v>
      </c>
      <c r="KBT29" t="s">
        <v>836</v>
      </c>
      <c r="KBU29" t="s">
        <v>836</v>
      </c>
      <c r="KBV29" t="s">
        <v>836</v>
      </c>
      <c r="KBW29" t="s">
        <v>836</v>
      </c>
      <c r="KBX29" t="s">
        <v>836</v>
      </c>
      <c r="KBY29" t="s">
        <v>836</v>
      </c>
      <c r="KBZ29" t="s">
        <v>836</v>
      </c>
      <c r="KCA29" t="s">
        <v>836</v>
      </c>
      <c r="KCB29" t="s">
        <v>836</v>
      </c>
      <c r="KCC29" t="s">
        <v>836</v>
      </c>
      <c r="KCD29" t="s">
        <v>836</v>
      </c>
      <c r="KCE29" t="s">
        <v>836</v>
      </c>
      <c r="KCF29" t="s">
        <v>836</v>
      </c>
      <c r="KCG29" t="s">
        <v>836</v>
      </c>
      <c r="KCH29" t="s">
        <v>836</v>
      </c>
      <c r="KCI29" t="s">
        <v>836</v>
      </c>
      <c r="KCJ29" t="s">
        <v>836</v>
      </c>
      <c r="KCK29" t="s">
        <v>836</v>
      </c>
      <c r="KCL29" t="s">
        <v>836</v>
      </c>
      <c r="KCM29" t="s">
        <v>836</v>
      </c>
      <c r="KCN29" t="s">
        <v>836</v>
      </c>
      <c r="KCO29" t="s">
        <v>836</v>
      </c>
      <c r="KCP29" t="s">
        <v>836</v>
      </c>
      <c r="KCQ29" t="s">
        <v>836</v>
      </c>
      <c r="KCR29" t="s">
        <v>836</v>
      </c>
      <c r="KCS29" t="s">
        <v>836</v>
      </c>
      <c r="KCT29" t="s">
        <v>836</v>
      </c>
      <c r="KCU29" t="s">
        <v>836</v>
      </c>
      <c r="KCV29" t="s">
        <v>836</v>
      </c>
      <c r="KCW29" t="s">
        <v>836</v>
      </c>
      <c r="KCX29" t="s">
        <v>836</v>
      </c>
      <c r="KCY29" t="s">
        <v>836</v>
      </c>
      <c r="KCZ29" t="s">
        <v>836</v>
      </c>
      <c r="KDA29" t="s">
        <v>836</v>
      </c>
      <c r="KDB29" t="s">
        <v>836</v>
      </c>
      <c r="KDC29" t="s">
        <v>836</v>
      </c>
      <c r="KDD29" t="s">
        <v>836</v>
      </c>
      <c r="KDE29" t="s">
        <v>836</v>
      </c>
      <c r="KDF29" t="s">
        <v>836</v>
      </c>
      <c r="KDG29" t="s">
        <v>836</v>
      </c>
      <c r="KDH29" t="s">
        <v>836</v>
      </c>
      <c r="KDI29" t="s">
        <v>836</v>
      </c>
      <c r="KDJ29" t="s">
        <v>836</v>
      </c>
      <c r="KDK29" t="s">
        <v>836</v>
      </c>
      <c r="KDL29" t="s">
        <v>836</v>
      </c>
      <c r="KDM29" t="s">
        <v>836</v>
      </c>
      <c r="KDN29" t="s">
        <v>836</v>
      </c>
      <c r="KDO29" t="s">
        <v>836</v>
      </c>
      <c r="KDP29" t="s">
        <v>836</v>
      </c>
      <c r="KDQ29" t="s">
        <v>836</v>
      </c>
      <c r="KDR29" t="s">
        <v>836</v>
      </c>
      <c r="KDS29" t="s">
        <v>836</v>
      </c>
      <c r="KDT29" t="s">
        <v>836</v>
      </c>
      <c r="KDU29" t="s">
        <v>836</v>
      </c>
      <c r="KDV29" t="s">
        <v>836</v>
      </c>
      <c r="KDW29" t="s">
        <v>836</v>
      </c>
      <c r="KDX29" t="s">
        <v>836</v>
      </c>
      <c r="KDY29" t="s">
        <v>836</v>
      </c>
      <c r="KDZ29" t="s">
        <v>836</v>
      </c>
      <c r="KEA29" t="s">
        <v>836</v>
      </c>
      <c r="KEB29" t="s">
        <v>836</v>
      </c>
      <c r="KEC29" t="s">
        <v>836</v>
      </c>
      <c r="KED29" t="s">
        <v>836</v>
      </c>
      <c r="KEE29" t="s">
        <v>836</v>
      </c>
      <c r="KEF29" t="s">
        <v>836</v>
      </c>
      <c r="KEG29" t="s">
        <v>836</v>
      </c>
      <c r="KEH29" t="s">
        <v>836</v>
      </c>
      <c r="KEI29" t="s">
        <v>836</v>
      </c>
      <c r="KEJ29" t="s">
        <v>836</v>
      </c>
      <c r="KEK29" t="s">
        <v>836</v>
      </c>
      <c r="KEL29" t="s">
        <v>836</v>
      </c>
      <c r="KEM29" t="s">
        <v>836</v>
      </c>
      <c r="KEN29" t="s">
        <v>836</v>
      </c>
      <c r="KEO29" t="s">
        <v>836</v>
      </c>
      <c r="KEP29" t="s">
        <v>836</v>
      </c>
      <c r="KEQ29" t="s">
        <v>836</v>
      </c>
      <c r="KER29" t="s">
        <v>836</v>
      </c>
      <c r="KES29" t="s">
        <v>836</v>
      </c>
      <c r="KET29" t="s">
        <v>836</v>
      </c>
      <c r="KEU29" t="s">
        <v>836</v>
      </c>
      <c r="KEV29" t="s">
        <v>836</v>
      </c>
      <c r="KEW29" t="s">
        <v>836</v>
      </c>
      <c r="KEX29" t="s">
        <v>836</v>
      </c>
      <c r="KEY29" t="s">
        <v>836</v>
      </c>
      <c r="KEZ29" t="s">
        <v>836</v>
      </c>
      <c r="KFA29" t="s">
        <v>836</v>
      </c>
      <c r="KFB29" t="s">
        <v>836</v>
      </c>
      <c r="KFC29" t="s">
        <v>836</v>
      </c>
      <c r="KFD29" t="s">
        <v>836</v>
      </c>
      <c r="KFE29" t="s">
        <v>836</v>
      </c>
      <c r="KFF29" t="s">
        <v>836</v>
      </c>
      <c r="KFG29" t="s">
        <v>836</v>
      </c>
      <c r="KFH29" t="s">
        <v>836</v>
      </c>
      <c r="KFI29" t="s">
        <v>836</v>
      </c>
      <c r="KFJ29" t="s">
        <v>836</v>
      </c>
      <c r="KFK29" t="s">
        <v>836</v>
      </c>
      <c r="KFL29" t="s">
        <v>836</v>
      </c>
      <c r="KFM29" t="s">
        <v>836</v>
      </c>
      <c r="KFN29" t="s">
        <v>836</v>
      </c>
      <c r="KFO29" t="s">
        <v>836</v>
      </c>
      <c r="KFP29" t="s">
        <v>836</v>
      </c>
      <c r="KFQ29" t="s">
        <v>836</v>
      </c>
      <c r="KFR29" t="s">
        <v>836</v>
      </c>
      <c r="KFS29" t="s">
        <v>836</v>
      </c>
      <c r="KFT29" t="s">
        <v>836</v>
      </c>
      <c r="KFU29" t="s">
        <v>836</v>
      </c>
      <c r="KFV29" t="s">
        <v>836</v>
      </c>
      <c r="KFW29" t="s">
        <v>836</v>
      </c>
      <c r="KFX29" t="s">
        <v>836</v>
      </c>
      <c r="KFY29" t="s">
        <v>836</v>
      </c>
      <c r="KFZ29" t="s">
        <v>836</v>
      </c>
      <c r="KGA29" t="s">
        <v>836</v>
      </c>
      <c r="KGB29" t="s">
        <v>836</v>
      </c>
      <c r="KGC29" t="s">
        <v>836</v>
      </c>
      <c r="KGD29" t="s">
        <v>836</v>
      </c>
      <c r="KGE29" t="s">
        <v>836</v>
      </c>
      <c r="KGF29" t="s">
        <v>836</v>
      </c>
      <c r="KGG29" t="s">
        <v>836</v>
      </c>
      <c r="KGH29" t="s">
        <v>836</v>
      </c>
      <c r="KGI29" t="s">
        <v>836</v>
      </c>
      <c r="KGJ29" t="s">
        <v>836</v>
      </c>
      <c r="KGK29" t="s">
        <v>836</v>
      </c>
      <c r="KGL29" t="s">
        <v>836</v>
      </c>
      <c r="KGM29" t="s">
        <v>836</v>
      </c>
      <c r="KGN29" t="s">
        <v>836</v>
      </c>
      <c r="KGO29" t="s">
        <v>836</v>
      </c>
      <c r="KGP29" t="s">
        <v>836</v>
      </c>
      <c r="KGQ29" t="s">
        <v>836</v>
      </c>
      <c r="KGR29" t="s">
        <v>836</v>
      </c>
      <c r="KGS29" t="s">
        <v>836</v>
      </c>
      <c r="KGT29" t="s">
        <v>836</v>
      </c>
      <c r="KGU29" t="s">
        <v>836</v>
      </c>
      <c r="KGV29" t="s">
        <v>836</v>
      </c>
      <c r="KGW29" t="s">
        <v>836</v>
      </c>
      <c r="KGX29" t="s">
        <v>836</v>
      </c>
      <c r="KGY29" t="s">
        <v>836</v>
      </c>
      <c r="KGZ29" t="s">
        <v>836</v>
      </c>
      <c r="KHA29" t="s">
        <v>836</v>
      </c>
      <c r="KHB29" t="s">
        <v>836</v>
      </c>
      <c r="KHC29" t="s">
        <v>836</v>
      </c>
      <c r="KHD29" t="s">
        <v>836</v>
      </c>
      <c r="KHE29" t="s">
        <v>836</v>
      </c>
      <c r="KHF29" t="s">
        <v>836</v>
      </c>
      <c r="KHG29" t="s">
        <v>836</v>
      </c>
      <c r="KHH29" t="s">
        <v>836</v>
      </c>
      <c r="KHI29" t="s">
        <v>836</v>
      </c>
      <c r="KHJ29" t="s">
        <v>836</v>
      </c>
      <c r="KHK29" t="s">
        <v>836</v>
      </c>
      <c r="KHL29" t="s">
        <v>836</v>
      </c>
      <c r="KHM29" t="s">
        <v>836</v>
      </c>
      <c r="KHN29" t="s">
        <v>836</v>
      </c>
      <c r="KHO29" t="s">
        <v>836</v>
      </c>
      <c r="KHP29" t="s">
        <v>836</v>
      </c>
      <c r="KHQ29" t="s">
        <v>836</v>
      </c>
      <c r="KHR29" t="s">
        <v>836</v>
      </c>
      <c r="KHS29" t="s">
        <v>836</v>
      </c>
      <c r="KHT29" t="s">
        <v>836</v>
      </c>
      <c r="KHU29" t="s">
        <v>836</v>
      </c>
      <c r="KHV29" t="s">
        <v>836</v>
      </c>
      <c r="KHW29" t="s">
        <v>836</v>
      </c>
      <c r="KHX29" t="s">
        <v>836</v>
      </c>
      <c r="KHY29" t="s">
        <v>836</v>
      </c>
      <c r="KHZ29" t="s">
        <v>836</v>
      </c>
      <c r="KIA29" t="s">
        <v>836</v>
      </c>
      <c r="KIB29" t="s">
        <v>836</v>
      </c>
      <c r="KIC29" t="s">
        <v>836</v>
      </c>
      <c r="KID29" t="s">
        <v>836</v>
      </c>
      <c r="KIE29" t="s">
        <v>836</v>
      </c>
      <c r="KIF29" t="s">
        <v>836</v>
      </c>
      <c r="KIG29" t="s">
        <v>836</v>
      </c>
      <c r="KIH29" t="s">
        <v>836</v>
      </c>
      <c r="KII29" t="s">
        <v>836</v>
      </c>
      <c r="KIJ29" t="s">
        <v>836</v>
      </c>
      <c r="KIK29" t="s">
        <v>836</v>
      </c>
      <c r="KIL29" t="s">
        <v>836</v>
      </c>
      <c r="KIM29" t="s">
        <v>836</v>
      </c>
      <c r="KIN29" t="s">
        <v>836</v>
      </c>
      <c r="KIO29" t="s">
        <v>836</v>
      </c>
      <c r="KIP29" t="s">
        <v>836</v>
      </c>
      <c r="KIQ29" t="s">
        <v>836</v>
      </c>
      <c r="KIR29" t="s">
        <v>836</v>
      </c>
      <c r="KIS29" t="s">
        <v>836</v>
      </c>
      <c r="KIT29" t="s">
        <v>836</v>
      </c>
      <c r="KIU29" t="s">
        <v>836</v>
      </c>
      <c r="KIV29" t="s">
        <v>836</v>
      </c>
      <c r="KIW29" t="s">
        <v>836</v>
      </c>
      <c r="KIX29" t="s">
        <v>836</v>
      </c>
      <c r="KIY29" t="s">
        <v>836</v>
      </c>
      <c r="KIZ29" t="s">
        <v>836</v>
      </c>
      <c r="KJA29" t="s">
        <v>836</v>
      </c>
      <c r="KJB29" t="s">
        <v>836</v>
      </c>
      <c r="KJC29" t="s">
        <v>836</v>
      </c>
      <c r="KJD29" t="s">
        <v>836</v>
      </c>
      <c r="KJE29" t="s">
        <v>836</v>
      </c>
      <c r="KJF29" t="s">
        <v>836</v>
      </c>
      <c r="KJG29" t="s">
        <v>836</v>
      </c>
      <c r="KJH29" t="s">
        <v>836</v>
      </c>
      <c r="KJI29" t="s">
        <v>836</v>
      </c>
      <c r="KJJ29" t="s">
        <v>836</v>
      </c>
      <c r="KJK29" t="s">
        <v>836</v>
      </c>
      <c r="KJL29" t="s">
        <v>836</v>
      </c>
      <c r="KJM29" t="s">
        <v>836</v>
      </c>
      <c r="KJN29" t="s">
        <v>836</v>
      </c>
      <c r="KJO29" t="s">
        <v>836</v>
      </c>
      <c r="KJP29" t="s">
        <v>836</v>
      </c>
      <c r="KJQ29" t="s">
        <v>836</v>
      </c>
      <c r="KJR29" t="s">
        <v>836</v>
      </c>
      <c r="KJS29" t="s">
        <v>836</v>
      </c>
      <c r="KJT29" t="s">
        <v>836</v>
      </c>
      <c r="KJU29" t="s">
        <v>836</v>
      </c>
      <c r="KJV29" t="s">
        <v>836</v>
      </c>
      <c r="KJW29" t="s">
        <v>836</v>
      </c>
      <c r="KJX29" t="s">
        <v>836</v>
      </c>
      <c r="KJY29" t="s">
        <v>836</v>
      </c>
      <c r="KJZ29" t="s">
        <v>836</v>
      </c>
      <c r="KKA29" t="s">
        <v>836</v>
      </c>
      <c r="KKB29" t="s">
        <v>836</v>
      </c>
      <c r="KKC29" t="s">
        <v>836</v>
      </c>
      <c r="KKD29" t="s">
        <v>836</v>
      </c>
      <c r="KKE29" t="s">
        <v>836</v>
      </c>
      <c r="KKF29" t="s">
        <v>836</v>
      </c>
      <c r="KKG29" t="s">
        <v>836</v>
      </c>
      <c r="KKH29" t="s">
        <v>836</v>
      </c>
      <c r="KKI29" t="s">
        <v>836</v>
      </c>
      <c r="KKJ29" t="s">
        <v>836</v>
      </c>
      <c r="KKK29" t="s">
        <v>836</v>
      </c>
      <c r="KKL29" t="s">
        <v>836</v>
      </c>
      <c r="KKM29" t="s">
        <v>836</v>
      </c>
      <c r="KKN29" t="s">
        <v>836</v>
      </c>
      <c r="KKO29" t="s">
        <v>836</v>
      </c>
      <c r="KKP29" t="s">
        <v>836</v>
      </c>
      <c r="KKQ29" t="s">
        <v>836</v>
      </c>
      <c r="KKR29" t="s">
        <v>836</v>
      </c>
      <c r="KKS29" t="s">
        <v>836</v>
      </c>
      <c r="KKT29" t="s">
        <v>836</v>
      </c>
      <c r="KKU29" t="s">
        <v>836</v>
      </c>
      <c r="KKV29" t="s">
        <v>836</v>
      </c>
      <c r="KKW29" t="s">
        <v>836</v>
      </c>
      <c r="KKX29" t="s">
        <v>836</v>
      </c>
      <c r="KKY29" t="s">
        <v>836</v>
      </c>
      <c r="KKZ29" t="s">
        <v>836</v>
      </c>
      <c r="KLA29" t="s">
        <v>836</v>
      </c>
      <c r="KLB29" t="s">
        <v>836</v>
      </c>
      <c r="KLC29" t="s">
        <v>836</v>
      </c>
      <c r="KLD29" t="s">
        <v>836</v>
      </c>
      <c r="KLE29" t="s">
        <v>836</v>
      </c>
      <c r="KLF29" t="s">
        <v>836</v>
      </c>
      <c r="KLG29" t="s">
        <v>836</v>
      </c>
      <c r="KLH29" t="s">
        <v>836</v>
      </c>
      <c r="KLI29" t="s">
        <v>836</v>
      </c>
      <c r="KLJ29" t="s">
        <v>836</v>
      </c>
      <c r="KLK29" t="s">
        <v>836</v>
      </c>
      <c r="KLL29" t="s">
        <v>836</v>
      </c>
      <c r="KLM29" t="s">
        <v>836</v>
      </c>
      <c r="KLN29" t="s">
        <v>836</v>
      </c>
      <c r="KLO29" t="s">
        <v>836</v>
      </c>
      <c r="KLP29" t="s">
        <v>836</v>
      </c>
      <c r="KLQ29" t="s">
        <v>836</v>
      </c>
      <c r="KLR29" t="s">
        <v>836</v>
      </c>
      <c r="KLS29" t="s">
        <v>836</v>
      </c>
      <c r="KLT29" t="s">
        <v>836</v>
      </c>
      <c r="KLU29" t="s">
        <v>836</v>
      </c>
      <c r="KLV29" t="s">
        <v>836</v>
      </c>
      <c r="KLW29" t="s">
        <v>836</v>
      </c>
      <c r="KLX29" t="s">
        <v>836</v>
      </c>
      <c r="KLY29" t="s">
        <v>836</v>
      </c>
      <c r="KLZ29" t="s">
        <v>836</v>
      </c>
      <c r="KMA29" t="s">
        <v>836</v>
      </c>
      <c r="KMB29" t="s">
        <v>836</v>
      </c>
      <c r="KMC29" t="s">
        <v>836</v>
      </c>
      <c r="KMD29" t="s">
        <v>836</v>
      </c>
      <c r="KME29" t="s">
        <v>836</v>
      </c>
      <c r="KMF29" t="s">
        <v>836</v>
      </c>
      <c r="KMG29" t="s">
        <v>836</v>
      </c>
      <c r="KMH29" t="s">
        <v>836</v>
      </c>
      <c r="KMI29" t="s">
        <v>836</v>
      </c>
      <c r="KMJ29" t="s">
        <v>836</v>
      </c>
      <c r="KMK29" t="s">
        <v>836</v>
      </c>
      <c r="KML29" t="s">
        <v>836</v>
      </c>
      <c r="KMM29" t="s">
        <v>836</v>
      </c>
      <c r="KMN29" t="s">
        <v>836</v>
      </c>
      <c r="KMO29" t="s">
        <v>836</v>
      </c>
      <c r="KMP29" t="s">
        <v>836</v>
      </c>
      <c r="KMQ29" t="s">
        <v>836</v>
      </c>
      <c r="KMR29" t="s">
        <v>836</v>
      </c>
      <c r="KMS29" t="s">
        <v>836</v>
      </c>
      <c r="KMT29" t="s">
        <v>836</v>
      </c>
      <c r="KMU29" t="s">
        <v>836</v>
      </c>
      <c r="KMV29" t="s">
        <v>836</v>
      </c>
      <c r="KMW29" t="s">
        <v>836</v>
      </c>
      <c r="KMX29" t="s">
        <v>836</v>
      </c>
      <c r="KMY29" t="s">
        <v>836</v>
      </c>
      <c r="KMZ29" t="s">
        <v>836</v>
      </c>
      <c r="KNA29" t="s">
        <v>836</v>
      </c>
      <c r="KNB29" t="s">
        <v>836</v>
      </c>
      <c r="KNC29" t="s">
        <v>836</v>
      </c>
      <c r="KND29" t="s">
        <v>836</v>
      </c>
      <c r="KNE29" t="s">
        <v>836</v>
      </c>
      <c r="KNF29" t="s">
        <v>836</v>
      </c>
      <c r="KNG29" t="s">
        <v>836</v>
      </c>
      <c r="KNH29" t="s">
        <v>836</v>
      </c>
      <c r="KNI29" t="s">
        <v>836</v>
      </c>
      <c r="KNJ29" t="s">
        <v>836</v>
      </c>
      <c r="KNK29" t="s">
        <v>836</v>
      </c>
      <c r="KNL29" t="s">
        <v>836</v>
      </c>
      <c r="KNM29" t="s">
        <v>836</v>
      </c>
      <c r="KNN29" t="s">
        <v>836</v>
      </c>
      <c r="KNO29" t="s">
        <v>836</v>
      </c>
      <c r="KNP29" t="s">
        <v>836</v>
      </c>
      <c r="KNQ29" t="s">
        <v>836</v>
      </c>
      <c r="KNR29" t="s">
        <v>836</v>
      </c>
      <c r="KNS29" t="s">
        <v>836</v>
      </c>
      <c r="KNT29" t="s">
        <v>836</v>
      </c>
      <c r="KNU29" t="s">
        <v>836</v>
      </c>
      <c r="KNV29" t="s">
        <v>836</v>
      </c>
      <c r="KNW29" t="s">
        <v>836</v>
      </c>
      <c r="KNX29" t="s">
        <v>836</v>
      </c>
      <c r="KNY29" t="s">
        <v>836</v>
      </c>
      <c r="KNZ29" t="s">
        <v>836</v>
      </c>
      <c r="KOA29" t="s">
        <v>836</v>
      </c>
      <c r="KOB29" t="s">
        <v>836</v>
      </c>
      <c r="KOC29" t="s">
        <v>836</v>
      </c>
      <c r="KOD29" t="s">
        <v>836</v>
      </c>
      <c r="KOE29" t="s">
        <v>836</v>
      </c>
      <c r="KOF29" t="s">
        <v>836</v>
      </c>
      <c r="KOG29" t="s">
        <v>836</v>
      </c>
      <c r="KOH29" t="s">
        <v>836</v>
      </c>
      <c r="KOI29" t="s">
        <v>836</v>
      </c>
      <c r="KOJ29" t="s">
        <v>836</v>
      </c>
      <c r="KOK29" t="s">
        <v>836</v>
      </c>
      <c r="KOL29" t="s">
        <v>836</v>
      </c>
      <c r="KOM29" t="s">
        <v>836</v>
      </c>
      <c r="KON29" t="s">
        <v>836</v>
      </c>
      <c r="KOO29" t="s">
        <v>836</v>
      </c>
      <c r="KOP29" t="s">
        <v>836</v>
      </c>
      <c r="KOQ29" t="s">
        <v>836</v>
      </c>
      <c r="KOR29" t="s">
        <v>836</v>
      </c>
      <c r="KOS29" t="s">
        <v>836</v>
      </c>
      <c r="KOT29" t="s">
        <v>836</v>
      </c>
      <c r="KOU29" t="s">
        <v>836</v>
      </c>
      <c r="KOV29" t="s">
        <v>836</v>
      </c>
      <c r="KOW29" t="s">
        <v>836</v>
      </c>
      <c r="KOX29" t="s">
        <v>836</v>
      </c>
      <c r="KOY29" t="s">
        <v>836</v>
      </c>
      <c r="KOZ29" t="s">
        <v>836</v>
      </c>
      <c r="KPA29" t="s">
        <v>836</v>
      </c>
      <c r="KPB29" t="s">
        <v>836</v>
      </c>
      <c r="KPC29" t="s">
        <v>836</v>
      </c>
      <c r="KPD29" t="s">
        <v>836</v>
      </c>
      <c r="KPE29" t="s">
        <v>836</v>
      </c>
      <c r="KPF29" t="s">
        <v>836</v>
      </c>
      <c r="KPG29" t="s">
        <v>836</v>
      </c>
      <c r="KPH29" t="s">
        <v>836</v>
      </c>
      <c r="KPI29" t="s">
        <v>836</v>
      </c>
      <c r="KPJ29" t="s">
        <v>836</v>
      </c>
      <c r="KPK29" t="s">
        <v>836</v>
      </c>
      <c r="KPL29" t="s">
        <v>836</v>
      </c>
      <c r="KPM29" t="s">
        <v>836</v>
      </c>
      <c r="KPN29" t="s">
        <v>836</v>
      </c>
      <c r="KPO29" t="s">
        <v>836</v>
      </c>
      <c r="KPP29" t="s">
        <v>836</v>
      </c>
      <c r="KPQ29" t="s">
        <v>836</v>
      </c>
      <c r="KPR29" t="s">
        <v>836</v>
      </c>
      <c r="KPS29" t="s">
        <v>836</v>
      </c>
      <c r="KPT29" t="s">
        <v>836</v>
      </c>
      <c r="KPU29" t="s">
        <v>836</v>
      </c>
      <c r="KPV29" t="s">
        <v>836</v>
      </c>
      <c r="KPW29" t="s">
        <v>836</v>
      </c>
      <c r="KPX29" t="s">
        <v>836</v>
      </c>
      <c r="KPY29" t="s">
        <v>836</v>
      </c>
      <c r="KPZ29" t="s">
        <v>836</v>
      </c>
      <c r="KQA29" t="s">
        <v>836</v>
      </c>
      <c r="KQB29" t="s">
        <v>836</v>
      </c>
      <c r="KQC29" t="s">
        <v>836</v>
      </c>
      <c r="KQD29" t="s">
        <v>836</v>
      </c>
      <c r="KQE29" t="s">
        <v>836</v>
      </c>
      <c r="KQF29" t="s">
        <v>836</v>
      </c>
      <c r="KQG29" t="s">
        <v>836</v>
      </c>
      <c r="KQH29" t="s">
        <v>836</v>
      </c>
      <c r="KQI29" t="s">
        <v>836</v>
      </c>
      <c r="KQJ29" t="s">
        <v>836</v>
      </c>
      <c r="KQK29" t="s">
        <v>836</v>
      </c>
      <c r="KQL29" t="s">
        <v>836</v>
      </c>
      <c r="KQM29" t="s">
        <v>836</v>
      </c>
      <c r="KQN29" t="s">
        <v>836</v>
      </c>
      <c r="KQO29" t="s">
        <v>836</v>
      </c>
      <c r="KQP29" t="s">
        <v>836</v>
      </c>
      <c r="KQQ29" t="s">
        <v>836</v>
      </c>
      <c r="KQR29" t="s">
        <v>836</v>
      </c>
      <c r="KQS29" t="s">
        <v>836</v>
      </c>
      <c r="KQT29" t="s">
        <v>836</v>
      </c>
      <c r="KQU29" t="s">
        <v>836</v>
      </c>
      <c r="KQV29" t="s">
        <v>836</v>
      </c>
      <c r="KQW29" t="s">
        <v>836</v>
      </c>
      <c r="KQX29" t="s">
        <v>836</v>
      </c>
      <c r="KQY29" t="s">
        <v>836</v>
      </c>
      <c r="KQZ29" t="s">
        <v>836</v>
      </c>
      <c r="KRA29" t="s">
        <v>836</v>
      </c>
      <c r="KRB29" t="s">
        <v>836</v>
      </c>
      <c r="KRC29" t="s">
        <v>836</v>
      </c>
      <c r="KRD29" t="s">
        <v>836</v>
      </c>
      <c r="KRE29" t="s">
        <v>836</v>
      </c>
      <c r="KRF29" t="s">
        <v>836</v>
      </c>
      <c r="KRG29" t="s">
        <v>836</v>
      </c>
      <c r="KRH29" t="s">
        <v>836</v>
      </c>
      <c r="KRI29" t="s">
        <v>836</v>
      </c>
      <c r="KRJ29" t="s">
        <v>836</v>
      </c>
      <c r="KRK29" t="s">
        <v>836</v>
      </c>
      <c r="KRL29" t="s">
        <v>836</v>
      </c>
      <c r="KRM29" t="s">
        <v>836</v>
      </c>
      <c r="KRN29" t="s">
        <v>836</v>
      </c>
      <c r="KRO29" t="s">
        <v>836</v>
      </c>
      <c r="KRP29" t="s">
        <v>836</v>
      </c>
      <c r="KRQ29" t="s">
        <v>836</v>
      </c>
      <c r="KRR29" t="s">
        <v>836</v>
      </c>
      <c r="KRS29" t="s">
        <v>836</v>
      </c>
      <c r="KRT29" t="s">
        <v>836</v>
      </c>
      <c r="KRU29" t="s">
        <v>836</v>
      </c>
      <c r="KRV29" t="s">
        <v>836</v>
      </c>
      <c r="KRW29" t="s">
        <v>836</v>
      </c>
      <c r="KRX29" t="s">
        <v>836</v>
      </c>
      <c r="KRY29" t="s">
        <v>836</v>
      </c>
      <c r="KRZ29" t="s">
        <v>836</v>
      </c>
      <c r="KSA29" t="s">
        <v>836</v>
      </c>
      <c r="KSB29" t="s">
        <v>836</v>
      </c>
      <c r="KSC29" t="s">
        <v>836</v>
      </c>
      <c r="KSD29" t="s">
        <v>836</v>
      </c>
      <c r="KSE29" t="s">
        <v>836</v>
      </c>
      <c r="KSF29" t="s">
        <v>836</v>
      </c>
      <c r="KSG29" t="s">
        <v>836</v>
      </c>
      <c r="KSH29" t="s">
        <v>836</v>
      </c>
      <c r="KSI29" t="s">
        <v>836</v>
      </c>
      <c r="KSJ29" t="s">
        <v>836</v>
      </c>
      <c r="KSK29" t="s">
        <v>836</v>
      </c>
      <c r="KSL29" t="s">
        <v>836</v>
      </c>
      <c r="KSM29" t="s">
        <v>836</v>
      </c>
      <c r="KSN29" t="s">
        <v>836</v>
      </c>
      <c r="KSO29" t="s">
        <v>836</v>
      </c>
      <c r="KSP29" t="s">
        <v>836</v>
      </c>
      <c r="KSQ29" t="s">
        <v>836</v>
      </c>
      <c r="KSR29" t="s">
        <v>836</v>
      </c>
      <c r="KSS29" t="s">
        <v>836</v>
      </c>
      <c r="KST29" t="s">
        <v>836</v>
      </c>
      <c r="KSU29" t="s">
        <v>836</v>
      </c>
      <c r="KSV29" t="s">
        <v>836</v>
      </c>
      <c r="KSW29" t="s">
        <v>836</v>
      </c>
      <c r="KSX29" t="s">
        <v>836</v>
      </c>
      <c r="KSY29" t="s">
        <v>836</v>
      </c>
      <c r="KSZ29" t="s">
        <v>836</v>
      </c>
      <c r="KTA29" t="s">
        <v>836</v>
      </c>
      <c r="KTB29" t="s">
        <v>836</v>
      </c>
      <c r="KTC29" t="s">
        <v>836</v>
      </c>
      <c r="KTD29" t="s">
        <v>836</v>
      </c>
      <c r="KTE29" t="s">
        <v>836</v>
      </c>
      <c r="KTF29" t="s">
        <v>836</v>
      </c>
      <c r="KTG29" t="s">
        <v>836</v>
      </c>
      <c r="KTH29" t="s">
        <v>836</v>
      </c>
      <c r="KTI29" t="s">
        <v>836</v>
      </c>
      <c r="KTJ29" t="s">
        <v>836</v>
      </c>
      <c r="KTK29" t="s">
        <v>836</v>
      </c>
      <c r="KTL29" t="s">
        <v>836</v>
      </c>
      <c r="KTM29" t="s">
        <v>836</v>
      </c>
      <c r="KTN29" t="s">
        <v>836</v>
      </c>
      <c r="KTO29" t="s">
        <v>836</v>
      </c>
      <c r="KTP29" t="s">
        <v>836</v>
      </c>
      <c r="KTQ29" t="s">
        <v>836</v>
      </c>
      <c r="KTR29" t="s">
        <v>836</v>
      </c>
      <c r="KTS29" t="s">
        <v>836</v>
      </c>
      <c r="KTT29" t="s">
        <v>836</v>
      </c>
      <c r="KTU29" t="s">
        <v>836</v>
      </c>
      <c r="KTV29" t="s">
        <v>836</v>
      </c>
      <c r="KTW29" t="s">
        <v>836</v>
      </c>
      <c r="KTX29" t="s">
        <v>836</v>
      </c>
      <c r="KTY29" t="s">
        <v>836</v>
      </c>
      <c r="KTZ29" t="s">
        <v>836</v>
      </c>
      <c r="KUA29" t="s">
        <v>836</v>
      </c>
      <c r="KUB29" t="s">
        <v>836</v>
      </c>
      <c r="KUC29" t="s">
        <v>836</v>
      </c>
      <c r="KUD29" t="s">
        <v>836</v>
      </c>
      <c r="KUE29" t="s">
        <v>836</v>
      </c>
      <c r="KUF29" t="s">
        <v>836</v>
      </c>
      <c r="KUG29" t="s">
        <v>836</v>
      </c>
      <c r="KUH29" t="s">
        <v>836</v>
      </c>
      <c r="KUI29" t="s">
        <v>836</v>
      </c>
      <c r="KUJ29" t="s">
        <v>836</v>
      </c>
      <c r="KUK29" t="s">
        <v>836</v>
      </c>
      <c r="KUL29" t="s">
        <v>836</v>
      </c>
      <c r="KUM29" t="s">
        <v>836</v>
      </c>
      <c r="KUN29" t="s">
        <v>836</v>
      </c>
      <c r="KUO29" t="s">
        <v>836</v>
      </c>
      <c r="KUP29" t="s">
        <v>836</v>
      </c>
      <c r="KUQ29" t="s">
        <v>836</v>
      </c>
      <c r="KUR29" t="s">
        <v>836</v>
      </c>
      <c r="KUS29" t="s">
        <v>836</v>
      </c>
      <c r="KUT29" t="s">
        <v>836</v>
      </c>
      <c r="KUU29" t="s">
        <v>836</v>
      </c>
      <c r="KUV29" t="s">
        <v>836</v>
      </c>
      <c r="KUW29" t="s">
        <v>836</v>
      </c>
      <c r="KUX29" t="s">
        <v>836</v>
      </c>
      <c r="KUY29" t="s">
        <v>836</v>
      </c>
      <c r="KUZ29" t="s">
        <v>836</v>
      </c>
      <c r="KVA29" t="s">
        <v>836</v>
      </c>
      <c r="KVB29" t="s">
        <v>836</v>
      </c>
      <c r="KVC29" t="s">
        <v>836</v>
      </c>
      <c r="KVD29" t="s">
        <v>836</v>
      </c>
      <c r="KVE29" t="s">
        <v>836</v>
      </c>
      <c r="KVF29" t="s">
        <v>836</v>
      </c>
      <c r="KVG29" t="s">
        <v>836</v>
      </c>
      <c r="KVH29" t="s">
        <v>836</v>
      </c>
      <c r="KVI29" t="s">
        <v>836</v>
      </c>
      <c r="KVJ29" t="s">
        <v>836</v>
      </c>
      <c r="KVK29" t="s">
        <v>836</v>
      </c>
      <c r="KVL29" t="s">
        <v>836</v>
      </c>
      <c r="KVM29" t="s">
        <v>836</v>
      </c>
      <c r="KVN29" t="s">
        <v>836</v>
      </c>
      <c r="KVO29" t="s">
        <v>836</v>
      </c>
      <c r="KVP29" t="s">
        <v>836</v>
      </c>
      <c r="KVQ29" t="s">
        <v>836</v>
      </c>
      <c r="KVR29" t="s">
        <v>836</v>
      </c>
      <c r="KVS29" t="s">
        <v>836</v>
      </c>
      <c r="KVT29" t="s">
        <v>836</v>
      </c>
      <c r="KVU29" t="s">
        <v>836</v>
      </c>
      <c r="KVV29" t="s">
        <v>836</v>
      </c>
      <c r="KVW29" t="s">
        <v>836</v>
      </c>
      <c r="KVX29" t="s">
        <v>836</v>
      </c>
      <c r="KVY29" t="s">
        <v>836</v>
      </c>
      <c r="KVZ29" t="s">
        <v>836</v>
      </c>
      <c r="KWA29" t="s">
        <v>836</v>
      </c>
      <c r="KWB29" t="s">
        <v>836</v>
      </c>
      <c r="KWC29" t="s">
        <v>836</v>
      </c>
      <c r="KWD29" t="s">
        <v>836</v>
      </c>
      <c r="KWE29" t="s">
        <v>836</v>
      </c>
      <c r="KWF29" t="s">
        <v>836</v>
      </c>
      <c r="KWG29" t="s">
        <v>836</v>
      </c>
      <c r="KWH29" t="s">
        <v>836</v>
      </c>
      <c r="KWI29" t="s">
        <v>836</v>
      </c>
      <c r="KWJ29" t="s">
        <v>836</v>
      </c>
      <c r="KWK29" t="s">
        <v>836</v>
      </c>
      <c r="KWL29" t="s">
        <v>836</v>
      </c>
      <c r="KWM29" t="s">
        <v>836</v>
      </c>
      <c r="KWN29" t="s">
        <v>836</v>
      </c>
      <c r="KWO29" t="s">
        <v>836</v>
      </c>
      <c r="KWP29" t="s">
        <v>836</v>
      </c>
      <c r="KWQ29" t="s">
        <v>836</v>
      </c>
      <c r="KWR29" t="s">
        <v>836</v>
      </c>
      <c r="KWS29" t="s">
        <v>836</v>
      </c>
      <c r="KWT29" t="s">
        <v>836</v>
      </c>
      <c r="KWU29" t="s">
        <v>836</v>
      </c>
      <c r="KWV29" t="s">
        <v>836</v>
      </c>
      <c r="KWW29" t="s">
        <v>836</v>
      </c>
      <c r="KWX29" t="s">
        <v>836</v>
      </c>
      <c r="KWY29" t="s">
        <v>836</v>
      </c>
      <c r="KWZ29" t="s">
        <v>836</v>
      </c>
      <c r="KXA29" t="s">
        <v>836</v>
      </c>
      <c r="KXB29" t="s">
        <v>836</v>
      </c>
      <c r="KXC29" t="s">
        <v>836</v>
      </c>
      <c r="KXD29" t="s">
        <v>836</v>
      </c>
      <c r="KXE29" t="s">
        <v>836</v>
      </c>
      <c r="KXF29" t="s">
        <v>836</v>
      </c>
      <c r="KXG29" t="s">
        <v>836</v>
      </c>
      <c r="KXH29" t="s">
        <v>836</v>
      </c>
      <c r="KXI29" t="s">
        <v>836</v>
      </c>
      <c r="KXJ29" t="s">
        <v>836</v>
      </c>
      <c r="KXK29" t="s">
        <v>836</v>
      </c>
      <c r="KXL29" t="s">
        <v>836</v>
      </c>
      <c r="KXM29" t="s">
        <v>836</v>
      </c>
      <c r="KXN29" t="s">
        <v>836</v>
      </c>
      <c r="KXO29" t="s">
        <v>836</v>
      </c>
      <c r="KXP29" t="s">
        <v>836</v>
      </c>
      <c r="KXQ29" t="s">
        <v>836</v>
      </c>
      <c r="KXR29" t="s">
        <v>836</v>
      </c>
      <c r="KXS29" t="s">
        <v>836</v>
      </c>
      <c r="KXT29" t="s">
        <v>836</v>
      </c>
      <c r="KXU29" t="s">
        <v>836</v>
      </c>
      <c r="KXV29" t="s">
        <v>836</v>
      </c>
      <c r="KXW29" t="s">
        <v>836</v>
      </c>
      <c r="KXX29" t="s">
        <v>836</v>
      </c>
      <c r="KXY29" t="s">
        <v>836</v>
      </c>
      <c r="KXZ29" t="s">
        <v>836</v>
      </c>
      <c r="KYA29" t="s">
        <v>836</v>
      </c>
      <c r="KYB29" t="s">
        <v>836</v>
      </c>
      <c r="KYC29" t="s">
        <v>836</v>
      </c>
      <c r="KYD29" t="s">
        <v>836</v>
      </c>
      <c r="KYE29" t="s">
        <v>836</v>
      </c>
      <c r="KYF29" t="s">
        <v>836</v>
      </c>
      <c r="KYG29" t="s">
        <v>836</v>
      </c>
      <c r="KYH29" t="s">
        <v>836</v>
      </c>
      <c r="KYI29" t="s">
        <v>836</v>
      </c>
      <c r="KYJ29" t="s">
        <v>836</v>
      </c>
      <c r="KYK29" t="s">
        <v>836</v>
      </c>
      <c r="KYL29" t="s">
        <v>836</v>
      </c>
      <c r="KYM29" t="s">
        <v>836</v>
      </c>
      <c r="KYN29" t="s">
        <v>836</v>
      </c>
      <c r="KYO29" t="s">
        <v>836</v>
      </c>
      <c r="KYP29" t="s">
        <v>836</v>
      </c>
      <c r="KYQ29" t="s">
        <v>836</v>
      </c>
      <c r="KYR29" t="s">
        <v>836</v>
      </c>
      <c r="KYS29" t="s">
        <v>836</v>
      </c>
      <c r="KYT29" t="s">
        <v>836</v>
      </c>
      <c r="KYU29" t="s">
        <v>836</v>
      </c>
      <c r="KYV29" t="s">
        <v>836</v>
      </c>
      <c r="KYW29" t="s">
        <v>836</v>
      </c>
      <c r="KYX29" t="s">
        <v>836</v>
      </c>
      <c r="KYY29" t="s">
        <v>836</v>
      </c>
      <c r="KYZ29" t="s">
        <v>836</v>
      </c>
      <c r="KZA29" t="s">
        <v>836</v>
      </c>
      <c r="KZB29" t="s">
        <v>836</v>
      </c>
      <c r="KZC29" t="s">
        <v>836</v>
      </c>
      <c r="KZD29" t="s">
        <v>836</v>
      </c>
      <c r="KZE29" t="s">
        <v>836</v>
      </c>
      <c r="KZF29" t="s">
        <v>836</v>
      </c>
      <c r="KZG29" t="s">
        <v>836</v>
      </c>
      <c r="KZH29" t="s">
        <v>836</v>
      </c>
      <c r="KZI29" t="s">
        <v>836</v>
      </c>
      <c r="KZJ29" t="s">
        <v>836</v>
      </c>
      <c r="KZK29" t="s">
        <v>836</v>
      </c>
      <c r="KZL29" t="s">
        <v>836</v>
      </c>
      <c r="KZM29" t="s">
        <v>836</v>
      </c>
      <c r="KZN29" t="s">
        <v>836</v>
      </c>
      <c r="KZO29" t="s">
        <v>836</v>
      </c>
      <c r="KZP29" t="s">
        <v>836</v>
      </c>
      <c r="KZQ29" t="s">
        <v>836</v>
      </c>
      <c r="KZR29" t="s">
        <v>836</v>
      </c>
      <c r="KZS29" t="s">
        <v>836</v>
      </c>
      <c r="KZT29" t="s">
        <v>836</v>
      </c>
      <c r="KZU29" t="s">
        <v>836</v>
      </c>
      <c r="KZV29" t="s">
        <v>836</v>
      </c>
      <c r="KZW29" t="s">
        <v>836</v>
      </c>
      <c r="KZX29" t="s">
        <v>836</v>
      </c>
      <c r="KZY29" t="s">
        <v>836</v>
      </c>
      <c r="KZZ29" t="s">
        <v>836</v>
      </c>
      <c r="LAA29" t="s">
        <v>836</v>
      </c>
      <c r="LAB29" t="s">
        <v>836</v>
      </c>
      <c r="LAC29" t="s">
        <v>836</v>
      </c>
      <c r="LAD29" t="s">
        <v>836</v>
      </c>
      <c r="LAE29" t="s">
        <v>836</v>
      </c>
      <c r="LAF29" t="s">
        <v>836</v>
      </c>
      <c r="LAG29" t="s">
        <v>836</v>
      </c>
      <c r="LAH29" t="s">
        <v>836</v>
      </c>
      <c r="LAI29" t="s">
        <v>836</v>
      </c>
      <c r="LAJ29" t="s">
        <v>836</v>
      </c>
      <c r="LAK29" t="s">
        <v>836</v>
      </c>
      <c r="LAL29" t="s">
        <v>836</v>
      </c>
      <c r="LAM29" t="s">
        <v>836</v>
      </c>
      <c r="LAN29" t="s">
        <v>836</v>
      </c>
      <c r="LAO29" t="s">
        <v>836</v>
      </c>
      <c r="LAP29" t="s">
        <v>836</v>
      </c>
      <c r="LAQ29" t="s">
        <v>836</v>
      </c>
      <c r="LAR29" t="s">
        <v>836</v>
      </c>
      <c r="LAS29" t="s">
        <v>836</v>
      </c>
      <c r="LAT29" t="s">
        <v>836</v>
      </c>
      <c r="LAU29" t="s">
        <v>836</v>
      </c>
      <c r="LAV29" t="s">
        <v>836</v>
      </c>
      <c r="LAW29" t="s">
        <v>836</v>
      </c>
      <c r="LAX29" t="s">
        <v>836</v>
      </c>
      <c r="LAY29" t="s">
        <v>836</v>
      </c>
      <c r="LAZ29" t="s">
        <v>836</v>
      </c>
      <c r="LBA29" t="s">
        <v>836</v>
      </c>
      <c r="LBB29" t="s">
        <v>836</v>
      </c>
      <c r="LBC29" t="s">
        <v>836</v>
      </c>
      <c r="LBD29" t="s">
        <v>836</v>
      </c>
      <c r="LBE29" t="s">
        <v>836</v>
      </c>
      <c r="LBF29" t="s">
        <v>836</v>
      </c>
      <c r="LBG29" t="s">
        <v>836</v>
      </c>
      <c r="LBH29" t="s">
        <v>836</v>
      </c>
      <c r="LBI29" t="s">
        <v>836</v>
      </c>
      <c r="LBJ29" t="s">
        <v>836</v>
      </c>
      <c r="LBK29" t="s">
        <v>836</v>
      </c>
      <c r="LBL29" t="s">
        <v>836</v>
      </c>
      <c r="LBM29" t="s">
        <v>836</v>
      </c>
      <c r="LBN29" t="s">
        <v>836</v>
      </c>
      <c r="LBO29" t="s">
        <v>836</v>
      </c>
      <c r="LBP29" t="s">
        <v>836</v>
      </c>
      <c r="LBQ29" t="s">
        <v>836</v>
      </c>
      <c r="LBR29" t="s">
        <v>836</v>
      </c>
      <c r="LBS29" t="s">
        <v>836</v>
      </c>
      <c r="LBT29" t="s">
        <v>836</v>
      </c>
      <c r="LBU29" t="s">
        <v>836</v>
      </c>
      <c r="LBV29" t="s">
        <v>836</v>
      </c>
      <c r="LBW29" t="s">
        <v>836</v>
      </c>
      <c r="LBX29" t="s">
        <v>836</v>
      </c>
      <c r="LBY29" t="s">
        <v>836</v>
      </c>
      <c r="LBZ29" t="s">
        <v>836</v>
      </c>
      <c r="LCA29" t="s">
        <v>836</v>
      </c>
      <c r="LCB29" t="s">
        <v>836</v>
      </c>
      <c r="LCC29" t="s">
        <v>836</v>
      </c>
      <c r="LCD29" t="s">
        <v>836</v>
      </c>
      <c r="LCE29" t="s">
        <v>836</v>
      </c>
      <c r="LCF29" t="s">
        <v>836</v>
      </c>
      <c r="LCG29" t="s">
        <v>836</v>
      </c>
      <c r="LCH29" t="s">
        <v>836</v>
      </c>
      <c r="LCI29" t="s">
        <v>836</v>
      </c>
      <c r="LCJ29" t="s">
        <v>836</v>
      </c>
      <c r="LCK29" t="s">
        <v>836</v>
      </c>
      <c r="LCL29" t="s">
        <v>836</v>
      </c>
      <c r="LCM29" t="s">
        <v>836</v>
      </c>
      <c r="LCN29" t="s">
        <v>836</v>
      </c>
      <c r="LCO29" t="s">
        <v>836</v>
      </c>
      <c r="LCP29" t="s">
        <v>836</v>
      </c>
      <c r="LCQ29" t="s">
        <v>836</v>
      </c>
      <c r="LCR29" t="s">
        <v>836</v>
      </c>
      <c r="LCS29" t="s">
        <v>836</v>
      </c>
      <c r="LCT29" t="s">
        <v>836</v>
      </c>
      <c r="LCU29" t="s">
        <v>836</v>
      </c>
      <c r="LCV29" t="s">
        <v>836</v>
      </c>
      <c r="LCW29" t="s">
        <v>836</v>
      </c>
      <c r="LCX29" t="s">
        <v>836</v>
      </c>
      <c r="LCY29" t="s">
        <v>836</v>
      </c>
      <c r="LCZ29" t="s">
        <v>836</v>
      </c>
      <c r="LDA29" t="s">
        <v>836</v>
      </c>
      <c r="LDB29" t="s">
        <v>836</v>
      </c>
      <c r="LDC29" t="s">
        <v>836</v>
      </c>
      <c r="LDD29" t="s">
        <v>836</v>
      </c>
      <c r="LDE29" t="s">
        <v>836</v>
      </c>
      <c r="LDF29" t="s">
        <v>836</v>
      </c>
      <c r="LDG29" t="s">
        <v>836</v>
      </c>
      <c r="LDH29" t="s">
        <v>836</v>
      </c>
      <c r="LDI29" t="s">
        <v>836</v>
      </c>
      <c r="LDJ29" t="s">
        <v>836</v>
      </c>
      <c r="LDK29" t="s">
        <v>836</v>
      </c>
      <c r="LDL29" t="s">
        <v>836</v>
      </c>
      <c r="LDM29" t="s">
        <v>836</v>
      </c>
      <c r="LDN29" t="s">
        <v>836</v>
      </c>
      <c r="LDO29" t="s">
        <v>836</v>
      </c>
      <c r="LDP29" t="s">
        <v>836</v>
      </c>
      <c r="LDQ29" t="s">
        <v>836</v>
      </c>
      <c r="LDR29" t="s">
        <v>836</v>
      </c>
      <c r="LDS29" t="s">
        <v>836</v>
      </c>
      <c r="LDT29" t="s">
        <v>836</v>
      </c>
      <c r="LDU29" t="s">
        <v>836</v>
      </c>
      <c r="LDV29" t="s">
        <v>836</v>
      </c>
      <c r="LDW29" t="s">
        <v>836</v>
      </c>
      <c r="LDX29" t="s">
        <v>836</v>
      </c>
      <c r="LDY29" t="s">
        <v>836</v>
      </c>
      <c r="LDZ29" t="s">
        <v>836</v>
      </c>
      <c r="LEA29" t="s">
        <v>836</v>
      </c>
      <c r="LEB29" t="s">
        <v>836</v>
      </c>
      <c r="LEC29" t="s">
        <v>836</v>
      </c>
      <c r="LED29" t="s">
        <v>836</v>
      </c>
      <c r="LEE29" t="s">
        <v>836</v>
      </c>
      <c r="LEF29" t="s">
        <v>836</v>
      </c>
      <c r="LEG29" t="s">
        <v>836</v>
      </c>
      <c r="LEH29" t="s">
        <v>836</v>
      </c>
      <c r="LEI29" t="s">
        <v>836</v>
      </c>
      <c r="LEJ29" t="s">
        <v>836</v>
      </c>
      <c r="LEK29" t="s">
        <v>836</v>
      </c>
      <c r="LEL29" t="s">
        <v>836</v>
      </c>
      <c r="LEM29" t="s">
        <v>836</v>
      </c>
      <c r="LEN29" t="s">
        <v>836</v>
      </c>
      <c r="LEO29" t="s">
        <v>836</v>
      </c>
      <c r="LEP29" t="s">
        <v>836</v>
      </c>
      <c r="LEQ29" t="s">
        <v>836</v>
      </c>
      <c r="LER29" t="s">
        <v>836</v>
      </c>
      <c r="LES29" t="s">
        <v>836</v>
      </c>
      <c r="LET29" t="s">
        <v>836</v>
      </c>
      <c r="LEU29" t="s">
        <v>836</v>
      </c>
      <c r="LEV29" t="s">
        <v>836</v>
      </c>
      <c r="LEW29" t="s">
        <v>836</v>
      </c>
      <c r="LEX29" t="s">
        <v>836</v>
      </c>
      <c r="LEY29" t="s">
        <v>836</v>
      </c>
      <c r="LEZ29" t="s">
        <v>836</v>
      </c>
      <c r="LFA29" t="s">
        <v>836</v>
      </c>
      <c r="LFB29" t="s">
        <v>836</v>
      </c>
      <c r="LFC29" t="s">
        <v>836</v>
      </c>
      <c r="LFD29" t="s">
        <v>836</v>
      </c>
      <c r="LFE29" t="s">
        <v>836</v>
      </c>
      <c r="LFF29" t="s">
        <v>836</v>
      </c>
      <c r="LFG29" t="s">
        <v>836</v>
      </c>
      <c r="LFH29" t="s">
        <v>836</v>
      </c>
      <c r="LFI29" t="s">
        <v>836</v>
      </c>
      <c r="LFJ29" t="s">
        <v>836</v>
      </c>
      <c r="LFK29" t="s">
        <v>836</v>
      </c>
      <c r="LFL29" t="s">
        <v>836</v>
      </c>
      <c r="LFM29" t="s">
        <v>836</v>
      </c>
      <c r="LFN29" t="s">
        <v>836</v>
      </c>
      <c r="LFO29" t="s">
        <v>836</v>
      </c>
      <c r="LFP29" t="s">
        <v>836</v>
      </c>
      <c r="LFQ29" t="s">
        <v>836</v>
      </c>
      <c r="LFR29" t="s">
        <v>836</v>
      </c>
      <c r="LFS29" t="s">
        <v>836</v>
      </c>
      <c r="LFT29" t="s">
        <v>836</v>
      </c>
      <c r="LFU29" t="s">
        <v>836</v>
      </c>
      <c r="LFV29" t="s">
        <v>836</v>
      </c>
      <c r="LFW29" t="s">
        <v>836</v>
      </c>
      <c r="LFX29" t="s">
        <v>836</v>
      </c>
      <c r="LFY29" t="s">
        <v>836</v>
      </c>
      <c r="LFZ29" t="s">
        <v>836</v>
      </c>
      <c r="LGA29" t="s">
        <v>836</v>
      </c>
      <c r="LGB29" t="s">
        <v>836</v>
      </c>
      <c r="LGC29" t="s">
        <v>836</v>
      </c>
      <c r="LGD29" t="s">
        <v>836</v>
      </c>
      <c r="LGE29" t="s">
        <v>836</v>
      </c>
      <c r="LGF29" t="s">
        <v>836</v>
      </c>
      <c r="LGG29" t="s">
        <v>836</v>
      </c>
      <c r="LGH29" t="s">
        <v>836</v>
      </c>
      <c r="LGI29" t="s">
        <v>836</v>
      </c>
      <c r="LGJ29" t="s">
        <v>836</v>
      </c>
      <c r="LGK29" t="s">
        <v>836</v>
      </c>
      <c r="LGL29" t="s">
        <v>836</v>
      </c>
      <c r="LGM29" t="s">
        <v>836</v>
      </c>
      <c r="LGN29" t="s">
        <v>836</v>
      </c>
      <c r="LGO29" t="s">
        <v>836</v>
      </c>
      <c r="LGP29" t="s">
        <v>836</v>
      </c>
      <c r="LGQ29" t="s">
        <v>836</v>
      </c>
      <c r="LGR29" t="s">
        <v>836</v>
      </c>
      <c r="LGS29" t="s">
        <v>836</v>
      </c>
      <c r="LGT29" t="s">
        <v>836</v>
      </c>
      <c r="LGU29" t="s">
        <v>836</v>
      </c>
      <c r="LGV29" t="s">
        <v>836</v>
      </c>
      <c r="LGW29" t="s">
        <v>836</v>
      </c>
      <c r="LGX29" t="s">
        <v>836</v>
      </c>
      <c r="LGY29" t="s">
        <v>836</v>
      </c>
      <c r="LGZ29" t="s">
        <v>836</v>
      </c>
      <c r="LHA29" t="s">
        <v>836</v>
      </c>
      <c r="LHB29" t="s">
        <v>836</v>
      </c>
      <c r="LHC29" t="s">
        <v>836</v>
      </c>
      <c r="LHD29" t="s">
        <v>836</v>
      </c>
      <c r="LHE29" t="s">
        <v>836</v>
      </c>
      <c r="LHF29" t="s">
        <v>836</v>
      </c>
      <c r="LHG29" t="s">
        <v>836</v>
      </c>
      <c r="LHH29" t="s">
        <v>836</v>
      </c>
      <c r="LHI29" t="s">
        <v>836</v>
      </c>
      <c r="LHJ29" t="s">
        <v>836</v>
      </c>
      <c r="LHK29" t="s">
        <v>836</v>
      </c>
      <c r="LHL29" t="s">
        <v>836</v>
      </c>
      <c r="LHM29" t="s">
        <v>836</v>
      </c>
      <c r="LHN29" t="s">
        <v>836</v>
      </c>
      <c r="LHO29" t="s">
        <v>836</v>
      </c>
      <c r="LHP29" t="s">
        <v>836</v>
      </c>
      <c r="LHQ29" t="s">
        <v>836</v>
      </c>
      <c r="LHR29" t="s">
        <v>836</v>
      </c>
      <c r="LHS29" t="s">
        <v>836</v>
      </c>
      <c r="LHT29" t="s">
        <v>836</v>
      </c>
      <c r="LHU29" t="s">
        <v>836</v>
      </c>
      <c r="LHV29" t="s">
        <v>836</v>
      </c>
      <c r="LHW29" t="s">
        <v>836</v>
      </c>
      <c r="LHX29" t="s">
        <v>836</v>
      </c>
      <c r="LHY29" t="s">
        <v>836</v>
      </c>
      <c r="LHZ29" t="s">
        <v>836</v>
      </c>
      <c r="LIA29" t="s">
        <v>836</v>
      </c>
      <c r="LIB29" t="s">
        <v>836</v>
      </c>
      <c r="LIC29" t="s">
        <v>836</v>
      </c>
      <c r="LID29" t="s">
        <v>836</v>
      </c>
      <c r="LIE29" t="s">
        <v>836</v>
      </c>
      <c r="LIF29" t="s">
        <v>836</v>
      </c>
      <c r="LIG29" t="s">
        <v>836</v>
      </c>
      <c r="LIH29" t="s">
        <v>836</v>
      </c>
      <c r="LII29" t="s">
        <v>836</v>
      </c>
      <c r="LIJ29" t="s">
        <v>836</v>
      </c>
      <c r="LIK29" t="s">
        <v>836</v>
      </c>
      <c r="LIL29" t="s">
        <v>836</v>
      </c>
      <c r="LIM29" t="s">
        <v>836</v>
      </c>
      <c r="LIN29" t="s">
        <v>836</v>
      </c>
      <c r="LIO29" t="s">
        <v>836</v>
      </c>
      <c r="LIP29" t="s">
        <v>836</v>
      </c>
      <c r="LIQ29" t="s">
        <v>836</v>
      </c>
      <c r="LIR29" t="s">
        <v>836</v>
      </c>
      <c r="LIS29" t="s">
        <v>836</v>
      </c>
      <c r="LIT29" t="s">
        <v>836</v>
      </c>
      <c r="LIU29" t="s">
        <v>836</v>
      </c>
      <c r="LIV29" t="s">
        <v>836</v>
      </c>
      <c r="LIW29" t="s">
        <v>836</v>
      </c>
      <c r="LIX29" t="s">
        <v>836</v>
      </c>
      <c r="LIY29" t="s">
        <v>836</v>
      </c>
      <c r="LIZ29" t="s">
        <v>836</v>
      </c>
      <c r="LJA29" t="s">
        <v>836</v>
      </c>
      <c r="LJB29" t="s">
        <v>836</v>
      </c>
      <c r="LJC29" t="s">
        <v>836</v>
      </c>
      <c r="LJD29" t="s">
        <v>836</v>
      </c>
      <c r="LJE29" t="s">
        <v>836</v>
      </c>
      <c r="LJF29" t="s">
        <v>836</v>
      </c>
      <c r="LJG29" t="s">
        <v>836</v>
      </c>
      <c r="LJH29" t="s">
        <v>836</v>
      </c>
      <c r="LJI29" t="s">
        <v>836</v>
      </c>
      <c r="LJJ29" t="s">
        <v>836</v>
      </c>
      <c r="LJK29" t="s">
        <v>836</v>
      </c>
      <c r="LJL29" t="s">
        <v>836</v>
      </c>
      <c r="LJM29" t="s">
        <v>836</v>
      </c>
      <c r="LJN29" t="s">
        <v>836</v>
      </c>
      <c r="LJO29" t="s">
        <v>836</v>
      </c>
      <c r="LJP29" t="s">
        <v>836</v>
      </c>
      <c r="LJQ29" t="s">
        <v>836</v>
      </c>
      <c r="LJR29" t="s">
        <v>836</v>
      </c>
      <c r="LJS29" t="s">
        <v>836</v>
      </c>
      <c r="LJT29" t="s">
        <v>836</v>
      </c>
      <c r="LJU29" t="s">
        <v>836</v>
      </c>
      <c r="LJV29" t="s">
        <v>836</v>
      </c>
      <c r="LJW29" t="s">
        <v>836</v>
      </c>
      <c r="LJX29" t="s">
        <v>836</v>
      </c>
      <c r="LJY29" t="s">
        <v>836</v>
      </c>
      <c r="LJZ29" t="s">
        <v>836</v>
      </c>
      <c r="LKA29" t="s">
        <v>836</v>
      </c>
      <c r="LKB29" t="s">
        <v>836</v>
      </c>
      <c r="LKC29" t="s">
        <v>836</v>
      </c>
      <c r="LKD29" t="s">
        <v>836</v>
      </c>
      <c r="LKE29" t="s">
        <v>836</v>
      </c>
      <c r="LKF29" t="s">
        <v>836</v>
      </c>
      <c r="LKG29" t="s">
        <v>836</v>
      </c>
      <c r="LKH29" t="s">
        <v>836</v>
      </c>
      <c r="LKI29" t="s">
        <v>836</v>
      </c>
      <c r="LKJ29" t="s">
        <v>836</v>
      </c>
      <c r="LKK29" t="s">
        <v>836</v>
      </c>
      <c r="LKL29" t="s">
        <v>836</v>
      </c>
      <c r="LKM29" t="s">
        <v>836</v>
      </c>
      <c r="LKN29" t="s">
        <v>836</v>
      </c>
      <c r="LKO29" t="s">
        <v>836</v>
      </c>
      <c r="LKP29" t="s">
        <v>836</v>
      </c>
      <c r="LKQ29" t="s">
        <v>836</v>
      </c>
      <c r="LKR29" t="s">
        <v>836</v>
      </c>
      <c r="LKS29" t="s">
        <v>836</v>
      </c>
      <c r="LKT29" t="s">
        <v>836</v>
      </c>
      <c r="LKU29" t="s">
        <v>836</v>
      </c>
      <c r="LKV29" t="s">
        <v>836</v>
      </c>
      <c r="LKW29" t="s">
        <v>836</v>
      </c>
      <c r="LKX29" t="s">
        <v>836</v>
      </c>
      <c r="LKY29" t="s">
        <v>836</v>
      </c>
      <c r="LKZ29" t="s">
        <v>836</v>
      </c>
      <c r="LLA29" t="s">
        <v>836</v>
      </c>
      <c r="LLB29" t="s">
        <v>836</v>
      </c>
      <c r="LLC29" t="s">
        <v>836</v>
      </c>
      <c r="LLD29" t="s">
        <v>836</v>
      </c>
      <c r="LLE29" t="s">
        <v>836</v>
      </c>
      <c r="LLF29" t="s">
        <v>836</v>
      </c>
      <c r="LLG29" t="s">
        <v>836</v>
      </c>
      <c r="LLH29" t="s">
        <v>836</v>
      </c>
      <c r="LLI29" t="s">
        <v>836</v>
      </c>
      <c r="LLJ29" t="s">
        <v>836</v>
      </c>
      <c r="LLK29" t="s">
        <v>836</v>
      </c>
      <c r="LLL29" t="s">
        <v>836</v>
      </c>
      <c r="LLM29" t="s">
        <v>836</v>
      </c>
      <c r="LLN29" t="s">
        <v>836</v>
      </c>
      <c r="LLO29" t="s">
        <v>836</v>
      </c>
      <c r="LLP29" t="s">
        <v>836</v>
      </c>
      <c r="LLQ29" t="s">
        <v>836</v>
      </c>
      <c r="LLR29" t="s">
        <v>836</v>
      </c>
      <c r="LLS29" t="s">
        <v>836</v>
      </c>
      <c r="LLT29" t="s">
        <v>836</v>
      </c>
      <c r="LLU29" t="s">
        <v>836</v>
      </c>
      <c r="LLV29" t="s">
        <v>836</v>
      </c>
      <c r="LLW29" t="s">
        <v>836</v>
      </c>
      <c r="LLX29" t="s">
        <v>836</v>
      </c>
      <c r="LLY29" t="s">
        <v>836</v>
      </c>
      <c r="LLZ29" t="s">
        <v>836</v>
      </c>
      <c r="LMA29" t="s">
        <v>836</v>
      </c>
      <c r="LMB29" t="s">
        <v>836</v>
      </c>
      <c r="LMC29" t="s">
        <v>836</v>
      </c>
      <c r="LMD29" t="s">
        <v>836</v>
      </c>
      <c r="LME29" t="s">
        <v>836</v>
      </c>
      <c r="LMF29" t="s">
        <v>836</v>
      </c>
      <c r="LMG29" t="s">
        <v>836</v>
      </c>
      <c r="LMH29" t="s">
        <v>836</v>
      </c>
      <c r="LMI29" t="s">
        <v>836</v>
      </c>
      <c r="LMJ29" t="s">
        <v>836</v>
      </c>
      <c r="LMK29" t="s">
        <v>836</v>
      </c>
      <c r="LML29" t="s">
        <v>836</v>
      </c>
      <c r="LMM29" t="s">
        <v>836</v>
      </c>
      <c r="LMN29" t="s">
        <v>836</v>
      </c>
      <c r="LMO29" t="s">
        <v>836</v>
      </c>
      <c r="LMP29" t="s">
        <v>836</v>
      </c>
      <c r="LMQ29" t="s">
        <v>836</v>
      </c>
      <c r="LMR29" t="s">
        <v>836</v>
      </c>
      <c r="LMS29" t="s">
        <v>836</v>
      </c>
      <c r="LMT29" t="s">
        <v>836</v>
      </c>
      <c r="LMU29" t="s">
        <v>836</v>
      </c>
      <c r="LMV29" t="s">
        <v>836</v>
      </c>
      <c r="LMW29" t="s">
        <v>836</v>
      </c>
      <c r="LMX29" t="s">
        <v>836</v>
      </c>
      <c r="LMY29" t="s">
        <v>836</v>
      </c>
      <c r="LMZ29" t="s">
        <v>836</v>
      </c>
      <c r="LNA29" t="s">
        <v>836</v>
      </c>
      <c r="LNB29" t="s">
        <v>836</v>
      </c>
      <c r="LNC29" t="s">
        <v>836</v>
      </c>
      <c r="LND29" t="s">
        <v>836</v>
      </c>
      <c r="LNE29" t="s">
        <v>836</v>
      </c>
      <c r="LNF29" t="s">
        <v>836</v>
      </c>
      <c r="LNG29" t="s">
        <v>836</v>
      </c>
      <c r="LNH29" t="s">
        <v>836</v>
      </c>
      <c r="LNI29" t="s">
        <v>836</v>
      </c>
      <c r="LNJ29" t="s">
        <v>836</v>
      </c>
      <c r="LNK29" t="s">
        <v>836</v>
      </c>
      <c r="LNL29" t="s">
        <v>836</v>
      </c>
      <c r="LNM29" t="s">
        <v>836</v>
      </c>
      <c r="LNN29" t="s">
        <v>836</v>
      </c>
      <c r="LNO29" t="s">
        <v>836</v>
      </c>
      <c r="LNP29" t="s">
        <v>836</v>
      </c>
      <c r="LNQ29" t="s">
        <v>836</v>
      </c>
      <c r="LNR29" t="s">
        <v>836</v>
      </c>
      <c r="LNS29" t="s">
        <v>836</v>
      </c>
      <c r="LNT29" t="s">
        <v>836</v>
      </c>
      <c r="LNU29" t="s">
        <v>836</v>
      </c>
      <c r="LNV29" t="s">
        <v>836</v>
      </c>
      <c r="LNW29" t="s">
        <v>836</v>
      </c>
      <c r="LNX29" t="s">
        <v>836</v>
      </c>
      <c r="LNY29" t="s">
        <v>836</v>
      </c>
      <c r="LNZ29" t="s">
        <v>836</v>
      </c>
      <c r="LOA29" t="s">
        <v>836</v>
      </c>
      <c r="LOB29" t="s">
        <v>836</v>
      </c>
      <c r="LOC29" t="s">
        <v>836</v>
      </c>
      <c r="LOD29" t="s">
        <v>836</v>
      </c>
      <c r="LOE29" t="s">
        <v>836</v>
      </c>
      <c r="LOF29" t="s">
        <v>836</v>
      </c>
      <c r="LOG29" t="s">
        <v>836</v>
      </c>
      <c r="LOH29" t="s">
        <v>836</v>
      </c>
      <c r="LOI29" t="s">
        <v>836</v>
      </c>
      <c r="LOJ29" t="s">
        <v>836</v>
      </c>
      <c r="LOK29" t="s">
        <v>836</v>
      </c>
      <c r="LOL29" t="s">
        <v>836</v>
      </c>
      <c r="LOM29" t="s">
        <v>836</v>
      </c>
      <c r="LON29" t="s">
        <v>836</v>
      </c>
      <c r="LOO29" t="s">
        <v>836</v>
      </c>
      <c r="LOP29" t="s">
        <v>836</v>
      </c>
      <c r="LOQ29" t="s">
        <v>836</v>
      </c>
      <c r="LOR29" t="s">
        <v>836</v>
      </c>
      <c r="LOS29" t="s">
        <v>836</v>
      </c>
      <c r="LOT29" t="s">
        <v>836</v>
      </c>
      <c r="LOU29" t="s">
        <v>836</v>
      </c>
      <c r="LOV29" t="s">
        <v>836</v>
      </c>
      <c r="LOW29" t="s">
        <v>836</v>
      </c>
      <c r="LOX29" t="s">
        <v>836</v>
      </c>
      <c r="LOY29" t="s">
        <v>836</v>
      </c>
      <c r="LOZ29" t="s">
        <v>836</v>
      </c>
      <c r="LPA29" t="s">
        <v>836</v>
      </c>
      <c r="LPB29" t="s">
        <v>836</v>
      </c>
      <c r="LPC29" t="s">
        <v>836</v>
      </c>
      <c r="LPD29" t="s">
        <v>836</v>
      </c>
      <c r="LPE29" t="s">
        <v>836</v>
      </c>
      <c r="LPF29" t="s">
        <v>836</v>
      </c>
      <c r="LPG29" t="s">
        <v>836</v>
      </c>
      <c r="LPH29" t="s">
        <v>836</v>
      </c>
      <c r="LPI29" t="s">
        <v>836</v>
      </c>
      <c r="LPJ29" t="s">
        <v>836</v>
      </c>
      <c r="LPK29" t="s">
        <v>836</v>
      </c>
      <c r="LPL29" t="s">
        <v>836</v>
      </c>
      <c r="LPM29" t="s">
        <v>836</v>
      </c>
      <c r="LPN29" t="s">
        <v>836</v>
      </c>
      <c r="LPO29" t="s">
        <v>836</v>
      </c>
      <c r="LPP29" t="s">
        <v>836</v>
      </c>
      <c r="LPQ29" t="s">
        <v>836</v>
      </c>
      <c r="LPR29" t="s">
        <v>836</v>
      </c>
      <c r="LPS29" t="s">
        <v>836</v>
      </c>
      <c r="LPT29" t="s">
        <v>836</v>
      </c>
      <c r="LPU29" t="s">
        <v>836</v>
      </c>
      <c r="LPV29" t="s">
        <v>836</v>
      </c>
      <c r="LPW29" t="s">
        <v>836</v>
      </c>
      <c r="LPX29" t="s">
        <v>836</v>
      </c>
      <c r="LPY29" t="s">
        <v>836</v>
      </c>
      <c r="LPZ29" t="s">
        <v>836</v>
      </c>
      <c r="LQA29" t="s">
        <v>836</v>
      </c>
      <c r="LQB29" t="s">
        <v>836</v>
      </c>
      <c r="LQC29" t="s">
        <v>836</v>
      </c>
      <c r="LQD29" t="s">
        <v>836</v>
      </c>
      <c r="LQE29" t="s">
        <v>836</v>
      </c>
      <c r="LQF29" t="s">
        <v>836</v>
      </c>
      <c r="LQG29" t="s">
        <v>836</v>
      </c>
      <c r="LQH29" t="s">
        <v>836</v>
      </c>
      <c r="LQI29" t="s">
        <v>836</v>
      </c>
      <c r="LQJ29" t="s">
        <v>836</v>
      </c>
      <c r="LQK29" t="s">
        <v>836</v>
      </c>
      <c r="LQL29" t="s">
        <v>836</v>
      </c>
      <c r="LQM29" t="s">
        <v>836</v>
      </c>
      <c r="LQN29" t="s">
        <v>836</v>
      </c>
      <c r="LQO29" t="s">
        <v>836</v>
      </c>
      <c r="LQP29" t="s">
        <v>836</v>
      </c>
      <c r="LQQ29" t="s">
        <v>836</v>
      </c>
      <c r="LQR29" t="s">
        <v>836</v>
      </c>
      <c r="LQS29" t="s">
        <v>836</v>
      </c>
      <c r="LQT29" t="s">
        <v>836</v>
      </c>
      <c r="LQU29" t="s">
        <v>836</v>
      </c>
      <c r="LQV29" t="s">
        <v>836</v>
      </c>
      <c r="LQW29" t="s">
        <v>836</v>
      </c>
      <c r="LQX29" t="s">
        <v>836</v>
      </c>
      <c r="LQY29" t="s">
        <v>836</v>
      </c>
      <c r="LQZ29" t="s">
        <v>836</v>
      </c>
      <c r="LRA29" t="s">
        <v>836</v>
      </c>
      <c r="LRB29" t="s">
        <v>836</v>
      </c>
      <c r="LRC29" t="s">
        <v>836</v>
      </c>
      <c r="LRD29" t="s">
        <v>836</v>
      </c>
      <c r="LRE29" t="s">
        <v>836</v>
      </c>
      <c r="LRF29" t="s">
        <v>836</v>
      </c>
      <c r="LRG29" t="s">
        <v>836</v>
      </c>
      <c r="LRH29" t="s">
        <v>836</v>
      </c>
      <c r="LRI29" t="s">
        <v>836</v>
      </c>
      <c r="LRJ29" t="s">
        <v>836</v>
      </c>
      <c r="LRK29" t="s">
        <v>836</v>
      </c>
      <c r="LRL29" t="s">
        <v>836</v>
      </c>
      <c r="LRM29" t="s">
        <v>836</v>
      </c>
      <c r="LRN29" t="s">
        <v>836</v>
      </c>
      <c r="LRO29" t="s">
        <v>836</v>
      </c>
      <c r="LRP29" t="s">
        <v>836</v>
      </c>
      <c r="LRQ29" t="s">
        <v>836</v>
      </c>
      <c r="LRR29" t="s">
        <v>836</v>
      </c>
      <c r="LRS29" t="s">
        <v>836</v>
      </c>
      <c r="LRT29" t="s">
        <v>836</v>
      </c>
      <c r="LRU29" t="s">
        <v>836</v>
      </c>
      <c r="LRV29" t="s">
        <v>836</v>
      </c>
      <c r="LRW29" t="s">
        <v>836</v>
      </c>
      <c r="LRX29" t="s">
        <v>836</v>
      </c>
      <c r="LRY29" t="s">
        <v>836</v>
      </c>
      <c r="LRZ29" t="s">
        <v>836</v>
      </c>
      <c r="LSA29" t="s">
        <v>836</v>
      </c>
      <c r="LSB29" t="s">
        <v>836</v>
      </c>
      <c r="LSC29" t="s">
        <v>836</v>
      </c>
      <c r="LSD29" t="s">
        <v>836</v>
      </c>
      <c r="LSE29" t="s">
        <v>836</v>
      </c>
      <c r="LSF29" t="s">
        <v>836</v>
      </c>
      <c r="LSG29" t="s">
        <v>836</v>
      </c>
      <c r="LSH29" t="s">
        <v>836</v>
      </c>
      <c r="LSI29" t="s">
        <v>836</v>
      </c>
      <c r="LSJ29" t="s">
        <v>836</v>
      </c>
      <c r="LSK29" t="s">
        <v>836</v>
      </c>
      <c r="LSL29" t="s">
        <v>836</v>
      </c>
      <c r="LSM29" t="s">
        <v>836</v>
      </c>
      <c r="LSN29" t="s">
        <v>836</v>
      </c>
      <c r="LSO29" t="s">
        <v>836</v>
      </c>
      <c r="LSP29" t="s">
        <v>836</v>
      </c>
      <c r="LSQ29" t="s">
        <v>836</v>
      </c>
      <c r="LSR29" t="s">
        <v>836</v>
      </c>
      <c r="LSS29" t="s">
        <v>836</v>
      </c>
      <c r="LST29" t="s">
        <v>836</v>
      </c>
      <c r="LSU29" t="s">
        <v>836</v>
      </c>
      <c r="LSV29" t="s">
        <v>836</v>
      </c>
      <c r="LSW29" t="s">
        <v>836</v>
      </c>
      <c r="LSX29" t="s">
        <v>836</v>
      </c>
      <c r="LSY29" t="s">
        <v>836</v>
      </c>
      <c r="LSZ29" t="s">
        <v>836</v>
      </c>
      <c r="LTA29" t="s">
        <v>836</v>
      </c>
      <c r="LTB29" t="s">
        <v>836</v>
      </c>
      <c r="LTC29" t="s">
        <v>836</v>
      </c>
      <c r="LTD29" t="s">
        <v>836</v>
      </c>
      <c r="LTE29" t="s">
        <v>836</v>
      </c>
      <c r="LTF29" t="s">
        <v>836</v>
      </c>
      <c r="LTG29" t="s">
        <v>836</v>
      </c>
      <c r="LTH29" t="s">
        <v>836</v>
      </c>
      <c r="LTI29" t="s">
        <v>836</v>
      </c>
      <c r="LTJ29" t="s">
        <v>836</v>
      </c>
      <c r="LTK29" t="s">
        <v>836</v>
      </c>
      <c r="LTL29" t="s">
        <v>836</v>
      </c>
      <c r="LTM29" t="s">
        <v>836</v>
      </c>
      <c r="LTN29" t="s">
        <v>836</v>
      </c>
      <c r="LTO29" t="s">
        <v>836</v>
      </c>
      <c r="LTP29" t="s">
        <v>836</v>
      </c>
      <c r="LTQ29" t="s">
        <v>836</v>
      </c>
      <c r="LTR29" t="s">
        <v>836</v>
      </c>
      <c r="LTS29" t="s">
        <v>836</v>
      </c>
      <c r="LTT29" t="s">
        <v>836</v>
      </c>
      <c r="LTU29" t="s">
        <v>836</v>
      </c>
      <c r="LTV29" t="s">
        <v>836</v>
      </c>
      <c r="LTW29" t="s">
        <v>836</v>
      </c>
      <c r="LTX29" t="s">
        <v>836</v>
      </c>
      <c r="LTY29" t="s">
        <v>836</v>
      </c>
      <c r="LTZ29" t="s">
        <v>836</v>
      </c>
      <c r="LUA29" t="s">
        <v>836</v>
      </c>
      <c r="LUB29" t="s">
        <v>836</v>
      </c>
      <c r="LUC29" t="s">
        <v>836</v>
      </c>
      <c r="LUD29" t="s">
        <v>836</v>
      </c>
      <c r="LUE29" t="s">
        <v>836</v>
      </c>
      <c r="LUF29" t="s">
        <v>836</v>
      </c>
      <c r="LUG29" t="s">
        <v>836</v>
      </c>
      <c r="LUH29" t="s">
        <v>836</v>
      </c>
      <c r="LUI29" t="s">
        <v>836</v>
      </c>
      <c r="LUJ29" t="s">
        <v>836</v>
      </c>
      <c r="LUK29" t="s">
        <v>836</v>
      </c>
      <c r="LUL29" t="s">
        <v>836</v>
      </c>
      <c r="LUM29" t="s">
        <v>836</v>
      </c>
      <c r="LUN29" t="s">
        <v>836</v>
      </c>
      <c r="LUO29" t="s">
        <v>836</v>
      </c>
      <c r="LUP29" t="s">
        <v>836</v>
      </c>
      <c r="LUQ29" t="s">
        <v>836</v>
      </c>
      <c r="LUR29" t="s">
        <v>836</v>
      </c>
      <c r="LUS29" t="s">
        <v>836</v>
      </c>
      <c r="LUT29" t="s">
        <v>836</v>
      </c>
      <c r="LUU29" t="s">
        <v>836</v>
      </c>
      <c r="LUV29" t="s">
        <v>836</v>
      </c>
      <c r="LUW29" t="s">
        <v>836</v>
      </c>
      <c r="LUX29" t="s">
        <v>836</v>
      </c>
      <c r="LUY29" t="s">
        <v>836</v>
      </c>
      <c r="LUZ29" t="s">
        <v>836</v>
      </c>
      <c r="LVA29" t="s">
        <v>836</v>
      </c>
      <c r="LVB29" t="s">
        <v>836</v>
      </c>
      <c r="LVC29" t="s">
        <v>836</v>
      </c>
      <c r="LVD29" t="s">
        <v>836</v>
      </c>
      <c r="LVE29" t="s">
        <v>836</v>
      </c>
      <c r="LVF29" t="s">
        <v>836</v>
      </c>
      <c r="LVG29" t="s">
        <v>836</v>
      </c>
      <c r="LVH29" t="s">
        <v>836</v>
      </c>
      <c r="LVI29" t="s">
        <v>836</v>
      </c>
      <c r="LVJ29" t="s">
        <v>836</v>
      </c>
      <c r="LVK29" t="s">
        <v>836</v>
      </c>
      <c r="LVL29" t="s">
        <v>836</v>
      </c>
      <c r="LVM29" t="s">
        <v>836</v>
      </c>
      <c r="LVN29" t="s">
        <v>836</v>
      </c>
      <c r="LVO29" t="s">
        <v>836</v>
      </c>
      <c r="LVP29" t="s">
        <v>836</v>
      </c>
      <c r="LVQ29" t="s">
        <v>836</v>
      </c>
      <c r="LVR29" t="s">
        <v>836</v>
      </c>
      <c r="LVS29" t="s">
        <v>836</v>
      </c>
      <c r="LVT29" t="s">
        <v>836</v>
      </c>
      <c r="LVU29" t="s">
        <v>836</v>
      </c>
      <c r="LVV29" t="s">
        <v>836</v>
      </c>
      <c r="LVW29" t="s">
        <v>836</v>
      </c>
      <c r="LVX29" t="s">
        <v>836</v>
      </c>
      <c r="LVY29" t="s">
        <v>836</v>
      </c>
      <c r="LVZ29" t="s">
        <v>836</v>
      </c>
      <c r="LWA29" t="s">
        <v>836</v>
      </c>
      <c r="LWB29" t="s">
        <v>836</v>
      </c>
      <c r="LWC29" t="s">
        <v>836</v>
      </c>
      <c r="LWD29" t="s">
        <v>836</v>
      </c>
      <c r="LWE29" t="s">
        <v>836</v>
      </c>
      <c r="LWF29" t="s">
        <v>836</v>
      </c>
      <c r="LWG29" t="s">
        <v>836</v>
      </c>
      <c r="LWH29" t="s">
        <v>836</v>
      </c>
      <c r="LWI29" t="s">
        <v>836</v>
      </c>
      <c r="LWJ29" t="s">
        <v>836</v>
      </c>
      <c r="LWK29" t="s">
        <v>836</v>
      </c>
      <c r="LWL29" t="s">
        <v>836</v>
      </c>
      <c r="LWM29" t="s">
        <v>836</v>
      </c>
      <c r="LWN29" t="s">
        <v>836</v>
      </c>
      <c r="LWO29" t="s">
        <v>836</v>
      </c>
      <c r="LWP29" t="s">
        <v>836</v>
      </c>
      <c r="LWQ29" t="s">
        <v>836</v>
      </c>
      <c r="LWR29" t="s">
        <v>836</v>
      </c>
      <c r="LWS29" t="s">
        <v>836</v>
      </c>
      <c r="LWT29" t="s">
        <v>836</v>
      </c>
      <c r="LWU29" t="s">
        <v>836</v>
      </c>
      <c r="LWV29" t="s">
        <v>836</v>
      </c>
      <c r="LWW29" t="s">
        <v>836</v>
      </c>
      <c r="LWX29" t="s">
        <v>836</v>
      </c>
      <c r="LWY29" t="s">
        <v>836</v>
      </c>
      <c r="LWZ29" t="s">
        <v>836</v>
      </c>
      <c r="LXA29" t="s">
        <v>836</v>
      </c>
      <c r="LXB29" t="s">
        <v>836</v>
      </c>
      <c r="LXC29" t="s">
        <v>836</v>
      </c>
      <c r="LXD29" t="s">
        <v>836</v>
      </c>
      <c r="LXE29" t="s">
        <v>836</v>
      </c>
      <c r="LXF29" t="s">
        <v>836</v>
      </c>
      <c r="LXG29" t="s">
        <v>836</v>
      </c>
      <c r="LXH29" t="s">
        <v>836</v>
      </c>
      <c r="LXI29" t="s">
        <v>836</v>
      </c>
      <c r="LXJ29" t="s">
        <v>836</v>
      </c>
      <c r="LXK29" t="s">
        <v>836</v>
      </c>
      <c r="LXL29" t="s">
        <v>836</v>
      </c>
      <c r="LXM29" t="s">
        <v>836</v>
      </c>
      <c r="LXN29" t="s">
        <v>836</v>
      </c>
      <c r="LXO29" t="s">
        <v>836</v>
      </c>
      <c r="LXP29" t="s">
        <v>836</v>
      </c>
      <c r="LXQ29" t="s">
        <v>836</v>
      </c>
      <c r="LXR29" t="s">
        <v>836</v>
      </c>
      <c r="LXS29" t="s">
        <v>836</v>
      </c>
      <c r="LXT29" t="s">
        <v>836</v>
      </c>
      <c r="LXU29" t="s">
        <v>836</v>
      </c>
      <c r="LXV29" t="s">
        <v>836</v>
      </c>
      <c r="LXW29" t="s">
        <v>836</v>
      </c>
      <c r="LXX29" t="s">
        <v>836</v>
      </c>
      <c r="LXY29" t="s">
        <v>836</v>
      </c>
      <c r="LXZ29" t="s">
        <v>836</v>
      </c>
      <c r="LYA29" t="s">
        <v>836</v>
      </c>
      <c r="LYB29" t="s">
        <v>836</v>
      </c>
      <c r="LYC29" t="s">
        <v>836</v>
      </c>
      <c r="LYD29" t="s">
        <v>836</v>
      </c>
      <c r="LYE29" t="s">
        <v>836</v>
      </c>
      <c r="LYF29" t="s">
        <v>836</v>
      </c>
      <c r="LYG29" t="s">
        <v>836</v>
      </c>
      <c r="LYH29" t="s">
        <v>836</v>
      </c>
      <c r="LYI29" t="s">
        <v>836</v>
      </c>
      <c r="LYJ29" t="s">
        <v>836</v>
      </c>
      <c r="LYK29" t="s">
        <v>836</v>
      </c>
      <c r="LYL29" t="s">
        <v>836</v>
      </c>
      <c r="LYM29" t="s">
        <v>836</v>
      </c>
      <c r="LYN29" t="s">
        <v>836</v>
      </c>
      <c r="LYO29" t="s">
        <v>836</v>
      </c>
      <c r="LYP29" t="s">
        <v>836</v>
      </c>
      <c r="LYQ29" t="s">
        <v>836</v>
      </c>
      <c r="LYR29" t="s">
        <v>836</v>
      </c>
      <c r="LYS29" t="s">
        <v>836</v>
      </c>
      <c r="LYT29" t="s">
        <v>836</v>
      </c>
      <c r="LYU29" t="s">
        <v>836</v>
      </c>
      <c r="LYV29" t="s">
        <v>836</v>
      </c>
      <c r="LYW29" t="s">
        <v>836</v>
      </c>
      <c r="LYX29" t="s">
        <v>836</v>
      </c>
      <c r="LYY29" t="s">
        <v>836</v>
      </c>
      <c r="LYZ29" t="s">
        <v>836</v>
      </c>
      <c r="LZA29" t="s">
        <v>836</v>
      </c>
      <c r="LZB29" t="s">
        <v>836</v>
      </c>
      <c r="LZC29" t="s">
        <v>836</v>
      </c>
      <c r="LZD29" t="s">
        <v>836</v>
      </c>
      <c r="LZE29" t="s">
        <v>836</v>
      </c>
      <c r="LZF29" t="s">
        <v>836</v>
      </c>
      <c r="LZG29" t="s">
        <v>836</v>
      </c>
      <c r="LZH29" t="s">
        <v>836</v>
      </c>
      <c r="LZI29" t="s">
        <v>836</v>
      </c>
      <c r="LZJ29" t="s">
        <v>836</v>
      </c>
      <c r="LZK29" t="s">
        <v>836</v>
      </c>
      <c r="LZL29" t="s">
        <v>836</v>
      </c>
      <c r="LZM29" t="s">
        <v>836</v>
      </c>
      <c r="LZN29" t="s">
        <v>836</v>
      </c>
      <c r="LZO29" t="s">
        <v>836</v>
      </c>
      <c r="LZP29" t="s">
        <v>836</v>
      </c>
      <c r="LZQ29" t="s">
        <v>836</v>
      </c>
      <c r="LZR29" t="s">
        <v>836</v>
      </c>
      <c r="LZS29" t="s">
        <v>836</v>
      </c>
      <c r="LZT29" t="s">
        <v>836</v>
      </c>
      <c r="LZU29" t="s">
        <v>836</v>
      </c>
      <c r="LZV29" t="s">
        <v>836</v>
      </c>
      <c r="LZW29" t="s">
        <v>836</v>
      </c>
      <c r="LZX29" t="s">
        <v>836</v>
      </c>
      <c r="LZY29" t="s">
        <v>836</v>
      </c>
      <c r="LZZ29" t="s">
        <v>836</v>
      </c>
      <c r="MAA29" t="s">
        <v>836</v>
      </c>
      <c r="MAB29" t="s">
        <v>836</v>
      </c>
      <c r="MAC29" t="s">
        <v>836</v>
      </c>
      <c r="MAD29" t="s">
        <v>836</v>
      </c>
      <c r="MAE29" t="s">
        <v>836</v>
      </c>
      <c r="MAF29" t="s">
        <v>836</v>
      </c>
      <c r="MAG29" t="s">
        <v>836</v>
      </c>
      <c r="MAH29" t="s">
        <v>836</v>
      </c>
      <c r="MAI29" t="s">
        <v>836</v>
      </c>
      <c r="MAJ29" t="s">
        <v>836</v>
      </c>
      <c r="MAK29" t="s">
        <v>836</v>
      </c>
      <c r="MAL29" t="s">
        <v>836</v>
      </c>
      <c r="MAM29" t="s">
        <v>836</v>
      </c>
      <c r="MAN29" t="s">
        <v>836</v>
      </c>
      <c r="MAO29" t="s">
        <v>836</v>
      </c>
      <c r="MAP29" t="s">
        <v>836</v>
      </c>
      <c r="MAQ29" t="s">
        <v>836</v>
      </c>
      <c r="MAR29" t="s">
        <v>836</v>
      </c>
      <c r="MAS29" t="s">
        <v>836</v>
      </c>
      <c r="MAT29" t="s">
        <v>836</v>
      </c>
      <c r="MAU29" t="s">
        <v>836</v>
      </c>
      <c r="MAV29" t="s">
        <v>836</v>
      </c>
      <c r="MAW29" t="s">
        <v>836</v>
      </c>
      <c r="MAX29" t="s">
        <v>836</v>
      </c>
      <c r="MAY29" t="s">
        <v>836</v>
      </c>
      <c r="MAZ29" t="s">
        <v>836</v>
      </c>
      <c r="MBA29" t="s">
        <v>836</v>
      </c>
      <c r="MBB29" t="s">
        <v>836</v>
      </c>
      <c r="MBC29" t="s">
        <v>836</v>
      </c>
      <c r="MBD29" t="s">
        <v>836</v>
      </c>
      <c r="MBE29" t="s">
        <v>836</v>
      </c>
      <c r="MBF29" t="s">
        <v>836</v>
      </c>
      <c r="MBG29" t="s">
        <v>836</v>
      </c>
      <c r="MBH29" t="s">
        <v>836</v>
      </c>
      <c r="MBI29" t="s">
        <v>836</v>
      </c>
      <c r="MBJ29" t="s">
        <v>836</v>
      </c>
      <c r="MBK29" t="s">
        <v>836</v>
      </c>
      <c r="MBL29" t="s">
        <v>836</v>
      </c>
      <c r="MBM29" t="s">
        <v>836</v>
      </c>
      <c r="MBN29" t="s">
        <v>836</v>
      </c>
      <c r="MBO29" t="s">
        <v>836</v>
      </c>
      <c r="MBP29" t="s">
        <v>836</v>
      </c>
      <c r="MBQ29" t="s">
        <v>836</v>
      </c>
      <c r="MBR29" t="s">
        <v>836</v>
      </c>
      <c r="MBS29" t="s">
        <v>836</v>
      </c>
      <c r="MBT29" t="s">
        <v>836</v>
      </c>
      <c r="MBU29" t="s">
        <v>836</v>
      </c>
      <c r="MBV29" t="s">
        <v>836</v>
      </c>
      <c r="MBW29" t="s">
        <v>836</v>
      </c>
      <c r="MBX29" t="s">
        <v>836</v>
      </c>
      <c r="MBY29" t="s">
        <v>836</v>
      </c>
      <c r="MBZ29" t="s">
        <v>836</v>
      </c>
      <c r="MCA29" t="s">
        <v>836</v>
      </c>
      <c r="MCB29" t="s">
        <v>836</v>
      </c>
      <c r="MCC29" t="s">
        <v>836</v>
      </c>
      <c r="MCD29" t="s">
        <v>836</v>
      </c>
      <c r="MCE29" t="s">
        <v>836</v>
      </c>
      <c r="MCF29" t="s">
        <v>836</v>
      </c>
      <c r="MCG29" t="s">
        <v>836</v>
      </c>
      <c r="MCH29" t="s">
        <v>836</v>
      </c>
      <c r="MCI29" t="s">
        <v>836</v>
      </c>
      <c r="MCJ29" t="s">
        <v>836</v>
      </c>
      <c r="MCK29" t="s">
        <v>836</v>
      </c>
      <c r="MCL29" t="s">
        <v>836</v>
      </c>
      <c r="MCM29" t="s">
        <v>836</v>
      </c>
      <c r="MCN29" t="s">
        <v>836</v>
      </c>
      <c r="MCO29" t="s">
        <v>836</v>
      </c>
      <c r="MCP29" t="s">
        <v>836</v>
      </c>
      <c r="MCQ29" t="s">
        <v>836</v>
      </c>
      <c r="MCR29" t="s">
        <v>836</v>
      </c>
      <c r="MCS29" t="s">
        <v>836</v>
      </c>
      <c r="MCT29" t="s">
        <v>836</v>
      </c>
      <c r="MCU29" t="s">
        <v>836</v>
      </c>
      <c r="MCV29" t="s">
        <v>836</v>
      </c>
      <c r="MCW29" t="s">
        <v>836</v>
      </c>
      <c r="MCX29" t="s">
        <v>836</v>
      </c>
      <c r="MCY29" t="s">
        <v>836</v>
      </c>
      <c r="MCZ29" t="s">
        <v>836</v>
      </c>
      <c r="MDA29" t="s">
        <v>836</v>
      </c>
      <c r="MDB29" t="s">
        <v>836</v>
      </c>
      <c r="MDC29" t="s">
        <v>836</v>
      </c>
      <c r="MDD29" t="s">
        <v>836</v>
      </c>
      <c r="MDE29" t="s">
        <v>836</v>
      </c>
      <c r="MDF29" t="s">
        <v>836</v>
      </c>
      <c r="MDG29" t="s">
        <v>836</v>
      </c>
      <c r="MDH29" t="s">
        <v>836</v>
      </c>
      <c r="MDI29" t="s">
        <v>836</v>
      </c>
      <c r="MDJ29" t="s">
        <v>836</v>
      </c>
      <c r="MDK29" t="s">
        <v>836</v>
      </c>
      <c r="MDL29" t="s">
        <v>836</v>
      </c>
      <c r="MDM29" t="s">
        <v>836</v>
      </c>
      <c r="MDN29" t="s">
        <v>836</v>
      </c>
      <c r="MDO29" t="s">
        <v>836</v>
      </c>
      <c r="MDP29" t="s">
        <v>836</v>
      </c>
      <c r="MDQ29" t="s">
        <v>836</v>
      </c>
      <c r="MDR29" t="s">
        <v>836</v>
      </c>
      <c r="MDS29" t="s">
        <v>836</v>
      </c>
      <c r="MDT29" t="s">
        <v>836</v>
      </c>
      <c r="MDU29" t="s">
        <v>836</v>
      </c>
      <c r="MDV29" t="s">
        <v>836</v>
      </c>
      <c r="MDW29" t="s">
        <v>836</v>
      </c>
      <c r="MDX29" t="s">
        <v>836</v>
      </c>
      <c r="MDY29" t="s">
        <v>836</v>
      </c>
      <c r="MDZ29" t="s">
        <v>836</v>
      </c>
      <c r="MEA29" t="s">
        <v>836</v>
      </c>
      <c r="MEB29" t="s">
        <v>836</v>
      </c>
      <c r="MEC29" t="s">
        <v>836</v>
      </c>
      <c r="MED29" t="s">
        <v>836</v>
      </c>
      <c r="MEE29" t="s">
        <v>836</v>
      </c>
      <c r="MEF29" t="s">
        <v>836</v>
      </c>
      <c r="MEG29" t="s">
        <v>836</v>
      </c>
      <c r="MEH29" t="s">
        <v>836</v>
      </c>
      <c r="MEI29" t="s">
        <v>836</v>
      </c>
      <c r="MEJ29" t="s">
        <v>836</v>
      </c>
      <c r="MEK29" t="s">
        <v>836</v>
      </c>
      <c r="MEL29" t="s">
        <v>836</v>
      </c>
      <c r="MEM29" t="s">
        <v>836</v>
      </c>
      <c r="MEN29" t="s">
        <v>836</v>
      </c>
      <c r="MEO29" t="s">
        <v>836</v>
      </c>
      <c r="MEP29" t="s">
        <v>836</v>
      </c>
      <c r="MEQ29" t="s">
        <v>836</v>
      </c>
      <c r="MER29" t="s">
        <v>836</v>
      </c>
      <c r="MES29" t="s">
        <v>836</v>
      </c>
      <c r="MET29" t="s">
        <v>836</v>
      </c>
      <c r="MEU29" t="s">
        <v>836</v>
      </c>
      <c r="MEV29" t="s">
        <v>836</v>
      </c>
      <c r="MEW29" t="s">
        <v>836</v>
      </c>
      <c r="MEX29" t="s">
        <v>836</v>
      </c>
      <c r="MEY29" t="s">
        <v>836</v>
      </c>
      <c r="MEZ29" t="s">
        <v>836</v>
      </c>
      <c r="MFA29" t="s">
        <v>836</v>
      </c>
      <c r="MFB29" t="s">
        <v>836</v>
      </c>
      <c r="MFC29" t="s">
        <v>836</v>
      </c>
      <c r="MFD29" t="s">
        <v>836</v>
      </c>
      <c r="MFE29" t="s">
        <v>836</v>
      </c>
      <c r="MFF29" t="s">
        <v>836</v>
      </c>
      <c r="MFG29" t="s">
        <v>836</v>
      </c>
      <c r="MFH29" t="s">
        <v>836</v>
      </c>
      <c r="MFI29" t="s">
        <v>836</v>
      </c>
      <c r="MFJ29" t="s">
        <v>836</v>
      </c>
      <c r="MFK29" t="s">
        <v>836</v>
      </c>
      <c r="MFL29" t="s">
        <v>836</v>
      </c>
      <c r="MFM29" t="s">
        <v>836</v>
      </c>
      <c r="MFN29" t="s">
        <v>836</v>
      </c>
      <c r="MFO29" t="s">
        <v>836</v>
      </c>
      <c r="MFP29" t="s">
        <v>836</v>
      </c>
      <c r="MFQ29" t="s">
        <v>836</v>
      </c>
      <c r="MFR29" t="s">
        <v>836</v>
      </c>
      <c r="MFS29" t="s">
        <v>836</v>
      </c>
      <c r="MFT29" t="s">
        <v>836</v>
      </c>
      <c r="MFU29" t="s">
        <v>836</v>
      </c>
      <c r="MFV29" t="s">
        <v>836</v>
      </c>
      <c r="MFW29" t="s">
        <v>836</v>
      </c>
      <c r="MFX29" t="s">
        <v>836</v>
      </c>
      <c r="MFY29" t="s">
        <v>836</v>
      </c>
      <c r="MFZ29" t="s">
        <v>836</v>
      </c>
      <c r="MGA29" t="s">
        <v>836</v>
      </c>
      <c r="MGB29" t="s">
        <v>836</v>
      </c>
      <c r="MGC29" t="s">
        <v>836</v>
      </c>
      <c r="MGD29" t="s">
        <v>836</v>
      </c>
      <c r="MGE29" t="s">
        <v>836</v>
      </c>
      <c r="MGF29" t="s">
        <v>836</v>
      </c>
      <c r="MGG29" t="s">
        <v>836</v>
      </c>
      <c r="MGH29" t="s">
        <v>836</v>
      </c>
      <c r="MGI29" t="s">
        <v>836</v>
      </c>
      <c r="MGJ29" t="s">
        <v>836</v>
      </c>
      <c r="MGK29" t="s">
        <v>836</v>
      </c>
      <c r="MGL29" t="s">
        <v>836</v>
      </c>
      <c r="MGM29" t="s">
        <v>836</v>
      </c>
      <c r="MGN29" t="s">
        <v>836</v>
      </c>
      <c r="MGO29" t="s">
        <v>836</v>
      </c>
      <c r="MGP29" t="s">
        <v>836</v>
      </c>
      <c r="MGQ29" t="s">
        <v>836</v>
      </c>
      <c r="MGR29" t="s">
        <v>836</v>
      </c>
      <c r="MGS29" t="s">
        <v>836</v>
      </c>
      <c r="MGT29" t="s">
        <v>836</v>
      </c>
      <c r="MGU29" t="s">
        <v>836</v>
      </c>
      <c r="MGV29" t="s">
        <v>836</v>
      </c>
      <c r="MGW29" t="s">
        <v>836</v>
      </c>
      <c r="MGX29" t="s">
        <v>836</v>
      </c>
      <c r="MGY29" t="s">
        <v>836</v>
      </c>
      <c r="MGZ29" t="s">
        <v>836</v>
      </c>
      <c r="MHA29" t="s">
        <v>836</v>
      </c>
      <c r="MHB29" t="s">
        <v>836</v>
      </c>
      <c r="MHC29" t="s">
        <v>836</v>
      </c>
      <c r="MHD29" t="s">
        <v>836</v>
      </c>
      <c r="MHE29" t="s">
        <v>836</v>
      </c>
      <c r="MHF29" t="s">
        <v>836</v>
      </c>
      <c r="MHG29" t="s">
        <v>836</v>
      </c>
      <c r="MHH29" t="s">
        <v>836</v>
      </c>
      <c r="MHI29" t="s">
        <v>836</v>
      </c>
      <c r="MHJ29" t="s">
        <v>836</v>
      </c>
      <c r="MHK29" t="s">
        <v>836</v>
      </c>
      <c r="MHL29" t="s">
        <v>836</v>
      </c>
      <c r="MHM29" t="s">
        <v>836</v>
      </c>
      <c r="MHN29" t="s">
        <v>836</v>
      </c>
      <c r="MHO29" t="s">
        <v>836</v>
      </c>
      <c r="MHP29" t="s">
        <v>836</v>
      </c>
      <c r="MHQ29" t="s">
        <v>836</v>
      </c>
      <c r="MHR29" t="s">
        <v>836</v>
      </c>
      <c r="MHS29" t="s">
        <v>836</v>
      </c>
      <c r="MHT29" t="s">
        <v>836</v>
      </c>
      <c r="MHU29" t="s">
        <v>836</v>
      </c>
      <c r="MHV29" t="s">
        <v>836</v>
      </c>
      <c r="MHW29" t="s">
        <v>836</v>
      </c>
      <c r="MHX29" t="s">
        <v>836</v>
      </c>
      <c r="MHY29" t="s">
        <v>836</v>
      </c>
      <c r="MHZ29" t="s">
        <v>836</v>
      </c>
      <c r="MIA29" t="s">
        <v>836</v>
      </c>
      <c r="MIB29" t="s">
        <v>836</v>
      </c>
      <c r="MIC29" t="s">
        <v>836</v>
      </c>
      <c r="MID29" t="s">
        <v>836</v>
      </c>
      <c r="MIE29" t="s">
        <v>836</v>
      </c>
      <c r="MIF29" t="s">
        <v>836</v>
      </c>
      <c r="MIG29" t="s">
        <v>836</v>
      </c>
      <c r="MIH29" t="s">
        <v>836</v>
      </c>
      <c r="MII29" t="s">
        <v>836</v>
      </c>
      <c r="MIJ29" t="s">
        <v>836</v>
      </c>
      <c r="MIK29" t="s">
        <v>836</v>
      </c>
      <c r="MIL29" t="s">
        <v>836</v>
      </c>
      <c r="MIM29" t="s">
        <v>836</v>
      </c>
      <c r="MIN29" t="s">
        <v>836</v>
      </c>
      <c r="MIO29" t="s">
        <v>836</v>
      </c>
      <c r="MIP29" t="s">
        <v>836</v>
      </c>
      <c r="MIQ29" t="s">
        <v>836</v>
      </c>
      <c r="MIR29" t="s">
        <v>836</v>
      </c>
      <c r="MIS29" t="s">
        <v>836</v>
      </c>
      <c r="MIT29" t="s">
        <v>836</v>
      </c>
      <c r="MIU29" t="s">
        <v>836</v>
      </c>
      <c r="MIV29" t="s">
        <v>836</v>
      </c>
      <c r="MIW29" t="s">
        <v>836</v>
      </c>
      <c r="MIX29" t="s">
        <v>836</v>
      </c>
      <c r="MIY29" t="s">
        <v>836</v>
      </c>
      <c r="MIZ29" t="s">
        <v>836</v>
      </c>
      <c r="MJA29" t="s">
        <v>836</v>
      </c>
      <c r="MJB29" t="s">
        <v>836</v>
      </c>
      <c r="MJC29" t="s">
        <v>836</v>
      </c>
      <c r="MJD29" t="s">
        <v>836</v>
      </c>
      <c r="MJE29" t="s">
        <v>836</v>
      </c>
      <c r="MJF29" t="s">
        <v>836</v>
      </c>
      <c r="MJG29" t="s">
        <v>836</v>
      </c>
      <c r="MJH29" t="s">
        <v>836</v>
      </c>
      <c r="MJI29" t="s">
        <v>836</v>
      </c>
      <c r="MJJ29" t="s">
        <v>836</v>
      </c>
      <c r="MJK29" t="s">
        <v>836</v>
      </c>
      <c r="MJL29" t="s">
        <v>836</v>
      </c>
      <c r="MJM29" t="s">
        <v>836</v>
      </c>
      <c r="MJN29" t="s">
        <v>836</v>
      </c>
      <c r="MJO29" t="s">
        <v>836</v>
      </c>
      <c r="MJP29" t="s">
        <v>836</v>
      </c>
      <c r="MJQ29" t="s">
        <v>836</v>
      </c>
      <c r="MJR29" t="s">
        <v>836</v>
      </c>
      <c r="MJS29" t="s">
        <v>836</v>
      </c>
      <c r="MJT29" t="s">
        <v>836</v>
      </c>
      <c r="MJU29" t="s">
        <v>836</v>
      </c>
      <c r="MJV29" t="s">
        <v>836</v>
      </c>
      <c r="MJW29" t="s">
        <v>836</v>
      </c>
      <c r="MJX29" t="s">
        <v>836</v>
      </c>
      <c r="MJY29" t="s">
        <v>836</v>
      </c>
      <c r="MJZ29" t="s">
        <v>836</v>
      </c>
      <c r="MKA29" t="s">
        <v>836</v>
      </c>
      <c r="MKB29" t="s">
        <v>836</v>
      </c>
      <c r="MKC29" t="s">
        <v>836</v>
      </c>
      <c r="MKD29" t="s">
        <v>836</v>
      </c>
      <c r="MKE29" t="s">
        <v>836</v>
      </c>
      <c r="MKF29" t="s">
        <v>836</v>
      </c>
      <c r="MKG29" t="s">
        <v>836</v>
      </c>
      <c r="MKH29" t="s">
        <v>836</v>
      </c>
      <c r="MKI29" t="s">
        <v>836</v>
      </c>
      <c r="MKJ29" t="s">
        <v>836</v>
      </c>
      <c r="MKK29" t="s">
        <v>836</v>
      </c>
      <c r="MKL29" t="s">
        <v>836</v>
      </c>
      <c r="MKM29" t="s">
        <v>836</v>
      </c>
      <c r="MKN29" t="s">
        <v>836</v>
      </c>
      <c r="MKO29" t="s">
        <v>836</v>
      </c>
      <c r="MKP29" t="s">
        <v>836</v>
      </c>
      <c r="MKQ29" t="s">
        <v>836</v>
      </c>
      <c r="MKR29" t="s">
        <v>836</v>
      </c>
      <c r="MKS29" t="s">
        <v>836</v>
      </c>
      <c r="MKT29" t="s">
        <v>836</v>
      </c>
      <c r="MKU29" t="s">
        <v>836</v>
      </c>
      <c r="MKV29" t="s">
        <v>836</v>
      </c>
      <c r="MKW29" t="s">
        <v>836</v>
      </c>
      <c r="MKX29" t="s">
        <v>836</v>
      </c>
      <c r="MKY29" t="s">
        <v>836</v>
      </c>
      <c r="MKZ29" t="s">
        <v>836</v>
      </c>
      <c r="MLA29" t="s">
        <v>836</v>
      </c>
      <c r="MLB29" t="s">
        <v>836</v>
      </c>
      <c r="MLC29" t="s">
        <v>836</v>
      </c>
      <c r="MLD29" t="s">
        <v>836</v>
      </c>
      <c r="MLE29" t="s">
        <v>836</v>
      </c>
      <c r="MLF29" t="s">
        <v>836</v>
      </c>
      <c r="MLG29" t="s">
        <v>836</v>
      </c>
      <c r="MLH29" t="s">
        <v>836</v>
      </c>
      <c r="MLI29" t="s">
        <v>836</v>
      </c>
      <c r="MLJ29" t="s">
        <v>836</v>
      </c>
      <c r="MLK29" t="s">
        <v>836</v>
      </c>
      <c r="MLL29" t="s">
        <v>836</v>
      </c>
      <c r="MLM29" t="s">
        <v>836</v>
      </c>
      <c r="MLN29" t="s">
        <v>836</v>
      </c>
      <c r="MLO29" t="s">
        <v>836</v>
      </c>
      <c r="MLP29" t="s">
        <v>836</v>
      </c>
      <c r="MLQ29" t="s">
        <v>836</v>
      </c>
      <c r="MLR29" t="s">
        <v>836</v>
      </c>
      <c r="MLS29" t="s">
        <v>836</v>
      </c>
      <c r="MLT29" t="s">
        <v>836</v>
      </c>
      <c r="MLU29" t="s">
        <v>836</v>
      </c>
      <c r="MLV29" t="s">
        <v>836</v>
      </c>
      <c r="MLW29" t="s">
        <v>836</v>
      </c>
      <c r="MLX29" t="s">
        <v>836</v>
      </c>
      <c r="MLY29" t="s">
        <v>836</v>
      </c>
      <c r="MLZ29" t="s">
        <v>836</v>
      </c>
      <c r="MMA29" t="s">
        <v>836</v>
      </c>
      <c r="MMB29" t="s">
        <v>836</v>
      </c>
      <c r="MMC29" t="s">
        <v>836</v>
      </c>
      <c r="MMD29" t="s">
        <v>836</v>
      </c>
      <c r="MME29" t="s">
        <v>836</v>
      </c>
      <c r="MMF29" t="s">
        <v>836</v>
      </c>
      <c r="MMG29" t="s">
        <v>836</v>
      </c>
      <c r="MMH29" t="s">
        <v>836</v>
      </c>
      <c r="MMI29" t="s">
        <v>836</v>
      </c>
      <c r="MMJ29" t="s">
        <v>836</v>
      </c>
      <c r="MMK29" t="s">
        <v>836</v>
      </c>
      <c r="MML29" t="s">
        <v>836</v>
      </c>
      <c r="MMM29" t="s">
        <v>836</v>
      </c>
      <c r="MMN29" t="s">
        <v>836</v>
      </c>
      <c r="MMO29" t="s">
        <v>836</v>
      </c>
      <c r="MMP29" t="s">
        <v>836</v>
      </c>
      <c r="MMQ29" t="s">
        <v>836</v>
      </c>
      <c r="MMR29" t="s">
        <v>836</v>
      </c>
      <c r="MMS29" t="s">
        <v>836</v>
      </c>
      <c r="MMT29" t="s">
        <v>836</v>
      </c>
      <c r="MMU29" t="s">
        <v>836</v>
      </c>
      <c r="MMV29" t="s">
        <v>836</v>
      </c>
      <c r="MMW29" t="s">
        <v>836</v>
      </c>
      <c r="MMX29" t="s">
        <v>836</v>
      </c>
      <c r="MMY29" t="s">
        <v>836</v>
      </c>
      <c r="MMZ29" t="s">
        <v>836</v>
      </c>
      <c r="MNA29" t="s">
        <v>836</v>
      </c>
      <c r="MNB29" t="s">
        <v>836</v>
      </c>
      <c r="MNC29" t="s">
        <v>836</v>
      </c>
      <c r="MND29" t="s">
        <v>836</v>
      </c>
      <c r="MNE29" t="s">
        <v>836</v>
      </c>
      <c r="MNF29" t="s">
        <v>836</v>
      </c>
      <c r="MNG29" t="s">
        <v>836</v>
      </c>
      <c r="MNH29" t="s">
        <v>836</v>
      </c>
      <c r="MNI29" t="s">
        <v>836</v>
      </c>
      <c r="MNJ29" t="s">
        <v>836</v>
      </c>
      <c r="MNK29" t="s">
        <v>836</v>
      </c>
      <c r="MNL29" t="s">
        <v>836</v>
      </c>
      <c r="MNM29" t="s">
        <v>836</v>
      </c>
      <c r="MNN29" t="s">
        <v>836</v>
      </c>
      <c r="MNO29" t="s">
        <v>836</v>
      </c>
      <c r="MNP29" t="s">
        <v>836</v>
      </c>
      <c r="MNQ29" t="s">
        <v>836</v>
      </c>
      <c r="MNR29" t="s">
        <v>836</v>
      </c>
      <c r="MNS29" t="s">
        <v>836</v>
      </c>
      <c r="MNT29" t="s">
        <v>836</v>
      </c>
      <c r="MNU29" t="s">
        <v>836</v>
      </c>
      <c r="MNV29" t="s">
        <v>836</v>
      </c>
      <c r="MNW29" t="s">
        <v>836</v>
      </c>
      <c r="MNX29" t="s">
        <v>836</v>
      </c>
      <c r="MNY29" t="s">
        <v>836</v>
      </c>
      <c r="MNZ29" t="s">
        <v>836</v>
      </c>
      <c r="MOA29" t="s">
        <v>836</v>
      </c>
      <c r="MOB29" t="s">
        <v>836</v>
      </c>
      <c r="MOC29" t="s">
        <v>836</v>
      </c>
      <c r="MOD29" t="s">
        <v>836</v>
      </c>
      <c r="MOE29" t="s">
        <v>836</v>
      </c>
      <c r="MOF29" t="s">
        <v>836</v>
      </c>
      <c r="MOG29" t="s">
        <v>836</v>
      </c>
      <c r="MOH29" t="s">
        <v>836</v>
      </c>
      <c r="MOI29" t="s">
        <v>836</v>
      </c>
      <c r="MOJ29" t="s">
        <v>836</v>
      </c>
      <c r="MOK29" t="s">
        <v>836</v>
      </c>
      <c r="MOL29" t="s">
        <v>836</v>
      </c>
      <c r="MOM29" t="s">
        <v>836</v>
      </c>
      <c r="MON29" t="s">
        <v>836</v>
      </c>
      <c r="MOO29" t="s">
        <v>836</v>
      </c>
      <c r="MOP29" t="s">
        <v>836</v>
      </c>
      <c r="MOQ29" t="s">
        <v>836</v>
      </c>
      <c r="MOR29" t="s">
        <v>836</v>
      </c>
      <c r="MOS29" t="s">
        <v>836</v>
      </c>
      <c r="MOT29" t="s">
        <v>836</v>
      </c>
      <c r="MOU29" t="s">
        <v>836</v>
      </c>
      <c r="MOV29" t="s">
        <v>836</v>
      </c>
      <c r="MOW29" t="s">
        <v>836</v>
      </c>
      <c r="MOX29" t="s">
        <v>836</v>
      </c>
      <c r="MOY29" t="s">
        <v>836</v>
      </c>
      <c r="MOZ29" t="s">
        <v>836</v>
      </c>
      <c r="MPA29" t="s">
        <v>836</v>
      </c>
      <c r="MPB29" t="s">
        <v>836</v>
      </c>
      <c r="MPC29" t="s">
        <v>836</v>
      </c>
      <c r="MPD29" t="s">
        <v>836</v>
      </c>
      <c r="MPE29" t="s">
        <v>836</v>
      </c>
      <c r="MPF29" t="s">
        <v>836</v>
      </c>
      <c r="MPG29" t="s">
        <v>836</v>
      </c>
      <c r="MPH29" t="s">
        <v>836</v>
      </c>
      <c r="MPI29" t="s">
        <v>836</v>
      </c>
      <c r="MPJ29" t="s">
        <v>836</v>
      </c>
      <c r="MPK29" t="s">
        <v>836</v>
      </c>
      <c r="MPL29" t="s">
        <v>836</v>
      </c>
      <c r="MPM29" t="s">
        <v>836</v>
      </c>
      <c r="MPN29" t="s">
        <v>836</v>
      </c>
      <c r="MPO29" t="s">
        <v>836</v>
      </c>
      <c r="MPP29" t="s">
        <v>836</v>
      </c>
      <c r="MPQ29" t="s">
        <v>836</v>
      </c>
      <c r="MPR29" t="s">
        <v>836</v>
      </c>
      <c r="MPS29" t="s">
        <v>836</v>
      </c>
      <c r="MPT29" t="s">
        <v>836</v>
      </c>
      <c r="MPU29" t="s">
        <v>836</v>
      </c>
      <c r="MPV29" t="s">
        <v>836</v>
      </c>
      <c r="MPW29" t="s">
        <v>836</v>
      </c>
      <c r="MPX29" t="s">
        <v>836</v>
      </c>
      <c r="MPY29" t="s">
        <v>836</v>
      </c>
      <c r="MPZ29" t="s">
        <v>836</v>
      </c>
      <c r="MQA29" t="s">
        <v>836</v>
      </c>
      <c r="MQB29" t="s">
        <v>836</v>
      </c>
      <c r="MQC29" t="s">
        <v>836</v>
      </c>
      <c r="MQD29" t="s">
        <v>836</v>
      </c>
      <c r="MQE29" t="s">
        <v>836</v>
      </c>
      <c r="MQF29" t="s">
        <v>836</v>
      </c>
      <c r="MQG29" t="s">
        <v>836</v>
      </c>
      <c r="MQH29" t="s">
        <v>836</v>
      </c>
      <c r="MQI29" t="s">
        <v>836</v>
      </c>
      <c r="MQJ29" t="s">
        <v>836</v>
      </c>
      <c r="MQK29" t="s">
        <v>836</v>
      </c>
      <c r="MQL29" t="s">
        <v>836</v>
      </c>
      <c r="MQM29" t="s">
        <v>836</v>
      </c>
      <c r="MQN29" t="s">
        <v>836</v>
      </c>
      <c r="MQO29" t="s">
        <v>836</v>
      </c>
      <c r="MQP29" t="s">
        <v>836</v>
      </c>
      <c r="MQQ29" t="s">
        <v>836</v>
      </c>
      <c r="MQR29" t="s">
        <v>836</v>
      </c>
      <c r="MQS29" t="s">
        <v>836</v>
      </c>
      <c r="MQT29" t="s">
        <v>836</v>
      </c>
      <c r="MQU29" t="s">
        <v>836</v>
      </c>
      <c r="MQV29" t="s">
        <v>836</v>
      </c>
      <c r="MQW29" t="s">
        <v>836</v>
      </c>
      <c r="MQX29" t="s">
        <v>836</v>
      </c>
      <c r="MQY29" t="s">
        <v>836</v>
      </c>
      <c r="MQZ29" t="s">
        <v>836</v>
      </c>
      <c r="MRA29" t="s">
        <v>836</v>
      </c>
      <c r="MRB29" t="s">
        <v>836</v>
      </c>
      <c r="MRC29" t="s">
        <v>836</v>
      </c>
      <c r="MRD29" t="s">
        <v>836</v>
      </c>
      <c r="MRE29" t="s">
        <v>836</v>
      </c>
      <c r="MRF29" t="s">
        <v>836</v>
      </c>
      <c r="MRG29" t="s">
        <v>836</v>
      </c>
      <c r="MRH29" t="s">
        <v>836</v>
      </c>
      <c r="MRI29" t="s">
        <v>836</v>
      </c>
      <c r="MRJ29" t="s">
        <v>836</v>
      </c>
      <c r="MRK29" t="s">
        <v>836</v>
      </c>
      <c r="MRL29" t="s">
        <v>836</v>
      </c>
      <c r="MRM29" t="s">
        <v>836</v>
      </c>
      <c r="MRN29" t="s">
        <v>836</v>
      </c>
      <c r="MRO29" t="s">
        <v>836</v>
      </c>
      <c r="MRP29" t="s">
        <v>836</v>
      </c>
      <c r="MRQ29" t="s">
        <v>836</v>
      </c>
      <c r="MRR29" t="s">
        <v>836</v>
      </c>
      <c r="MRS29" t="s">
        <v>836</v>
      </c>
      <c r="MRT29" t="s">
        <v>836</v>
      </c>
      <c r="MRU29" t="s">
        <v>836</v>
      </c>
      <c r="MRV29" t="s">
        <v>836</v>
      </c>
      <c r="MRW29" t="s">
        <v>836</v>
      </c>
      <c r="MRX29" t="s">
        <v>836</v>
      </c>
      <c r="MRY29" t="s">
        <v>836</v>
      </c>
      <c r="MRZ29" t="s">
        <v>836</v>
      </c>
      <c r="MSA29" t="s">
        <v>836</v>
      </c>
      <c r="MSB29" t="s">
        <v>836</v>
      </c>
      <c r="MSC29" t="s">
        <v>836</v>
      </c>
      <c r="MSD29" t="s">
        <v>836</v>
      </c>
      <c r="MSE29" t="s">
        <v>836</v>
      </c>
      <c r="MSF29" t="s">
        <v>836</v>
      </c>
      <c r="MSG29" t="s">
        <v>836</v>
      </c>
      <c r="MSH29" t="s">
        <v>836</v>
      </c>
      <c r="MSI29" t="s">
        <v>836</v>
      </c>
      <c r="MSJ29" t="s">
        <v>836</v>
      </c>
      <c r="MSK29" t="s">
        <v>836</v>
      </c>
      <c r="MSL29" t="s">
        <v>836</v>
      </c>
      <c r="MSM29" t="s">
        <v>836</v>
      </c>
      <c r="MSN29" t="s">
        <v>836</v>
      </c>
      <c r="MSO29" t="s">
        <v>836</v>
      </c>
      <c r="MSP29" t="s">
        <v>836</v>
      </c>
      <c r="MSQ29" t="s">
        <v>836</v>
      </c>
      <c r="MSR29" t="s">
        <v>836</v>
      </c>
      <c r="MSS29" t="s">
        <v>836</v>
      </c>
      <c r="MST29" t="s">
        <v>836</v>
      </c>
      <c r="MSU29" t="s">
        <v>836</v>
      </c>
      <c r="MSV29" t="s">
        <v>836</v>
      </c>
      <c r="MSW29" t="s">
        <v>836</v>
      </c>
      <c r="MSX29" t="s">
        <v>836</v>
      </c>
      <c r="MSY29" t="s">
        <v>836</v>
      </c>
      <c r="MSZ29" t="s">
        <v>836</v>
      </c>
      <c r="MTA29" t="s">
        <v>836</v>
      </c>
      <c r="MTB29" t="s">
        <v>836</v>
      </c>
      <c r="MTC29" t="s">
        <v>836</v>
      </c>
      <c r="MTD29" t="s">
        <v>836</v>
      </c>
      <c r="MTE29" t="s">
        <v>836</v>
      </c>
      <c r="MTF29" t="s">
        <v>836</v>
      </c>
      <c r="MTG29" t="s">
        <v>836</v>
      </c>
      <c r="MTH29" t="s">
        <v>836</v>
      </c>
      <c r="MTI29" t="s">
        <v>836</v>
      </c>
      <c r="MTJ29" t="s">
        <v>836</v>
      </c>
      <c r="MTK29" t="s">
        <v>836</v>
      </c>
      <c r="MTL29" t="s">
        <v>836</v>
      </c>
      <c r="MTM29" t="s">
        <v>836</v>
      </c>
      <c r="MTN29" t="s">
        <v>836</v>
      </c>
      <c r="MTO29" t="s">
        <v>836</v>
      </c>
      <c r="MTP29" t="s">
        <v>836</v>
      </c>
      <c r="MTQ29" t="s">
        <v>836</v>
      </c>
      <c r="MTR29" t="s">
        <v>836</v>
      </c>
      <c r="MTS29" t="s">
        <v>836</v>
      </c>
      <c r="MTT29" t="s">
        <v>836</v>
      </c>
      <c r="MTU29" t="s">
        <v>836</v>
      </c>
      <c r="MTV29" t="s">
        <v>836</v>
      </c>
      <c r="MTW29" t="s">
        <v>836</v>
      </c>
      <c r="MTX29" t="s">
        <v>836</v>
      </c>
      <c r="MTY29" t="s">
        <v>836</v>
      </c>
      <c r="MTZ29" t="s">
        <v>836</v>
      </c>
      <c r="MUA29" t="s">
        <v>836</v>
      </c>
      <c r="MUB29" t="s">
        <v>836</v>
      </c>
      <c r="MUC29" t="s">
        <v>836</v>
      </c>
      <c r="MUD29" t="s">
        <v>836</v>
      </c>
      <c r="MUE29" t="s">
        <v>836</v>
      </c>
      <c r="MUF29" t="s">
        <v>836</v>
      </c>
      <c r="MUG29" t="s">
        <v>836</v>
      </c>
      <c r="MUH29" t="s">
        <v>836</v>
      </c>
      <c r="MUI29" t="s">
        <v>836</v>
      </c>
      <c r="MUJ29" t="s">
        <v>836</v>
      </c>
      <c r="MUK29" t="s">
        <v>836</v>
      </c>
      <c r="MUL29" t="s">
        <v>836</v>
      </c>
      <c r="MUM29" t="s">
        <v>836</v>
      </c>
      <c r="MUN29" t="s">
        <v>836</v>
      </c>
      <c r="MUO29" t="s">
        <v>836</v>
      </c>
      <c r="MUP29" t="s">
        <v>836</v>
      </c>
      <c r="MUQ29" t="s">
        <v>836</v>
      </c>
      <c r="MUR29" t="s">
        <v>836</v>
      </c>
      <c r="MUS29" t="s">
        <v>836</v>
      </c>
      <c r="MUT29" t="s">
        <v>836</v>
      </c>
      <c r="MUU29" t="s">
        <v>836</v>
      </c>
      <c r="MUV29" t="s">
        <v>836</v>
      </c>
      <c r="MUW29" t="s">
        <v>836</v>
      </c>
      <c r="MUX29" t="s">
        <v>836</v>
      </c>
      <c r="MUY29" t="s">
        <v>836</v>
      </c>
      <c r="MUZ29" t="s">
        <v>836</v>
      </c>
      <c r="MVA29" t="s">
        <v>836</v>
      </c>
      <c r="MVB29" t="s">
        <v>836</v>
      </c>
      <c r="MVC29" t="s">
        <v>836</v>
      </c>
      <c r="MVD29" t="s">
        <v>836</v>
      </c>
      <c r="MVE29" t="s">
        <v>836</v>
      </c>
      <c r="MVF29" t="s">
        <v>836</v>
      </c>
      <c r="MVG29" t="s">
        <v>836</v>
      </c>
      <c r="MVH29" t="s">
        <v>836</v>
      </c>
      <c r="MVI29" t="s">
        <v>836</v>
      </c>
      <c r="MVJ29" t="s">
        <v>836</v>
      </c>
      <c r="MVK29" t="s">
        <v>836</v>
      </c>
      <c r="MVL29" t="s">
        <v>836</v>
      </c>
      <c r="MVM29" t="s">
        <v>836</v>
      </c>
      <c r="MVN29" t="s">
        <v>836</v>
      </c>
      <c r="MVO29" t="s">
        <v>836</v>
      </c>
      <c r="MVP29" t="s">
        <v>836</v>
      </c>
      <c r="MVQ29" t="s">
        <v>836</v>
      </c>
      <c r="MVR29" t="s">
        <v>836</v>
      </c>
      <c r="MVS29" t="s">
        <v>836</v>
      </c>
      <c r="MVT29" t="s">
        <v>836</v>
      </c>
      <c r="MVU29" t="s">
        <v>836</v>
      </c>
      <c r="MVV29" t="s">
        <v>836</v>
      </c>
      <c r="MVW29" t="s">
        <v>836</v>
      </c>
      <c r="MVX29" t="s">
        <v>836</v>
      </c>
      <c r="MVY29" t="s">
        <v>836</v>
      </c>
      <c r="MVZ29" t="s">
        <v>836</v>
      </c>
      <c r="MWA29" t="s">
        <v>836</v>
      </c>
      <c r="MWB29" t="s">
        <v>836</v>
      </c>
      <c r="MWC29" t="s">
        <v>836</v>
      </c>
      <c r="MWD29" t="s">
        <v>836</v>
      </c>
      <c r="MWE29" t="s">
        <v>836</v>
      </c>
      <c r="MWF29" t="s">
        <v>836</v>
      </c>
      <c r="MWG29" t="s">
        <v>836</v>
      </c>
      <c r="MWH29" t="s">
        <v>836</v>
      </c>
      <c r="MWI29" t="s">
        <v>836</v>
      </c>
      <c r="MWJ29" t="s">
        <v>836</v>
      </c>
      <c r="MWK29" t="s">
        <v>836</v>
      </c>
      <c r="MWL29" t="s">
        <v>836</v>
      </c>
      <c r="MWM29" t="s">
        <v>836</v>
      </c>
      <c r="MWN29" t="s">
        <v>836</v>
      </c>
      <c r="MWO29" t="s">
        <v>836</v>
      </c>
      <c r="MWP29" t="s">
        <v>836</v>
      </c>
      <c r="MWQ29" t="s">
        <v>836</v>
      </c>
      <c r="MWR29" t="s">
        <v>836</v>
      </c>
      <c r="MWS29" t="s">
        <v>836</v>
      </c>
      <c r="MWT29" t="s">
        <v>836</v>
      </c>
      <c r="MWU29" t="s">
        <v>836</v>
      </c>
      <c r="MWV29" t="s">
        <v>836</v>
      </c>
      <c r="MWW29" t="s">
        <v>836</v>
      </c>
      <c r="MWX29" t="s">
        <v>836</v>
      </c>
      <c r="MWY29" t="s">
        <v>836</v>
      </c>
      <c r="MWZ29" t="s">
        <v>836</v>
      </c>
      <c r="MXA29" t="s">
        <v>836</v>
      </c>
      <c r="MXB29" t="s">
        <v>836</v>
      </c>
      <c r="MXC29" t="s">
        <v>836</v>
      </c>
      <c r="MXD29" t="s">
        <v>836</v>
      </c>
      <c r="MXE29" t="s">
        <v>836</v>
      </c>
      <c r="MXF29" t="s">
        <v>836</v>
      </c>
      <c r="MXG29" t="s">
        <v>836</v>
      </c>
      <c r="MXH29" t="s">
        <v>836</v>
      </c>
      <c r="MXI29" t="s">
        <v>836</v>
      </c>
      <c r="MXJ29" t="s">
        <v>836</v>
      </c>
      <c r="MXK29" t="s">
        <v>836</v>
      </c>
      <c r="MXL29" t="s">
        <v>836</v>
      </c>
      <c r="MXM29" t="s">
        <v>836</v>
      </c>
      <c r="MXN29" t="s">
        <v>836</v>
      </c>
      <c r="MXO29" t="s">
        <v>836</v>
      </c>
      <c r="MXP29" t="s">
        <v>836</v>
      </c>
      <c r="MXQ29" t="s">
        <v>836</v>
      </c>
      <c r="MXR29" t="s">
        <v>836</v>
      </c>
      <c r="MXS29" t="s">
        <v>836</v>
      </c>
      <c r="MXT29" t="s">
        <v>836</v>
      </c>
      <c r="MXU29" t="s">
        <v>836</v>
      </c>
      <c r="MXV29" t="s">
        <v>836</v>
      </c>
      <c r="MXW29" t="s">
        <v>836</v>
      </c>
      <c r="MXX29" t="s">
        <v>836</v>
      </c>
      <c r="MXY29" t="s">
        <v>836</v>
      </c>
      <c r="MXZ29" t="s">
        <v>836</v>
      </c>
      <c r="MYA29" t="s">
        <v>836</v>
      </c>
      <c r="MYB29" t="s">
        <v>836</v>
      </c>
      <c r="MYC29" t="s">
        <v>836</v>
      </c>
      <c r="MYD29" t="s">
        <v>836</v>
      </c>
      <c r="MYE29" t="s">
        <v>836</v>
      </c>
      <c r="MYF29" t="s">
        <v>836</v>
      </c>
      <c r="MYG29" t="s">
        <v>836</v>
      </c>
      <c r="MYH29" t="s">
        <v>836</v>
      </c>
      <c r="MYI29" t="s">
        <v>836</v>
      </c>
      <c r="MYJ29" t="s">
        <v>836</v>
      </c>
      <c r="MYK29" t="s">
        <v>836</v>
      </c>
      <c r="MYL29" t="s">
        <v>836</v>
      </c>
      <c r="MYM29" t="s">
        <v>836</v>
      </c>
      <c r="MYN29" t="s">
        <v>836</v>
      </c>
      <c r="MYO29" t="s">
        <v>836</v>
      </c>
      <c r="MYP29" t="s">
        <v>836</v>
      </c>
      <c r="MYQ29" t="s">
        <v>836</v>
      </c>
      <c r="MYR29" t="s">
        <v>836</v>
      </c>
      <c r="MYS29" t="s">
        <v>836</v>
      </c>
      <c r="MYT29" t="s">
        <v>836</v>
      </c>
      <c r="MYU29" t="s">
        <v>836</v>
      </c>
      <c r="MYV29" t="s">
        <v>836</v>
      </c>
      <c r="MYW29" t="s">
        <v>836</v>
      </c>
      <c r="MYX29" t="s">
        <v>836</v>
      </c>
      <c r="MYY29" t="s">
        <v>836</v>
      </c>
      <c r="MYZ29" t="s">
        <v>836</v>
      </c>
      <c r="MZA29" t="s">
        <v>836</v>
      </c>
      <c r="MZB29" t="s">
        <v>836</v>
      </c>
      <c r="MZC29" t="s">
        <v>836</v>
      </c>
      <c r="MZD29" t="s">
        <v>836</v>
      </c>
      <c r="MZE29" t="s">
        <v>836</v>
      </c>
      <c r="MZF29" t="s">
        <v>836</v>
      </c>
      <c r="MZG29" t="s">
        <v>836</v>
      </c>
      <c r="MZH29" t="s">
        <v>836</v>
      </c>
      <c r="MZI29" t="s">
        <v>836</v>
      </c>
      <c r="MZJ29" t="s">
        <v>836</v>
      </c>
      <c r="MZK29" t="s">
        <v>836</v>
      </c>
      <c r="MZL29" t="s">
        <v>836</v>
      </c>
      <c r="MZM29" t="s">
        <v>836</v>
      </c>
      <c r="MZN29" t="s">
        <v>836</v>
      </c>
      <c r="MZO29" t="s">
        <v>836</v>
      </c>
      <c r="MZP29" t="s">
        <v>836</v>
      </c>
      <c r="MZQ29" t="s">
        <v>836</v>
      </c>
      <c r="MZR29" t="s">
        <v>836</v>
      </c>
      <c r="MZS29" t="s">
        <v>836</v>
      </c>
      <c r="MZT29" t="s">
        <v>836</v>
      </c>
      <c r="MZU29" t="s">
        <v>836</v>
      </c>
      <c r="MZV29" t="s">
        <v>836</v>
      </c>
      <c r="MZW29" t="s">
        <v>836</v>
      </c>
      <c r="MZX29" t="s">
        <v>836</v>
      </c>
      <c r="MZY29" t="s">
        <v>836</v>
      </c>
      <c r="MZZ29" t="s">
        <v>836</v>
      </c>
      <c r="NAA29" t="s">
        <v>836</v>
      </c>
      <c r="NAB29" t="s">
        <v>836</v>
      </c>
      <c r="NAC29" t="s">
        <v>836</v>
      </c>
      <c r="NAD29" t="s">
        <v>836</v>
      </c>
      <c r="NAE29" t="s">
        <v>836</v>
      </c>
      <c r="NAF29" t="s">
        <v>836</v>
      </c>
      <c r="NAG29" t="s">
        <v>836</v>
      </c>
      <c r="NAH29" t="s">
        <v>836</v>
      </c>
      <c r="NAI29" t="s">
        <v>836</v>
      </c>
      <c r="NAJ29" t="s">
        <v>836</v>
      </c>
      <c r="NAK29" t="s">
        <v>836</v>
      </c>
      <c r="NAL29" t="s">
        <v>836</v>
      </c>
      <c r="NAM29" t="s">
        <v>836</v>
      </c>
      <c r="NAN29" t="s">
        <v>836</v>
      </c>
      <c r="NAO29" t="s">
        <v>836</v>
      </c>
      <c r="NAP29" t="s">
        <v>836</v>
      </c>
      <c r="NAQ29" t="s">
        <v>836</v>
      </c>
      <c r="NAR29" t="s">
        <v>836</v>
      </c>
      <c r="NAS29" t="s">
        <v>836</v>
      </c>
      <c r="NAT29" t="s">
        <v>836</v>
      </c>
      <c r="NAU29" t="s">
        <v>836</v>
      </c>
      <c r="NAV29" t="s">
        <v>836</v>
      </c>
      <c r="NAW29" t="s">
        <v>836</v>
      </c>
      <c r="NAX29" t="s">
        <v>836</v>
      </c>
      <c r="NAY29" t="s">
        <v>836</v>
      </c>
      <c r="NAZ29" t="s">
        <v>836</v>
      </c>
      <c r="NBA29" t="s">
        <v>836</v>
      </c>
      <c r="NBB29" t="s">
        <v>836</v>
      </c>
      <c r="NBC29" t="s">
        <v>836</v>
      </c>
      <c r="NBD29" t="s">
        <v>836</v>
      </c>
      <c r="NBE29" t="s">
        <v>836</v>
      </c>
      <c r="NBF29" t="s">
        <v>836</v>
      </c>
      <c r="NBG29" t="s">
        <v>836</v>
      </c>
      <c r="NBH29" t="s">
        <v>836</v>
      </c>
      <c r="NBI29" t="s">
        <v>836</v>
      </c>
      <c r="NBJ29" t="s">
        <v>836</v>
      </c>
      <c r="NBK29" t="s">
        <v>836</v>
      </c>
      <c r="NBL29" t="s">
        <v>836</v>
      </c>
      <c r="NBM29" t="s">
        <v>836</v>
      </c>
      <c r="NBN29" t="s">
        <v>836</v>
      </c>
      <c r="NBO29" t="s">
        <v>836</v>
      </c>
      <c r="NBP29" t="s">
        <v>836</v>
      </c>
      <c r="NBQ29" t="s">
        <v>836</v>
      </c>
      <c r="NBR29" t="s">
        <v>836</v>
      </c>
      <c r="NBS29" t="s">
        <v>836</v>
      </c>
      <c r="NBT29" t="s">
        <v>836</v>
      </c>
      <c r="NBU29" t="s">
        <v>836</v>
      </c>
      <c r="NBV29" t="s">
        <v>836</v>
      </c>
      <c r="NBW29" t="s">
        <v>836</v>
      </c>
      <c r="NBX29" t="s">
        <v>836</v>
      </c>
      <c r="NBY29" t="s">
        <v>836</v>
      </c>
      <c r="NBZ29" t="s">
        <v>836</v>
      </c>
      <c r="NCA29" t="s">
        <v>836</v>
      </c>
      <c r="NCB29" t="s">
        <v>836</v>
      </c>
      <c r="NCC29" t="s">
        <v>836</v>
      </c>
      <c r="NCD29" t="s">
        <v>836</v>
      </c>
      <c r="NCE29" t="s">
        <v>836</v>
      </c>
      <c r="NCF29" t="s">
        <v>836</v>
      </c>
      <c r="NCG29" t="s">
        <v>836</v>
      </c>
      <c r="NCH29" t="s">
        <v>836</v>
      </c>
      <c r="NCI29" t="s">
        <v>836</v>
      </c>
      <c r="NCJ29" t="s">
        <v>836</v>
      </c>
      <c r="NCK29" t="s">
        <v>836</v>
      </c>
      <c r="NCL29" t="s">
        <v>836</v>
      </c>
      <c r="NCM29" t="s">
        <v>836</v>
      </c>
      <c r="NCN29" t="s">
        <v>836</v>
      </c>
      <c r="NCO29" t="s">
        <v>836</v>
      </c>
      <c r="NCP29" t="s">
        <v>836</v>
      </c>
      <c r="NCQ29" t="s">
        <v>836</v>
      </c>
      <c r="NCR29" t="s">
        <v>836</v>
      </c>
      <c r="NCS29" t="s">
        <v>836</v>
      </c>
      <c r="NCT29" t="s">
        <v>836</v>
      </c>
      <c r="NCU29" t="s">
        <v>836</v>
      </c>
      <c r="NCV29" t="s">
        <v>836</v>
      </c>
      <c r="NCW29" t="s">
        <v>836</v>
      </c>
      <c r="NCX29" t="s">
        <v>836</v>
      </c>
      <c r="NCY29" t="s">
        <v>836</v>
      </c>
      <c r="NCZ29" t="s">
        <v>836</v>
      </c>
      <c r="NDA29" t="s">
        <v>836</v>
      </c>
      <c r="NDB29" t="s">
        <v>836</v>
      </c>
      <c r="NDC29" t="s">
        <v>836</v>
      </c>
      <c r="NDD29" t="s">
        <v>836</v>
      </c>
      <c r="NDE29" t="s">
        <v>836</v>
      </c>
      <c r="NDF29" t="s">
        <v>836</v>
      </c>
      <c r="NDG29" t="s">
        <v>836</v>
      </c>
      <c r="NDH29" t="s">
        <v>836</v>
      </c>
      <c r="NDI29" t="s">
        <v>836</v>
      </c>
      <c r="NDJ29" t="s">
        <v>836</v>
      </c>
      <c r="NDK29" t="s">
        <v>836</v>
      </c>
      <c r="NDL29" t="s">
        <v>836</v>
      </c>
      <c r="NDM29" t="s">
        <v>836</v>
      </c>
      <c r="NDN29" t="s">
        <v>836</v>
      </c>
      <c r="NDO29" t="s">
        <v>836</v>
      </c>
      <c r="NDP29" t="s">
        <v>836</v>
      </c>
      <c r="NDQ29" t="s">
        <v>836</v>
      </c>
      <c r="NDR29" t="s">
        <v>836</v>
      </c>
      <c r="NDS29" t="s">
        <v>836</v>
      </c>
      <c r="NDT29" t="s">
        <v>836</v>
      </c>
      <c r="NDU29" t="s">
        <v>836</v>
      </c>
      <c r="NDV29" t="s">
        <v>836</v>
      </c>
      <c r="NDW29" t="s">
        <v>836</v>
      </c>
      <c r="NDX29" t="s">
        <v>836</v>
      </c>
      <c r="NDY29" t="s">
        <v>836</v>
      </c>
      <c r="NDZ29" t="s">
        <v>836</v>
      </c>
      <c r="NEA29" t="s">
        <v>836</v>
      </c>
      <c r="NEB29" t="s">
        <v>836</v>
      </c>
      <c r="NEC29" t="s">
        <v>836</v>
      </c>
      <c r="NED29" t="s">
        <v>836</v>
      </c>
      <c r="NEE29" t="s">
        <v>836</v>
      </c>
      <c r="NEF29" t="s">
        <v>836</v>
      </c>
      <c r="NEG29" t="s">
        <v>836</v>
      </c>
      <c r="NEH29" t="s">
        <v>836</v>
      </c>
      <c r="NEI29" t="s">
        <v>836</v>
      </c>
      <c r="NEJ29" t="s">
        <v>836</v>
      </c>
      <c r="NEK29" t="s">
        <v>836</v>
      </c>
      <c r="NEL29" t="s">
        <v>836</v>
      </c>
      <c r="NEM29" t="s">
        <v>836</v>
      </c>
      <c r="NEN29" t="s">
        <v>836</v>
      </c>
      <c r="NEO29" t="s">
        <v>836</v>
      </c>
      <c r="NEP29" t="s">
        <v>836</v>
      </c>
      <c r="NEQ29" t="s">
        <v>836</v>
      </c>
      <c r="NER29" t="s">
        <v>836</v>
      </c>
      <c r="NES29" t="s">
        <v>836</v>
      </c>
      <c r="NET29" t="s">
        <v>836</v>
      </c>
      <c r="NEU29" t="s">
        <v>836</v>
      </c>
      <c r="NEV29" t="s">
        <v>836</v>
      </c>
      <c r="NEW29" t="s">
        <v>836</v>
      </c>
      <c r="NEX29" t="s">
        <v>836</v>
      </c>
      <c r="NEY29" t="s">
        <v>836</v>
      </c>
      <c r="NEZ29" t="s">
        <v>836</v>
      </c>
      <c r="NFA29" t="s">
        <v>836</v>
      </c>
      <c r="NFB29" t="s">
        <v>836</v>
      </c>
      <c r="NFC29" t="s">
        <v>836</v>
      </c>
      <c r="NFD29" t="s">
        <v>836</v>
      </c>
      <c r="NFE29" t="s">
        <v>836</v>
      </c>
      <c r="NFF29" t="s">
        <v>836</v>
      </c>
      <c r="NFG29" t="s">
        <v>836</v>
      </c>
      <c r="NFH29" t="s">
        <v>836</v>
      </c>
      <c r="NFI29" t="s">
        <v>836</v>
      </c>
      <c r="NFJ29" t="s">
        <v>836</v>
      </c>
      <c r="NFK29" t="s">
        <v>836</v>
      </c>
      <c r="NFL29" t="s">
        <v>836</v>
      </c>
      <c r="NFM29" t="s">
        <v>836</v>
      </c>
      <c r="NFN29" t="s">
        <v>836</v>
      </c>
      <c r="NFO29" t="s">
        <v>836</v>
      </c>
      <c r="NFP29" t="s">
        <v>836</v>
      </c>
      <c r="NFQ29" t="s">
        <v>836</v>
      </c>
      <c r="NFR29" t="s">
        <v>836</v>
      </c>
      <c r="NFS29" t="s">
        <v>836</v>
      </c>
      <c r="NFT29" t="s">
        <v>836</v>
      </c>
      <c r="NFU29" t="s">
        <v>836</v>
      </c>
      <c r="NFV29" t="s">
        <v>836</v>
      </c>
      <c r="NFW29" t="s">
        <v>836</v>
      </c>
      <c r="NFX29" t="s">
        <v>836</v>
      </c>
      <c r="NFY29" t="s">
        <v>836</v>
      </c>
      <c r="NFZ29" t="s">
        <v>836</v>
      </c>
      <c r="NGA29" t="s">
        <v>836</v>
      </c>
      <c r="NGB29" t="s">
        <v>836</v>
      </c>
      <c r="NGC29" t="s">
        <v>836</v>
      </c>
      <c r="NGD29" t="s">
        <v>836</v>
      </c>
      <c r="NGE29" t="s">
        <v>836</v>
      </c>
      <c r="NGF29" t="s">
        <v>836</v>
      </c>
      <c r="NGG29" t="s">
        <v>836</v>
      </c>
      <c r="NGH29" t="s">
        <v>836</v>
      </c>
      <c r="NGI29" t="s">
        <v>836</v>
      </c>
      <c r="NGJ29" t="s">
        <v>836</v>
      </c>
      <c r="NGK29" t="s">
        <v>836</v>
      </c>
      <c r="NGL29" t="s">
        <v>836</v>
      </c>
      <c r="NGM29" t="s">
        <v>836</v>
      </c>
      <c r="NGN29" t="s">
        <v>836</v>
      </c>
      <c r="NGO29" t="s">
        <v>836</v>
      </c>
      <c r="NGP29" t="s">
        <v>836</v>
      </c>
      <c r="NGQ29" t="s">
        <v>836</v>
      </c>
      <c r="NGR29" t="s">
        <v>836</v>
      </c>
      <c r="NGS29" t="s">
        <v>836</v>
      </c>
      <c r="NGT29" t="s">
        <v>836</v>
      </c>
      <c r="NGU29" t="s">
        <v>836</v>
      </c>
      <c r="NGV29" t="s">
        <v>836</v>
      </c>
      <c r="NGW29" t="s">
        <v>836</v>
      </c>
      <c r="NGX29" t="s">
        <v>836</v>
      </c>
      <c r="NGY29" t="s">
        <v>836</v>
      </c>
      <c r="NGZ29" t="s">
        <v>836</v>
      </c>
      <c r="NHA29" t="s">
        <v>836</v>
      </c>
      <c r="NHB29" t="s">
        <v>836</v>
      </c>
      <c r="NHC29" t="s">
        <v>836</v>
      </c>
      <c r="NHD29" t="s">
        <v>836</v>
      </c>
      <c r="NHE29" t="s">
        <v>836</v>
      </c>
      <c r="NHF29" t="s">
        <v>836</v>
      </c>
      <c r="NHG29" t="s">
        <v>836</v>
      </c>
      <c r="NHH29" t="s">
        <v>836</v>
      </c>
      <c r="NHI29" t="s">
        <v>836</v>
      </c>
      <c r="NHJ29" t="s">
        <v>836</v>
      </c>
      <c r="NHK29" t="s">
        <v>836</v>
      </c>
      <c r="NHL29" t="s">
        <v>836</v>
      </c>
      <c r="NHM29" t="s">
        <v>836</v>
      </c>
      <c r="NHN29" t="s">
        <v>836</v>
      </c>
      <c r="NHO29" t="s">
        <v>836</v>
      </c>
      <c r="NHP29" t="s">
        <v>836</v>
      </c>
      <c r="NHQ29" t="s">
        <v>836</v>
      </c>
      <c r="NHR29" t="s">
        <v>836</v>
      </c>
      <c r="NHS29" t="s">
        <v>836</v>
      </c>
      <c r="NHT29" t="s">
        <v>836</v>
      </c>
      <c r="NHU29" t="s">
        <v>836</v>
      </c>
      <c r="NHV29" t="s">
        <v>836</v>
      </c>
      <c r="NHW29" t="s">
        <v>836</v>
      </c>
      <c r="NHX29" t="s">
        <v>836</v>
      </c>
      <c r="NHY29" t="s">
        <v>836</v>
      </c>
      <c r="NHZ29" t="s">
        <v>836</v>
      </c>
      <c r="NIA29" t="s">
        <v>836</v>
      </c>
      <c r="NIB29" t="s">
        <v>836</v>
      </c>
      <c r="NIC29" t="s">
        <v>836</v>
      </c>
      <c r="NID29" t="s">
        <v>836</v>
      </c>
      <c r="NIE29" t="s">
        <v>836</v>
      </c>
      <c r="NIF29" t="s">
        <v>836</v>
      </c>
      <c r="NIG29" t="s">
        <v>836</v>
      </c>
      <c r="NIH29" t="s">
        <v>836</v>
      </c>
      <c r="NII29" t="s">
        <v>836</v>
      </c>
      <c r="NIJ29" t="s">
        <v>836</v>
      </c>
      <c r="NIK29" t="s">
        <v>836</v>
      </c>
      <c r="NIL29" t="s">
        <v>836</v>
      </c>
      <c r="NIM29" t="s">
        <v>836</v>
      </c>
      <c r="NIN29" t="s">
        <v>836</v>
      </c>
      <c r="NIO29" t="s">
        <v>836</v>
      </c>
      <c r="NIP29" t="s">
        <v>836</v>
      </c>
      <c r="NIQ29" t="s">
        <v>836</v>
      </c>
      <c r="NIR29" t="s">
        <v>836</v>
      </c>
      <c r="NIS29" t="s">
        <v>836</v>
      </c>
      <c r="NIT29" t="s">
        <v>836</v>
      </c>
      <c r="NIU29" t="s">
        <v>836</v>
      </c>
      <c r="NIV29" t="s">
        <v>836</v>
      </c>
      <c r="NIW29" t="s">
        <v>836</v>
      </c>
      <c r="NIX29" t="s">
        <v>836</v>
      </c>
      <c r="NIY29" t="s">
        <v>836</v>
      </c>
      <c r="NIZ29" t="s">
        <v>836</v>
      </c>
      <c r="NJA29" t="s">
        <v>836</v>
      </c>
      <c r="NJB29" t="s">
        <v>836</v>
      </c>
      <c r="NJC29" t="s">
        <v>836</v>
      </c>
      <c r="NJD29" t="s">
        <v>836</v>
      </c>
      <c r="NJE29" t="s">
        <v>836</v>
      </c>
      <c r="NJF29" t="s">
        <v>836</v>
      </c>
      <c r="NJG29" t="s">
        <v>836</v>
      </c>
      <c r="NJH29" t="s">
        <v>836</v>
      </c>
      <c r="NJI29" t="s">
        <v>836</v>
      </c>
      <c r="NJJ29" t="s">
        <v>836</v>
      </c>
      <c r="NJK29" t="s">
        <v>836</v>
      </c>
      <c r="NJL29" t="s">
        <v>836</v>
      </c>
      <c r="NJM29" t="s">
        <v>836</v>
      </c>
      <c r="NJN29" t="s">
        <v>836</v>
      </c>
      <c r="NJO29" t="s">
        <v>836</v>
      </c>
      <c r="NJP29" t="s">
        <v>836</v>
      </c>
      <c r="NJQ29" t="s">
        <v>836</v>
      </c>
      <c r="NJR29" t="s">
        <v>836</v>
      </c>
      <c r="NJS29" t="s">
        <v>836</v>
      </c>
      <c r="NJT29" t="s">
        <v>836</v>
      </c>
      <c r="NJU29" t="s">
        <v>836</v>
      </c>
      <c r="NJV29" t="s">
        <v>836</v>
      </c>
      <c r="NJW29" t="s">
        <v>836</v>
      </c>
      <c r="NJX29" t="s">
        <v>836</v>
      </c>
      <c r="NJY29" t="s">
        <v>836</v>
      </c>
      <c r="NJZ29" t="s">
        <v>836</v>
      </c>
      <c r="NKA29" t="s">
        <v>836</v>
      </c>
      <c r="NKB29" t="s">
        <v>836</v>
      </c>
      <c r="NKC29" t="s">
        <v>836</v>
      </c>
      <c r="NKD29" t="s">
        <v>836</v>
      </c>
      <c r="NKE29" t="s">
        <v>836</v>
      </c>
      <c r="NKF29" t="s">
        <v>836</v>
      </c>
      <c r="NKG29" t="s">
        <v>836</v>
      </c>
      <c r="NKH29" t="s">
        <v>836</v>
      </c>
      <c r="NKI29" t="s">
        <v>836</v>
      </c>
      <c r="NKJ29" t="s">
        <v>836</v>
      </c>
      <c r="NKK29" t="s">
        <v>836</v>
      </c>
      <c r="NKL29" t="s">
        <v>836</v>
      </c>
      <c r="NKM29" t="s">
        <v>836</v>
      </c>
      <c r="NKN29" t="s">
        <v>836</v>
      </c>
      <c r="NKO29" t="s">
        <v>836</v>
      </c>
      <c r="NKP29" t="s">
        <v>836</v>
      </c>
      <c r="NKQ29" t="s">
        <v>836</v>
      </c>
      <c r="NKR29" t="s">
        <v>836</v>
      </c>
      <c r="NKS29" t="s">
        <v>836</v>
      </c>
      <c r="NKT29" t="s">
        <v>836</v>
      </c>
      <c r="NKU29" t="s">
        <v>836</v>
      </c>
      <c r="NKV29" t="s">
        <v>836</v>
      </c>
      <c r="NKW29" t="s">
        <v>836</v>
      </c>
      <c r="NKX29" t="s">
        <v>836</v>
      </c>
      <c r="NKY29" t="s">
        <v>836</v>
      </c>
      <c r="NKZ29" t="s">
        <v>836</v>
      </c>
      <c r="NLA29" t="s">
        <v>836</v>
      </c>
      <c r="NLB29" t="s">
        <v>836</v>
      </c>
      <c r="NLC29" t="s">
        <v>836</v>
      </c>
      <c r="NLD29" t="s">
        <v>836</v>
      </c>
      <c r="NLE29" t="s">
        <v>836</v>
      </c>
      <c r="NLF29" t="s">
        <v>836</v>
      </c>
      <c r="NLG29" t="s">
        <v>836</v>
      </c>
      <c r="NLH29" t="s">
        <v>836</v>
      </c>
      <c r="NLI29" t="s">
        <v>836</v>
      </c>
      <c r="NLJ29" t="s">
        <v>836</v>
      </c>
      <c r="NLK29" t="s">
        <v>836</v>
      </c>
      <c r="NLL29" t="s">
        <v>836</v>
      </c>
      <c r="NLM29" t="s">
        <v>836</v>
      </c>
      <c r="NLN29" t="s">
        <v>836</v>
      </c>
      <c r="NLO29" t="s">
        <v>836</v>
      </c>
      <c r="NLP29" t="s">
        <v>836</v>
      </c>
      <c r="NLQ29" t="s">
        <v>836</v>
      </c>
      <c r="NLR29" t="s">
        <v>836</v>
      </c>
      <c r="NLS29" t="s">
        <v>836</v>
      </c>
      <c r="NLT29" t="s">
        <v>836</v>
      </c>
      <c r="NLU29" t="s">
        <v>836</v>
      </c>
      <c r="NLV29" t="s">
        <v>836</v>
      </c>
      <c r="NLW29" t="s">
        <v>836</v>
      </c>
      <c r="NLX29" t="s">
        <v>836</v>
      </c>
      <c r="NLY29" t="s">
        <v>836</v>
      </c>
      <c r="NLZ29" t="s">
        <v>836</v>
      </c>
      <c r="NMA29" t="s">
        <v>836</v>
      </c>
      <c r="NMB29" t="s">
        <v>836</v>
      </c>
      <c r="NMC29" t="s">
        <v>836</v>
      </c>
      <c r="NMD29" t="s">
        <v>836</v>
      </c>
      <c r="NME29" t="s">
        <v>836</v>
      </c>
      <c r="NMF29" t="s">
        <v>836</v>
      </c>
      <c r="NMG29" t="s">
        <v>836</v>
      </c>
      <c r="NMH29" t="s">
        <v>836</v>
      </c>
      <c r="NMI29" t="s">
        <v>836</v>
      </c>
      <c r="NMJ29" t="s">
        <v>836</v>
      </c>
      <c r="NMK29" t="s">
        <v>836</v>
      </c>
      <c r="NML29" t="s">
        <v>836</v>
      </c>
      <c r="NMM29" t="s">
        <v>836</v>
      </c>
      <c r="NMN29" t="s">
        <v>836</v>
      </c>
      <c r="NMO29" t="s">
        <v>836</v>
      </c>
      <c r="NMP29" t="s">
        <v>836</v>
      </c>
      <c r="NMQ29" t="s">
        <v>836</v>
      </c>
      <c r="NMR29" t="s">
        <v>836</v>
      </c>
      <c r="NMS29" t="s">
        <v>836</v>
      </c>
      <c r="NMT29" t="s">
        <v>836</v>
      </c>
      <c r="NMU29" t="s">
        <v>836</v>
      </c>
      <c r="NMV29" t="s">
        <v>836</v>
      </c>
      <c r="NMW29" t="s">
        <v>836</v>
      </c>
      <c r="NMX29" t="s">
        <v>836</v>
      </c>
      <c r="NMY29" t="s">
        <v>836</v>
      </c>
      <c r="NMZ29" t="s">
        <v>836</v>
      </c>
      <c r="NNA29" t="s">
        <v>836</v>
      </c>
      <c r="NNB29" t="s">
        <v>836</v>
      </c>
      <c r="NNC29" t="s">
        <v>836</v>
      </c>
      <c r="NND29" t="s">
        <v>836</v>
      </c>
      <c r="NNE29" t="s">
        <v>836</v>
      </c>
      <c r="NNF29" t="s">
        <v>836</v>
      </c>
      <c r="NNG29" t="s">
        <v>836</v>
      </c>
      <c r="NNH29" t="s">
        <v>836</v>
      </c>
      <c r="NNI29" t="s">
        <v>836</v>
      </c>
      <c r="NNJ29" t="s">
        <v>836</v>
      </c>
      <c r="NNK29" t="s">
        <v>836</v>
      </c>
      <c r="NNL29" t="s">
        <v>836</v>
      </c>
      <c r="NNM29" t="s">
        <v>836</v>
      </c>
      <c r="NNN29" t="s">
        <v>836</v>
      </c>
      <c r="NNO29" t="s">
        <v>836</v>
      </c>
      <c r="NNP29" t="s">
        <v>836</v>
      </c>
      <c r="NNQ29" t="s">
        <v>836</v>
      </c>
      <c r="NNR29" t="s">
        <v>836</v>
      </c>
      <c r="NNS29" t="s">
        <v>836</v>
      </c>
      <c r="NNT29" t="s">
        <v>836</v>
      </c>
      <c r="NNU29" t="s">
        <v>836</v>
      </c>
      <c r="NNV29" t="s">
        <v>836</v>
      </c>
      <c r="NNW29" t="s">
        <v>836</v>
      </c>
      <c r="NNX29" t="s">
        <v>836</v>
      </c>
      <c r="NNY29" t="s">
        <v>836</v>
      </c>
      <c r="NNZ29" t="s">
        <v>836</v>
      </c>
      <c r="NOA29" t="s">
        <v>836</v>
      </c>
      <c r="NOB29" t="s">
        <v>836</v>
      </c>
      <c r="NOC29" t="s">
        <v>836</v>
      </c>
      <c r="NOD29" t="s">
        <v>836</v>
      </c>
      <c r="NOE29" t="s">
        <v>836</v>
      </c>
      <c r="NOF29" t="s">
        <v>836</v>
      </c>
      <c r="NOG29" t="s">
        <v>836</v>
      </c>
      <c r="NOH29" t="s">
        <v>836</v>
      </c>
      <c r="NOI29" t="s">
        <v>836</v>
      </c>
      <c r="NOJ29" t="s">
        <v>836</v>
      </c>
      <c r="NOK29" t="s">
        <v>836</v>
      </c>
      <c r="NOL29" t="s">
        <v>836</v>
      </c>
      <c r="NOM29" t="s">
        <v>836</v>
      </c>
      <c r="NON29" t="s">
        <v>836</v>
      </c>
      <c r="NOO29" t="s">
        <v>836</v>
      </c>
      <c r="NOP29" t="s">
        <v>836</v>
      </c>
      <c r="NOQ29" t="s">
        <v>836</v>
      </c>
      <c r="NOR29" t="s">
        <v>836</v>
      </c>
      <c r="NOS29" t="s">
        <v>836</v>
      </c>
      <c r="NOT29" t="s">
        <v>836</v>
      </c>
      <c r="NOU29" t="s">
        <v>836</v>
      </c>
      <c r="NOV29" t="s">
        <v>836</v>
      </c>
      <c r="NOW29" t="s">
        <v>836</v>
      </c>
      <c r="NOX29" t="s">
        <v>836</v>
      </c>
      <c r="NOY29" t="s">
        <v>836</v>
      </c>
      <c r="NOZ29" t="s">
        <v>836</v>
      </c>
      <c r="NPA29" t="s">
        <v>836</v>
      </c>
      <c r="NPB29" t="s">
        <v>836</v>
      </c>
      <c r="NPC29" t="s">
        <v>836</v>
      </c>
      <c r="NPD29" t="s">
        <v>836</v>
      </c>
      <c r="NPE29" t="s">
        <v>836</v>
      </c>
      <c r="NPF29" t="s">
        <v>836</v>
      </c>
      <c r="NPG29" t="s">
        <v>836</v>
      </c>
      <c r="NPH29" t="s">
        <v>836</v>
      </c>
      <c r="NPI29" t="s">
        <v>836</v>
      </c>
      <c r="NPJ29" t="s">
        <v>836</v>
      </c>
      <c r="NPK29" t="s">
        <v>836</v>
      </c>
      <c r="NPL29" t="s">
        <v>836</v>
      </c>
      <c r="NPM29" t="s">
        <v>836</v>
      </c>
      <c r="NPN29" t="s">
        <v>836</v>
      </c>
      <c r="NPO29" t="s">
        <v>836</v>
      </c>
      <c r="NPP29" t="s">
        <v>836</v>
      </c>
      <c r="NPQ29" t="s">
        <v>836</v>
      </c>
      <c r="NPR29" t="s">
        <v>836</v>
      </c>
      <c r="NPS29" t="s">
        <v>836</v>
      </c>
      <c r="NPT29" t="s">
        <v>836</v>
      </c>
      <c r="NPU29" t="s">
        <v>836</v>
      </c>
      <c r="NPV29" t="s">
        <v>836</v>
      </c>
      <c r="NPW29" t="s">
        <v>836</v>
      </c>
      <c r="NPX29" t="s">
        <v>836</v>
      </c>
      <c r="NPY29" t="s">
        <v>836</v>
      </c>
      <c r="NPZ29" t="s">
        <v>836</v>
      </c>
      <c r="NQA29" t="s">
        <v>836</v>
      </c>
      <c r="NQB29" t="s">
        <v>836</v>
      </c>
      <c r="NQC29" t="s">
        <v>836</v>
      </c>
      <c r="NQD29" t="s">
        <v>836</v>
      </c>
      <c r="NQE29" t="s">
        <v>836</v>
      </c>
      <c r="NQF29" t="s">
        <v>836</v>
      </c>
      <c r="NQG29" t="s">
        <v>836</v>
      </c>
      <c r="NQH29" t="s">
        <v>836</v>
      </c>
      <c r="NQI29" t="s">
        <v>836</v>
      </c>
      <c r="NQJ29" t="s">
        <v>836</v>
      </c>
      <c r="NQK29" t="s">
        <v>836</v>
      </c>
      <c r="NQL29" t="s">
        <v>836</v>
      </c>
      <c r="NQM29" t="s">
        <v>836</v>
      </c>
      <c r="NQN29" t="s">
        <v>836</v>
      </c>
      <c r="NQO29" t="s">
        <v>836</v>
      </c>
      <c r="NQP29" t="s">
        <v>836</v>
      </c>
      <c r="NQQ29" t="s">
        <v>836</v>
      </c>
      <c r="NQR29" t="s">
        <v>836</v>
      </c>
      <c r="NQS29" t="s">
        <v>836</v>
      </c>
      <c r="NQT29" t="s">
        <v>836</v>
      </c>
      <c r="NQU29" t="s">
        <v>836</v>
      </c>
      <c r="NQV29" t="s">
        <v>836</v>
      </c>
      <c r="NQW29" t="s">
        <v>836</v>
      </c>
      <c r="NQX29" t="s">
        <v>836</v>
      </c>
      <c r="NQY29" t="s">
        <v>836</v>
      </c>
      <c r="NQZ29" t="s">
        <v>836</v>
      </c>
      <c r="NRA29" t="s">
        <v>836</v>
      </c>
      <c r="NRB29" t="s">
        <v>836</v>
      </c>
      <c r="NRC29" t="s">
        <v>836</v>
      </c>
      <c r="NRD29" t="s">
        <v>836</v>
      </c>
      <c r="NRE29" t="s">
        <v>836</v>
      </c>
      <c r="NRF29" t="s">
        <v>836</v>
      </c>
      <c r="NRG29" t="s">
        <v>836</v>
      </c>
      <c r="NRH29" t="s">
        <v>836</v>
      </c>
      <c r="NRI29" t="s">
        <v>836</v>
      </c>
      <c r="NRJ29" t="s">
        <v>836</v>
      </c>
      <c r="NRK29" t="s">
        <v>836</v>
      </c>
      <c r="NRL29" t="s">
        <v>836</v>
      </c>
      <c r="NRM29" t="s">
        <v>836</v>
      </c>
      <c r="NRN29" t="s">
        <v>836</v>
      </c>
      <c r="NRO29" t="s">
        <v>836</v>
      </c>
      <c r="NRP29" t="s">
        <v>836</v>
      </c>
      <c r="NRQ29" t="s">
        <v>836</v>
      </c>
      <c r="NRR29" t="s">
        <v>836</v>
      </c>
      <c r="NRS29" t="s">
        <v>836</v>
      </c>
      <c r="NRT29" t="s">
        <v>836</v>
      </c>
      <c r="NRU29" t="s">
        <v>836</v>
      </c>
      <c r="NRV29" t="s">
        <v>836</v>
      </c>
      <c r="NRW29" t="s">
        <v>836</v>
      </c>
      <c r="NRX29" t="s">
        <v>836</v>
      </c>
      <c r="NRY29" t="s">
        <v>836</v>
      </c>
      <c r="NRZ29" t="s">
        <v>836</v>
      </c>
      <c r="NSA29" t="s">
        <v>836</v>
      </c>
      <c r="NSB29" t="s">
        <v>836</v>
      </c>
      <c r="NSC29" t="s">
        <v>836</v>
      </c>
      <c r="NSD29" t="s">
        <v>836</v>
      </c>
      <c r="NSE29" t="s">
        <v>836</v>
      </c>
      <c r="NSF29" t="s">
        <v>836</v>
      </c>
      <c r="NSG29" t="s">
        <v>836</v>
      </c>
      <c r="NSH29" t="s">
        <v>836</v>
      </c>
      <c r="NSI29" t="s">
        <v>836</v>
      </c>
      <c r="NSJ29" t="s">
        <v>836</v>
      </c>
      <c r="NSK29" t="s">
        <v>836</v>
      </c>
      <c r="NSL29" t="s">
        <v>836</v>
      </c>
      <c r="NSM29" t="s">
        <v>836</v>
      </c>
      <c r="NSN29" t="s">
        <v>836</v>
      </c>
      <c r="NSO29" t="s">
        <v>836</v>
      </c>
      <c r="NSP29" t="s">
        <v>836</v>
      </c>
      <c r="NSQ29" t="s">
        <v>836</v>
      </c>
      <c r="NSR29" t="s">
        <v>836</v>
      </c>
      <c r="NSS29" t="s">
        <v>836</v>
      </c>
      <c r="NST29" t="s">
        <v>836</v>
      </c>
      <c r="NSU29" t="s">
        <v>836</v>
      </c>
      <c r="NSV29" t="s">
        <v>836</v>
      </c>
      <c r="NSW29" t="s">
        <v>836</v>
      </c>
      <c r="NSX29" t="s">
        <v>836</v>
      </c>
      <c r="NSY29" t="s">
        <v>836</v>
      </c>
      <c r="NSZ29" t="s">
        <v>836</v>
      </c>
      <c r="NTA29" t="s">
        <v>836</v>
      </c>
      <c r="NTB29" t="s">
        <v>836</v>
      </c>
      <c r="NTC29" t="s">
        <v>836</v>
      </c>
      <c r="NTD29" t="s">
        <v>836</v>
      </c>
      <c r="NTE29" t="s">
        <v>836</v>
      </c>
      <c r="NTF29" t="s">
        <v>836</v>
      </c>
      <c r="NTG29" t="s">
        <v>836</v>
      </c>
      <c r="NTH29" t="s">
        <v>836</v>
      </c>
      <c r="NTI29" t="s">
        <v>836</v>
      </c>
      <c r="NTJ29" t="s">
        <v>836</v>
      </c>
      <c r="NTK29" t="s">
        <v>836</v>
      </c>
      <c r="NTL29" t="s">
        <v>836</v>
      </c>
      <c r="NTM29" t="s">
        <v>836</v>
      </c>
      <c r="NTN29" t="s">
        <v>836</v>
      </c>
      <c r="NTO29" t="s">
        <v>836</v>
      </c>
      <c r="NTP29" t="s">
        <v>836</v>
      </c>
      <c r="NTQ29" t="s">
        <v>836</v>
      </c>
      <c r="NTR29" t="s">
        <v>836</v>
      </c>
      <c r="NTS29" t="s">
        <v>836</v>
      </c>
      <c r="NTT29" t="s">
        <v>836</v>
      </c>
      <c r="NTU29" t="s">
        <v>836</v>
      </c>
      <c r="NTV29" t="s">
        <v>836</v>
      </c>
      <c r="NTW29" t="s">
        <v>836</v>
      </c>
      <c r="NTX29" t="s">
        <v>836</v>
      </c>
      <c r="NTY29" t="s">
        <v>836</v>
      </c>
      <c r="NTZ29" t="s">
        <v>836</v>
      </c>
      <c r="NUA29" t="s">
        <v>836</v>
      </c>
      <c r="NUB29" t="s">
        <v>836</v>
      </c>
      <c r="NUC29" t="s">
        <v>836</v>
      </c>
      <c r="NUD29" t="s">
        <v>836</v>
      </c>
      <c r="NUE29" t="s">
        <v>836</v>
      </c>
      <c r="NUF29" t="s">
        <v>836</v>
      </c>
      <c r="NUG29" t="s">
        <v>836</v>
      </c>
      <c r="NUH29" t="s">
        <v>836</v>
      </c>
      <c r="NUI29" t="s">
        <v>836</v>
      </c>
      <c r="NUJ29" t="s">
        <v>836</v>
      </c>
      <c r="NUK29" t="s">
        <v>836</v>
      </c>
      <c r="NUL29" t="s">
        <v>836</v>
      </c>
      <c r="NUM29" t="s">
        <v>836</v>
      </c>
      <c r="NUN29" t="s">
        <v>836</v>
      </c>
      <c r="NUO29" t="s">
        <v>836</v>
      </c>
      <c r="NUP29" t="s">
        <v>836</v>
      </c>
      <c r="NUQ29" t="s">
        <v>836</v>
      </c>
      <c r="NUR29" t="s">
        <v>836</v>
      </c>
      <c r="NUS29" t="s">
        <v>836</v>
      </c>
      <c r="NUT29" t="s">
        <v>836</v>
      </c>
      <c r="NUU29" t="s">
        <v>836</v>
      </c>
      <c r="NUV29" t="s">
        <v>836</v>
      </c>
      <c r="NUW29" t="s">
        <v>836</v>
      </c>
      <c r="NUX29" t="s">
        <v>836</v>
      </c>
      <c r="NUY29" t="s">
        <v>836</v>
      </c>
      <c r="NUZ29" t="s">
        <v>836</v>
      </c>
      <c r="NVA29" t="s">
        <v>836</v>
      </c>
      <c r="NVB29" t="s">
        <v>836</v>
      </c>
      <c r="NVC29" t="s">
        <v>836</v>
      </c>
      <c r="NVD29" t="s">
        <v>836</v>
      </c>
      <c r="NVE29" t="s">
        <v>836</v>
      </c>
      <c r="NVF29" t="s">
        <v>836</v>
      </c>
      <c r="NVG29" t="s">
        <v>836</v>
      </c>
      <c r="NVH29" t="s">
        <v>836</v>
      </c>
      <c r="NVI29" t="s">
        <v>836</v>
      </c>
      <c r="NVJ29" t="s">
        <v>836</v>
      </c>
      <c r="NVK29" t="s">
        <v>836</v>
      </c>
      <c r="NVL29" t="s">
        <v>836</v>
      </c>
      <c r="NVM29" t="s">
        <v>836</v>
      </c>
      <c r="NVN29" t="s">
        <v>836</v>
      </c>
      <c r="NVO29" t="s">
        <v>836</v>
      </c>
      <c r="NVP29" t="s">
        <v>836</v>
      </c>
      <c r="NVQ29" t="s">
        <v>836</v>
      </c>
      <c r="NVR29" t="s">
        <v>836</v>
      </c>
      <c r="NVS29" t="s">
        <v>836</v>
      </c>
      <c r="NVT29" t="s">
        <v>836</v>
      </c>
      <c r="NVU29" t="s">
        <v>836</v>
      </c>
      <c r="NVV29" t="s">
        <v>836</v>
      </c>
      <c r="NVW29" t="s">
        <v>836</v>
      </c>
      <c r="NVX29" t="s">
        <v>836</v>
      </c>
      <c r="NVY29" t="s">
        <v>836</v>
      </c>
      <c r="NVZ29" t="s">
        <v>836</v>
      </c>
      <c r="NWA29" t="s">
        <v>836</v>
      </c>
      <c r="NWB29" t="s">
        <v>836</v>
      </c>
      <c r="NWC29" t="s">
        <v>836</v>
      </c>
      <c r="NWD29" t="s">
        <v>836</v>
      </c>
      <c r="NWE29" t="s">
        <v>836</v>
      </c>
      <c r="NWF29" t="s">
        <v>836</v>
      </c>
      <c r="NWG29" t="s">
        <v>836</v>
      </c>
      <c r="NWH29" t="s">
        <v>836</v>
      </c>
      <c r="NWI29" t="s">
        <v>836</v>
      </c>
      <c r="NWJ29" t="s">
        <v>836</v>
      </c>
      <c r="NWK29" t="s">
        <v>836</v>
      </c>
      <c r="NWL29" t="s">
        <v>836</v>
      </c>
      <c r="NWM29" t="s">
        <v>836</v>
      </c>
      <c r="NWN29" t="s">
        <v>836</v>
      </c>
      <c r="NWO29" t="s">
        <v>836</v>
      </c>
      <c r="NWP29" t="s">
        <v>836</v>
      </c>
      <c r="NWQ29" t="s">
        <v>836</v>
      </c>
      <c r="NWR29" t="s">
        <v>836</v>
      </c>
      <c r="NWS29" t="s">
        <v>836</v>
      </c>
      <c r="NWT29" t="s">
        <v>836</v>
      </c>
      <c r="NWU29" t="s">
        <v>836</v>
      </c>
      <c r="NWV29" t="s">
        <v>836</v>
      </c>
      <c r="NWW29" t="s">
        <v>836</v>
      </c>
      <c r="NWX29" t="s">
        <v>836</v>
      </c>
      <c r="NWY29" t="s">
        <v>836</v>
      </c>
      <c r="NWZ29" t="s">
        <v>836</v>
      </c>
      <c r="NXA29" t="s">
        <v>836</v>
      </c>
      <c r="NXB29" t="s">
        <v>836</v>
      </c>
      <c r="NXC29" t="s">
        <v>836</v>
      </c>
      <c r="NXD29" t="s">
        <v>836</v>
      </c>
      <c r="NXE29" t="s">
        <v>836</v>
      </c>
      <c r="NXF29" t="s">
        <v>836</v>
      </c>
      <c r="NXG29" t="s">
        <v>836</v>
      </c>
      <c r="NXH29" t="s">
        <v>836</v>
      </c>
      <c r="NXI29" t="s">
        <v>836</v>
      </c>
      <c r="NXJ29" t="s">
        <v>836</v>
      </c>
      <c r="NXK29" t="s">
        <v>836</v>
      </c>
      <c r="NXL29" t="s">
        <v>836</v>
      </c>
      <c r="NXM29" t="s">
        <v>836</v>
      </c>
      <c r="NXN29" t="s">
        <v>836</v>
      </c>
      <c r="NXO29" t="s">
        <v>836</v>
      </c>
      <c r="NXP29" t="s">
        <v>836</v>
      </c>
      <c r="NXQ29" t="s">
        <v>836</v>
      </c>
      <c r="NXR29" t="s">
        <v>836</v>
      </c>
      <c r="NXS29" t="s">
        <v>836</v>
      </c>
      <c r="NXT29" t="s">
        <v>836</v>
      </c>
      <c r="NXU29" t="s">
        <v>836</v>
      </c>
      <c r="NXV29" t="s">
        <v>836</v>
      </c>
      <c r="NXW29" t="s">
        <v>836</v>
      </c>
      <c r="NXX29" t="s">
        <v>836</v>
      </c>
      <c r="NXY29" t="s">
        <v>836</v>
      </c>
      <c r="NXZ29" t="s">
        <v>836</v>
      </c>
      <c r="NYA29" t="s">
        <v>836</v>
      </c>
      <c r="NYB29" t="s">
        <v>836</v>
      </c>
      <c r="NYC29" t="s">
        <v>836</v>
      </c>
      <c r="NYD29" t="s">
        <v>836</v>
      </c>
      <c r="NYE29" t="s">
        <v>836</v>
      </c>
      <c r="NYF29" t="s">
        <v>836</v>
      </c>
      <c r="NYG29" t="s">
        <v>836</v>
      </c>
      <c r="NYH29" t="s">
        <v>836</v>
      </c>
      <c r="NYI29" t="s">
        <v>836</v>
      </c>
      <c r="NYJ29" t="s">
        <v>836</v>
      </c>
      <c r="NYK29" t="s">
        <v>836</v>
      </c>
      <c r="NYL29" t="s">
        <v>836</v>
      </c>
      <c r="NYM29" t="s">
        <v>836</v>
      </c>
      <c r="NYN29" t="s">
        <v>836</v>
      </c>
      <c r="NYO29" t="s">
        <v>836</v>
      </c>
      <c r="NYP29" t="s">
        <v>836</v>
      </c>
      <c r="NYQ29" t="s">
        <v>836</v>
      </c>
      <c r="NYR29" t="s">
        <v>836</v>
      </c>
      <c r="NYS29" t="s">
        <v>836</v>
      </c>
      <c r="NYT29" t="s">
        <v>836</v>
      </c>
      <c r="NYU29" t="s">
        <v>836</v>
      </c>
      <c r="NYV29" t="s">
        <v>836</v>
      </c>
      <c r="NYW29" t="s">
        <v>836</v>
      </c>
      <c r="NYX29" t="s">
        <v>836</v>
      </c>
      <c r="NYY29" t="s">
        <v>836</v>
      </c>
      <c r="NYZ29" t="s">
        <v>836</v>
      </c>
      <c r="NZA29" t="s">
        <v>836</v>
      </c>
      <c r="NZB29" t="s">
        <v>836</v>
      </c>
      <c r="NZC29" t="s">
        <v>836</v>
      </c>
      <c r="NZD29" t="s">
        <v>836</v>
      </c>
      <c r="NZE29" t="s">
        <v>836</v>
      </c>
      <c r="NZF29" t="s">
        <v>836</v>
      </c>
      <c r="NZG29" t="s">
        <v>836</v>
      </c>
      <c r="NZH29" t="s">
        <v>836</v>
      </c>
      <c r="NZI29" t="s">
        <v>836</v>
      </c>
      <c r="NZJ29" t="s">
        <v>836</v>
      </c>
      <c r="NZK29" t="s">
        <v>836</v>
      </c>
      <c r="NZL29" t="s">
        <v>836</v>
      </c>
      <c r="NZM29" t="s">
        <v>836</v>
      </c>
      <c r="NZN29" t="s">
        <v>836</v>
      </c>
      <c r="NZO29" t="s">
        <v>836</v>
      </c>
      <c r="NZP29" t="s">
        <v>836</v>
      </c>
      <c r="NZQ29" t="s">
        <v>836</v>
      </c>
      <c r="NZR29" t="s">
        <v>836</v>
      </c>
      <c r="NZS29" t="s">
        <v>836</v>
      </c>
      <c r="NZT29" t="s">
        <v>836</v>
      </c>
      <c r="NZU29" t="s">
        <v>836</v>
      </c>
      <c r="NZV29" t="s">
        <v>836</v>
      </c>
      <c r="NZW29" t="s">
        <v>836</v>
      </c>
      <c r="NZX29" t="s">
        <v>836</v>
      </c>
      <c r="NZY29" t="s">
        <v>836</v>
      </c>
      <c r="NZZ29" t="s">
        <v>836</v>
      </c>
      <c r="OAA29" t="s">
        <v>836</v>
      </c>
      <c r="OAB29" t="s">
        <v>836</v>
      </c>
      <c r="OAC29" t="s">
        <v>836</v>
      </c>
      <c r="OAD29" t="s">
        <v>836</v>
      </c>
      <c r="OAE29" t="s">
        <v>836</v>
      </c>
      <c r="OAF29" t="s">
        <v>836</v>
      </c>
      <c r="OAG29" t="s">
        <v>836</v>
      </c>
      <c r="OAH29" t="s">
        <v>836</v>
      </c>
      <c r="OAI29" t="s">
        <v>836</v>
      </c>
      <c r="OAJ29" t="s">
        <v>836</v>
      </c>
      <c r="OAK29" t="s">
        <v>836</v>
      </c>
      <c r="OAL29" t="s">
        <v>836</v>
      </c>
      <c r="OAM29" t="s">
        <v>836</v>
      </c>
      <c r="OAN29" t="s">
        <v>836</v>
      </c>
      <c r="OAO29" t="s">
        <v>836</v>
      </c>
      <c r="OAP29" t="s">
        <v>836</v>
      </c>
      <c r="OAQ29" t="s">
        <v>836</v>
      </c>
      <c r="OAR29" t="s">
        <v>836</v>
      </c>
      <c r="OAS29" t="s">
        <v>836</v>
      </c>
      <c r="OAT29" t="s">
        <v>836</v>
      </c>
      <c r="OAU29" t="s">
        <v>836</v>
      </c>
      <c r="OAV29" t="s">
        <v>836</v>
      </c>
      <c r="OAW29" t="s">
        <v>836</v>
      </c>
      <c r="OAX29" t="s">
        <v>836</v>
      </c>
      <c r="OAY29" t="s">
        <v>836</v>
      </c>
      <c r="OAZ29" t="s">
        <v>836</v>
      </c>
      <c r="OBA29" t="s">
        <v>836</v>
      </c>
      <c r="OBB29" t="s">
        <v>836</v>
      </c>
      <c r="OBC29" t="s">
        <v>836</v>
      </c>
      <c r="OBD29" t="s">
        <v>836</v>
      </c>
      <c r="OBE29" t="s">
        <v>836</v>
      </c>
      <c r="OBF29" t="s">
        <v>836</v>
      </c>
      <c r="OBG29" t="s">
        <v>836</v>
      </c>
      <c r="OBH29" t="s">
        <v>836</v>
      </c>
      <c r="OBI29" t="s">
        <v>836</v>
      </c>
      <c r="OBJ29" t="s">
        <v>836</v>
      </c>
      <c r="OBK29" t="s">
        <v>836</v>
      </c>
      <c r="OBL29" t="s">
        <v>836</v>
      </c>
      <c r="OBM29" t="s">
        <v>836</v>
      </c>
      <c r="OBN29" t="s">
        <v>836</v>
      </c>
      <c r="OBO29" t="s">
        <v>836</v>
      </c>
      <c r="OBP29" t="s">
        <v>836</v>
      </c>
      <c r="OBQ29" t="s">
        <v>836</v>
      </c>
      <c r="OBR29" t="s">
        <v>836</v>
      </c>
      <c r="OBS29" t="s">
        <v>836</v>
      </c>
      <c r="OBT29" t="s">
        <v>836</v>
      </c>
      <c r="OBU29" t="s">
        <v>836</v>
      </c>
      <c r="OBV29" t="s">
        <v>836</v>
      </c>
      <c r="OBW29" t="s">
        <v>836</v>
      </c>
      <c r="OBX29" t="s">
        <v>836</v>
      </c>
      <c r="OBY29" t="s">
        <v>836</v>
      </c>
      <c r="OBZ29" t="s">
        <v>836</v>
      </c>
      <c r="OCA29" t="s">
        <v>836</v>
      </c>
      <c r="OCB29" t="s">
        <v>836</v>
      </c>
      <c r="OCC29" t="s">
        <v>836</v>
      </c>
      <c r="OCD29" t="s">
        <v>836</v>
      </c>
      <c r="OCE29" t="s">
        <v>836</v>
      </c>
      <c r="OCF29" t="s">
        <v>836</v>
      </c>
      <c r="OCG29" t="s">
        <v>836</v>
      </c>
      <c r="OCH29" t="s">
        <v>836</v>
      </c>
      <c r="OCI29" t="s">
        <v>836</v>
      </c>
      <c r="OCJ29" t="s">
        <v>836</v>
      </c>
      <c r="OCK29" t="s">
        <v>836</v>
      </c>
      <c r="OCL29" t="s">
        <v>836</v>
      </c>
      <c r="OCM29" t="s">
        <v>836</v>
      </c>
      <c r="OCN29" t="s">
        <v>836</v>
      </c>
      <c r="OCO29" t="s">
        <v>836</v>
      </c>
      <c r="OCP29" t="s">
        <v>836</v>
      </c>
      <c r="OCQ29" t="s">
        <v>836</v>
      </c>
      <c r="OCR29" t="s">
        <v>836</v>
      </c>
      <c r="OCS29" t="s">
        <v>836</v>
      </c>
      <c r="OCT29" t="s">
        <v>836</v>
      </c>
      <c r="OCU29" t="s">
        <v>836</v>
      </c>
      <c r="OCV29" t="s">
        <v>836</v>
      </c>
      <c r="OCW29" t="s">
        <v>836</v>
      </c>
      <c r="OCX29" t="s">
        <v>836</v>
      </c>
      <c r="OCY29" t="s">
        <v>836</v>
      </c>
      <c r="OCZ29" t="s">
        <v>836</v>
      </c>
      <c r="ODA29" t="s">
        <v>836</v>
      </c>
      <c r="ODB29" t="s">
        <v>836</v>
      </c>
      <c r="ODC29" t="s">
        <v>836</v>
      </c>
      <c r="ODD29" t="s">
        <v>836</v>
      </c>
      <c r="ODE29" t="s">
        <v>836</v>
      </c>
      <c r="ODF29" t="s">
        <v>836</v>
      </c>
      <c r="ODG29" t="s">
        <v>836</v>
      </c>
      <c r="ODH29" t="s">
        <v>836</v>
      </c>
      <c r="ODI29" t="s">
        <v>836</v>
      </c>
      <c r="ODJ29" t="s">
        <v>836</v>
      </c>
      <c r="ODK29" t="s">
        <v>836</v>
      </c>
      <c r="ODL29" t="s">
        <v>836</v>
      </c>
      <c r="ODM29" t="s">
        <v>836</v>
      </c>
      <c r="ODN29" t="s">
        <v>836</v>
      </c>
      <c r="ODO29" t="s">
        <v>836</v>
      </c>
      <c r="ODP29" t="s">
        <v>836</v>
      </c>
      <c r="ODQ29" t="s">
        <v>836</v>
      </c>
      <c r="ODR29" t="s">
        <v>836</v>
      </c>
      <c r="ODS29" t="s">
        <v>836</v>
      </c>
      <c r="ODT29" t="s">
        <v>836</v>
      </c>
      <c r="ODU29" t="s">
        <v>836</v>
      </c>
      <c r="ODV29" t="s">
        <v>836</v>
      </c>
      <c r="ODW29" t="s">
        <v>836</v>
      </c>
      <c r="ODX29" t="s">
        <v>836</v>
      </c>
      <c r="ODY29" t="s">
        <v>836</v>
      </c>
      <c r="ODZ29" t="s">
        <v>836</v>
      </c>
      <c r="OEA29" t="s">
        <v>836</v>
      </c>
      <c r="OEB29" t="s">
        <v>836</v>
      </c>
      <c r="OEC29" t="s">
        <v>836</v>
      </c>
      <c r="OED29" t="s">
        <v>836</v>
      </c>
      <c r="OEE29" t="s">
        <v>836</v>
      </c>
      <c r="OEF29" t="s">
        <v>836</v>
      </c>
      <c r="OEG29" t="s">
        <v>836</v>
      </c>
      <c r="OEH29" t="s">
        <v>836</v>
      </c>
      <c r="OEI29" t="s">
        <v>836</v>
      </c>
      <c r="OEJ29" t="s">
        <v>836</v>
      </c>
      <c r="OEK29" t="s">
        <v>836</v>
      </c>
      <c r="OEL29" t="s">
        <v>836</v>
      </c>
      <c r="OEM29" t="s">
        <v>836</v>
      </c>
      <c r="OEN29" t="s">
        <v>836</v>
      </c>
      <c r="OEO29" t="s">
        <v>836</v>
      </c>
      <c r="OEP29" t="s">
        <v>836</v>
      </c>
      <c r="OEQ29" t="s">
        <v>836</v>
      </c>
      <c r="OER29" t="s">
        <v>836</v>
      </c>
      <c r="OES29" t="s">
        <v>836</v>
      </c>
      <c r="OET29" t="s">
        <v>836</v>
      </c>
      <c r="OEU29" t="s">
        <v>836</v>
      </c>
      <c r="OEV29" t="s">
        <v>836</v>
      </c>
      <c r="OEW29" t="s">
        <v>836</v>
      </c>
      <c r="OEX29" t="s">
        <v>836</v>
      </c>
      <c r="OEY29" t="s">
        <v>836</v>
      </c>
      <c r="OEZ29" t="s">
        <v>836</v>
      </c>
      <c r="OFA29" t="s">
        <v>836</v>
      </c>
      <c r="OFB29" t="s">
        <v>836</v>
      </c>
      <c r="OFC29" t="s">
        <v>836</v>
      </c>
      <c r="OFD29" t="s">
        <v>836</v>
      </c>
      <c r="OFE29" t="s">
        <v>836</v>
      </c>
      <c r="OFF29" t="s">
        <v>836</v>
      </c>
      <c r="OFG29" t="s">
        <v>836</v>
      </c>
      <c r="OFH29" t="s">
        <v>836</v>
      </c>
      <c r="OFI29" t="s">
        <v>836</v>
      </c>
      <c r="OFJ29" t="s">
        <v>836</v>
      </c>
      <c r="OFK29" t="s">
        <v>836</v>
      </c>
      <c r="OFL29" t="s">
        <v>836</v>
      </c>
      <c r="OFM29" t="s">
        <v>836</v>
      </c>
      <c r="OFN29" t="s">
        <v>836</v>
      </c>
      <c r="OFO29" t="s">
        <v>836</v>
      </c>
      <c r="OFP29" t="s">
        <v>836</v>
      </c>
      <c r="OFQ29" t="s">
        <v>836</v>
      </c>
      <c r="OFR29" t="s">
        <v>836</v>
      </c>
      <c r="OFS29" t="s">
        <v>836</v>
      </c>
      <c r="OFT29" t="s">
        <v>836</v>
      </c>
      <c r="OFU29" t="s">
        <v>836</v>
      </c>
      <c r="OFV29" t="s">
        <v>836</v>
      </c>
      <c r="OFW29" t="s">
        <v>836</v>
      </c>
      <c r="OFX29" t="s">
        <v>836</v>
      </c>
      <c r="OFY29" t="s">
        <v>836</v>
      </c>
      <c r="OFZ29" t="s">
        <v>836</v>
      </c>
      <c r="OGA29" t="s">
        <v>836</v>
      </c>
      <c r="OGB29" t="s">
        <v>836</v>
      </c>
      <c r="OGC29" t="s">
        <v>836</v>
      </c>
      <c r="OGD29" t="s">
        <v>836</v>
      </c>
      <c r="OGE29" t="s">
        <v>836</v>
      </c>
      <c r="OGF29" t="s">
        <v>836</v>
      </c>
      <c r="OGG29" t="s">
        <v>836</v>
      </c>
      <c r="OGH29" t="s">
        <v>836</v>
      </c>
      <c r="OGI29" t="s">
        <v>836</v>
      </c>
      <c r="OGJ29" t="s">
        <v>836</v>
      </c>
      <c r="OGK29" t="s">
        <v>836</v>
      </c>
      <c r="OGL29" t="s">
        <v>836</v>
      </c>
      <c r="OGM29" t="s">
        <v>836</v>
      </c>
      <c r="OGN29" t="s">
        <v>836</v>
      </c>
      <c r="OGO29" t="s">
        <v>836</v>
      </c>
      <c r="OGP29" t="s">
        <v>836</v>
      </c>
      <c r="OGQ29" t="s">
        <v>836</v>
      </c>
      <c r="OGR29" t="s">
        <v>836</v>
      </c>
      <c r="OGS29" t="s">
        <v>836</v>
      </c>
      <c r="OGT29" t="s">
        <v>836</v>
      </c>
      <c r="OGU29" t="s">
        <v>836</v>
      </c>
      <c r="OGV29" t="s">
        <v>836</v>
      </c>
      <c r="OGW29" t="s">
        <v>836</v>
      </c>
      <c r="OGX29" t="s">
        <v>836</v>
      </c>
      <c r="OGY29" t="s">
        <v>836</v>
      </c>
      <c r="OGZ29" t="s">
        <v>836</v>
      </c>
      <c r="OHA29" t="s">
        <v>836</v>
      </c>
      <c r="OHB29" t="s">
        <v>836</v>
      </c>
      <c r="OHC29" t="s">
        <v>836</v>
      </c>
      <c r="OHD29" t="s">
        <v>836</v>
      </c>
      <c r="OHE29" t="s">
        <v>836</v>
      </c>
      <c r="OHF29" t="s">
        <v>836</v>
      </c>
      <c r="OHG29" t="s">
        <v>836</v>
      </c>
      <c r="OHH29" t="s">
        <v>836</v>
      </c>
      <c r="OHI29" t="s">
        <v>836</v>
      </c>
      <c r="OHJ29" t="s">
        <v>836</v>
      </c>
      <c r="OHK29" t="s">
        <v>836</v>
      </c>
      <c r="OHL29" t="s">
        <v>836</v>
      </c>
      <c r="OHM29" t="s">
        <v>836</v>
      </c>
      <c r="OHN29" t="s">
        <v>836</v>
      </c>
      <c r="OHO29" t="s">
        <v>836</v>
      </c>
      <c r="OHP29" t="s">
        <v>836</v>
      </c>
      <c r="OHQ29" t="s">
        <v>836</v>
      </c>
      <c r="OHR29" t="s">
        <v>836</v>
      </c>
      <c r="OHS29" t="s">
        <v>836</v>
      </c>
      <c r="OHT29" t="s">
        <v>836</v>
      </c>
      <c r="OHU29" t="s">
        <v>836</v>
      </c>
      <c r="OHV29" t="s">
        <v>836</v>
      </c>
      <c r="OHW29" t="s">
        <v>836</v>
      </c>
      <c r="OHX29" t="s">
        <v>836</v>
      </c>
      <c r="OHY29" t="s">
        <v>836</v>
      </c>
      <c r="OHZ29" t="s">
        <v>836</v>
      </c>
      <c r="OIA29" t="s">
        <v>836</v>
      </c>
      <c r="OIB29" t="s">
        <v>836</v>
      </c>
      <c r="OIC29" t="s">
        <v>836</v>
      </c>
      <c r="OID29" t="s">
        <v>836</v>
      </c>
      <c r="OIE29" t="s">
        <v>836</v>
      </c>
      <c r="OIF29" t="s">
        <v>836</v>
      </c>
      <c r="OIG29" t="s">
        <v>836</v>
      </c>
      <c r="OIH29" t="s">
        <v>836</v>
      </c>
      <c r="OII29" t="s">
        <v>836</v>
      </c>
      <c r="OIJ29" t="s">
        <v>836</v>
      </c>
      <c r="OIK29" t="s">
        <v>836</v>
      </c>
      <c r="OIL29" t="s">
        <v>836</v>
      </c>
      <c r="OIM29" t="s">
        <v>836</v>
      </c>
      <c r="OIN29" t="s">
        <v>836</v>
      </c>
      <c r="OIO29" t="s">
        <v>836</v>
      </c>
      <c r="OIP29" t="s">
        <v>836</v>
      </c>
      <c r="OIQ29" t="s">
        <v>836</v>
      </c>
      <c r="OIR29" t="s">
        <v>836</v>
      </c>
      <c r="OIS29" t="s">
        <v>836</v>
      </c>
      <c r="OIT29" t="s">
        <v>836</v>
      </c>
      <c r="OIU29" t="s">
        <v>836</v>
      </c>
      <c r="OIV29" t="s">
        <v>836</v>
      </c>
      <c r="OIW29" t="s">
        <v>836</v>
      </c>
      <c r="OIX29" t="s">
        <v>836</v>
      </c>
      <c r="OIY29" t="s">
        <v>836</v>
      </c>
      <c r="OIZ29" t="s">
        <v>836</v>
      </c>
      <c r="OJA29" t="s">
        <v>836</v>
      </c>
      <c r="OJB29" t="s">
        <v>836</v>
      </c>
      <c r="OJC29" t="s">
        <v>836</v>
      </c>
      <c r="OJD29" t="s">
        <v>836</v>
      </c>
      <c r="OJE29" t="s">
        <v>836</v>
      </c>
      <c r="OJF29" t="s">
        <v>836</v>
      </c>
      <c r="OJG29" t="s">
        <v>836</v>
      </c>
      <c r="OJH29" t="s">
        <v>836</v>
      </c>
      <c r="OJI29" t="s">
        <v>836</v>
      </c>
      <c r="OJJ29" t="s">
        <v>836</v>
      </c>
      <c r="OJK29" t="s">
        <v>836</v>
      </c>
      <c r="OJL29" t="s">
        <v>836</v>
      </c>
      <c r="OJM29" t="s">
        <v>836</v>
      </c>
      <c r="OJN29" t="s">
        <v>836</v>
      </c>
      <c r="OJO29" t="s">
        <v>836</v>
      </c>
      <c r="OJP29" t="s">
        <v>836</v>
      </c>
      <c r="OJQ29" t="s">
        <v>836</v>
      </c>
      <c r="OJR29" t="s">
        <v>836</v>
      </c>
      <c r="OJS29" t="s">
        <v>836</v>
      </c>
      <c r="OJT29" t="s">
        <v>836</v>
      </c>
      <c r="OJU29" t="s">
        <v>836</v>
      </c>
      <c r="OJV29" t="s">
        <v>836</v>
      </c>
      <c r="OJW29" t="s">
        <v>836</v>
      </c>
      <c r="OJX29" t="s">
        <v>836</v>
      </c>
      <c r="OJY29" t="s">
        <v>836</v>
      </c>
      <c r="OJZ29" t="s">
        <v>836</v>
      </c>
      <c r="OKA29" t="s">
        <v>836</v>
      </c>
      <c r="OKB29" t="s">
        <v>836</v>
      </c>
      <c r="OKC29" t="s">
        <v>836</v>
      </c>
      <c r="OKD29" t="s">
        <v>836</v>
      </c>
      <c r="OKE29" t="s">
        <v>836</v>
      </c>
      <c r="OKF29" t="s">
        <v>836</v>
      </c>
      <c r="OKG29" t="s">
        <v>836</v>
      </c>
      <c r="OKH29" t="s">
        <v>836</v>
      </c>
      <c r="OKI29" t="s">
        <v>836</v>
      </c>
      <c r="OKJ29" t="s">
        <v>836</v>
      </c>
      <c r="OKK29" t="s">
        <v>836</v>
      </c>
      <c r="OKL29" t="s">
        <v>836</v>
      </c>
      <c r="OKM29" t="s">
        <v>836</v>
      </c>
      <c r="OKN29" t="s">
        <v>836</v>
      </c>
      <c r="OKO29" t="s">
        <v>836</v>
      </c>
      <c r="OKP29" t="s">
        <v>836</v>
      </c>
      <c r="OKQ29" t="s">
        <v>836</v>
      </c>
      <c r="OKR29" t="s">
        <v>836</v>
      </c>
      <c r="OKS29" t="s">
        <v>836</v>
      </c>
      <c r="OKT29" t="s">
        <v>836</v>
      </c>
      <c r="OKU29" t="s">
        <v>836</v>
      </c>
      <c r="OKV29" t="s">
        <v>836</v>
      </c>
      <c r="OKW29" t="s">
        <v>836</v>
      </c>
      <c r="OKX29" t="s">
        <v>836</v>
      </c>
      <c r="OKY29" t="s">
        <v>836</v>
      </c>
      <c r="OKZ29" t="s">
        <v>836</v>
      </c>
      <c r="OLA29" t="s">
        <v>836</v>
      </c>
      <c r="OLB29" t="s">
        <v>836</v>
      </c>
      <c r="OLC29" t="s">
        <v>836</v>
      </c>
      <c r="OLD29" t="s">
        <v>836</v>
      </c>
      <c r="OLE29" t="s">
        <v>836</v>
      </c>
      <c r="OLF29" t="s">
        <v>836</v>
      </c>
      <c r="OLG29" t="s">
        <v>836</v>
      </c>
      <c r="OLH29" t="s">
        <v>836</v>
      </c>
      <c r="OLI29" t="s">
        <v>836</v>
      </c>
      <c r="OLJ29" t="s">
        <v>836</v>
      </c>
      <c r="OLK29" t="s">
        <v>836</v>
      </c>
      <c r="OLL29" t="s">
        <v>836</v>
      </c>
      <c r="OLM29" t="s">
        <v>836</v>
      </c>
      <c r="OLN29" t="s">
        <v>836</v>
      </c>
      <c r="OLO29" t="s">
        <v>836</v>
      </c>
      <c r="OLP29" t="s">
        <v>836</v>
      </c>
      <c r="OLQ29" t="s">
        <v>836</v>
      </c>
      <c r="OLR29" t="s">
        <v>836</v>
      </c>
      <c r="OLS29" t="s">
        <v>836</v>
      </c>
      <c r="OLT29" t="s">
        <v>836</v>
      </c>
      <c r="OLU29" t="s">
        <v>836</v>
      </c>
      <c r="OLV29" t="s">
        <v>836</v>
      </c>
      <c r="OLW29" t="s">
        <v>836</v>
      </c>
      <c r="OLX29" t="s">
        <v>836</v>
      </c>
      <c r="OLY29" t="s">
        <v>836</v>
      </c>
      <c r="OLZ29" t="s">
        <v>836</v>
      </c>
      <c r="OMA29" t="s">
        <v>836</v>
      </c>
      <c r="OMB29" t="s">
        <v>836</v>
      </c>
      <c r="OMC29" t="s">
        <v>836</v>
      </c>
      <c r="OMD29" t="s">
        <v>836</v>
      </c>
      <c r="OME29" t="s">
        <v>836</v>
      </c>
      <c r="OMF29" t="s">
        <v>836</v>
      </c>
      <c r="OMG29" t="s">
        <v>836</v>
      </c>
      <c r="OMH29" t="s">
        <v>836</v>
      </c>
      <c r="OMI29" t="s">
        <v>836</v>
      </c>
      <c r="OMJ29" t="s">
        <v>836</v>
      </c>
      <c r="OMK29" t="s">
        <v>836</v>
      </c>
      <c r="OML29" t="s">
        <v>836</v>
      </c>
      <c r="OMM29" t="s">
        <v>836</v>
      </c>
      <c r="OMN29" t="s">
        <v>836</v>
      </c>
      <c r="OMO29" t="s">
        <v>836</v>
      </c>
      <c r="OMP29" t="s">
        <v>836</v>
      </c>
      <c r="OMQ29" t="s">
        <v>836</v>
      </c>
      <c r="OMR29" t="s">
        <v>836</v>
      </c>
      <c r="OMS29" t="s">
        <v>836</v>
      </c>
      <c r="OMT29" t="s">
        <v>836</v>
      </c>
      <c r="OMU29" t="s">
        <v>836</v>
      </c>
      <c r="OMV29" t="s">
        <v>836</v>
      </c>
      <c r="OMW29" t="s">
        <v>836</v>
      </c>
      <c r="OMX29" t="s">
        <v>836</v>
      </c>
      <c r="OMY29" t="s">
        <v>836</v>
      </c>
      <c r="OMZ29" t="s">
        <v>836</v>
      </c>
      <c r="ONA29" t="s">
        <v>836</v>
      </c>
      <c r="ONB29" t="s">
        <v>836</v>
      </c>
      <c r="ONC29" t="s">
        <v>836</v>
      </c>
      <c r="OND29" t="s">
        <v>836</v>
      </c>
      <c r="ONE29" t="s">
        <v>836</v>
      </c>
      <c r="ONF29" t="s">
        <v>836</v>
      </c>
      <c r="ONG29" t="s">
        <v>836</v>
      </c>
      <c r="ONH29" t="s">
        <v>836</v>
      </c>
      <c r="ONI29" t="s">
        <v>836</v>
      </c>
      <c r="ONJ29" t="s">
        <v>836</v>
      </c>
      <c r="ONK29" t="s">
        <v>836</v>
      </c>
      <c r="ONL29" t="s">
        <v>836</v>
      </c>
      <c r="ONM29" t="s">
        <v>836</v>
      </c>
      <c r="ONN29" t="s">
        <v>836</v>
      </c>
      <c r="ONO29" t="s">
        <v>836</v>
      </c>
      <c r="ONP29" t="s">
        <v>836</v>
      </c>
      <c r="ONQ29" t="s">
        <v>836</v>
      </c>
      <c r="ONR29" t="s">
        <v>836</v>
      </c>
      <c r="ONS29" t="s">
        <v>836</v>
      </c>
      <c r="ONT29" t="s">
        <v>836</v>
      </c>
      <c r="ONU29" t="s">
        <v>836</v>
      </c>
      <c r="ONV29" t="s">
        <v>836</v>
      </c>
      <c r="ONW29" t="s">
        <v>836</v>
      </c>
      <c r="ONX29" t="s">
        <v>836</v>
      </c>
      <c r="ONY29" t="s">
        <v>836</v>
      </c>
      <c r="ONZ29" t="s">
        <v>836</v>
      </c>
      <c r="OOA29" t="s">
        <v>836</v>
      </c>
      <c r="OOB29" t="s">
        <v>836</v>
      </c>
      <c r="OOC29" t="s">
        <v>836</v>
      </c>
      <c r="OOD29" t="s">
        <v>836</v>
      </c>
      <c r="OOE29" t="s">
        <v>836</v>
      </c>
      <c r="OOF29" t="s">
        <v>836</v>
      </c>
      <c r="OOG29" t="s">
        <v>836</v>
      </c>
      <c r="OOH29" t="s">
        <v>836</v>
      </c>
      <c r="OOI29" t="s">
        <v>836</v>
      </c>
      <c r="OOJ29" t="s">
        <v>836</v>
      </c>
      <c r="OOK29" t="s">
        <v>836</v>
      </c>
      <c r="OOL29" t="s">
        <v>836</v>
      </c>
      <c r="OOM29" t="s">
        <v>836</v>
      </c>
      <c r="OON29" t="s">
        <v>836</v>
      </c>
      <c r="OOO29" t="s">
        <v>836</v>
      </c>
      <c r="OOP29" t="s">
        <v>836</v>
      </c>
      <c r="OOQ29" t="s">
        <v>836</v>
      </c>
      <c r="OOR29" t="s">
        <v>836</v>
      </c>
      <c r="OOS29" t="s">
        <v>836</v>
      </c>
      <c r="OOT29" t="s">
        <v>836</v>
      </c>
      <c r="OOU29" t="s">
        <v>836</v>
      </c>
      <c r="OOV29" t="s">
        <v>836</v>
      </c>
      <c r="OOW29" t="s">
        <v>836</v>
      </c>
      <c r="OOX29" t="s">
        <v>836</v>
      </c>
      <c r="OOY29" t="s">
        <v>836</v>
      </c>
      <c r="OOZ29" t="s">
        <v>836</v>
      </c>
      <c r="OPA29" t="s">
        <v>836</v>
      </c>
      <c r="OPB29" t="s">
        <v>836</v>
      </c>
      <c r="OPC29" t="s">
        <v>836</v>
      </c>
      <c r="OPD29" t="s">
        <v>836</v>
      </c>
      <c r="OPE29" t="s">
        <v>836</v>
      </c>
      <c r="OPF29" t="s">
        <v>836</v>
      </c>
      <c r="OPG29" t="s">
        <v>836</v>
      </c>
      <c r="OPH29" t="s">
        <v>836</v>
      </c>
      <c r="OPI29" t="s">
        <v>836</v>
      </c>
      <c r="OPJ29" t="s">
        <v>836</v>
      </c>
      <c r="OPK29" t="s">
        <v>836</v>
      </c>
      <c r="OPL29" t="s">
        <v>836</v>
      </c>
      <c r="OPM29" t="s">
        <v>836</v>
      </c>
      <c r="OPN29" t="s">
        <v>836</v>
      </c>
      <c r="OPO29" t="s">
        <v>836</v>
      </c>
      <c r="OPP29" t="s">
        <v>836</v>
      </c>
      <c r="OPQ29" t="s">
        <v>836</v>
      </c>
      <c r="OPR29" t="s">
        <v>836</v>
      </c>
      <c r="OPS29" t="s">
        <v>836</v>
      </c>
      <c r="OPT29" t="s">
        <v>836</v>
      </c>
      <c r="OPU29" t="s">
        <v>836</v>
      </c>
      <c r="OPV29" t="s">
        <v>836</v>
      </c>
      <c r="OPW29" t="s">
        <v>836</v>
      </c>
      <c r="OPX29" t="s">
        <v>836</v>
      </c>
      <c r="OPY29" t="s">
        <v>836</v>
      </c>
      <c r="OPZ29" t="s">
        <v>836</v>
      </c>
      <c r="OQA29" t="s">
        <v>836</v>
      </c>
      <c r="OQB29" t="s">
        <v>836</v>
      </c>
      <c r="OQC29" t="s">
        <v>836</v>
      </c>
      <c r="OQD29" t="s">
        <v>836</v>
      </c>
      <c r="OQE29" t="s">
        <v>836</v>
      </c>
      <c r="OQF29" t="s">
        <v>836</v>
      </c>
      <c r="OQG29" t="s">
        <v>836</v>
      </c>
      <c r="OQH29" t="s">
        <v>836</v>
      </c>
      <c r="OQI29" t="s">
        <v>836</v>
      </c>
      <c r="OQJ29" t="s">
        <v>836</v>
      </c>
      <c r="OQK29" t="s">
        <v>836</v>
      </c>
      <c r="OQL29" t="s">
        <v>836</v>
      </c>
      <c r="OQM29" t="s">
        <v>836</v>
      </c>
      <c r="OQN29" t="s">
        <v>836</v>
      </c>
      <c r="OQO29" t="s">
        <v>836</v>
      </c>
      <c r="OQP29" t="s">
        <v>836</v>
      </c>
      <c r="OQQ29" t="s">
        <v>836</v>
      </c>
      <c r="OQR29" t="s">
        <v>836</v>
      </c>
      <c r="OQS29" t="s">
        <v>836</v>
      </c>
      <c r="OQT29" t="s">
        <v>836</v>
      </c>
      <c r="OQU29" t="s">
        <v>836</v>
      </c>
      <c r="OQV29" t="s">
        <v>836</v>
      </c>
      <c r="OQW29" t="s">
        <v>836</v>
      </c>
      <c r="OQX29" t="s">
        <v>836</v>
      </c>
      <c r="OQY29" t="s">
        <v>836</v>
      </c>
      <c r="OQZ29" t="s">
        <v>836</v>
      </c>
      <c r="ORA29" t="s">
        <v>836</v>
      </c>
      <c r="ORB29" t="s">
        <v>836</v>
      </c>
      <c r="ORC29" t="s">
        <v>836</v>
      </c>
      <c r="ORD29" t="s">
        <v>836</v>
      </c>
      <c r="ORE29" t="s">
        <v>836</v>
      </c>
      <c r="ORF29" t="s">
        <v>836</v>
      </c>
      <c r="ORG29" t="s">
        <v>836</v>
      </c>
      <c r="ORH29" t="s">
        <v>836</v>
      </c>
      <c r="ORI29" t="s">
        <v>836</v>
      </c>
      <c r="ORJ29" t="s">
        <v>836</v>
      </c>
      <c r="ORK29" t="s">
        <v>836</v>
      </c>
      <c r="ORL29" t="s">
        <v>836</v>
      </c>
      <c r="ORM29" t="s">
        <v>836</v>
      </c>
      <c r="ORN29" t="s">
        <v>836</v>
      </c>
      <c r="ORO29" t="s">
        <v>836</v>
      </c>
      <c r="ORP29" t="s">
        <v>836</v>
      </c>
      <c r="ORQ29" t="s">
        <v>836</v>
      </c>
      <c r="ORR29" t="s">
        <v>836</v>
      </c>
      <c r="ORS29" t="s">
        <v>836</v>
      </c>
      <c r="ORT29" t="s">
        <v>836</v>
      </c>
      <c r="ORU29" t="s">
        <v>836</v>
      </c>
      <c r="ORV29" t="s">
        <v>836</v>
      </c>
      <c r="ORW29" t="s">
        <v>836</v>
      </c>
      <c r="ORX29" t="s">
        <v>836</v>
      </c>
      <c r="ORY29" t="s">
        <v>836</v>
      </c>
      <c r="ORZ29" t="s">
        <v>836</v>
      </c>
      <c r="OSA29" t="s">
        <v>836</v>
      </c>
      <c r="OSB29" t="s">
        <v>836</v>
      </c>
      <c r="OSC29" t="s">
        <v>836</v>
      </c>
      <c r="OSD29" t="s">
        <v>836</v>
      </c>
      <c r="OSE29" t="s">
        <v>836</v>
      </c>
      <c r="OSF29" t="s">
        <v>836</v>
      </c>
      <c r="OSG29" t="s">
        <v>836</v>
      </c>
      <c r="OSH29" t="s">
        <v>836</v>
      </c>
      <c r="OSI29" t="s">
        <v>836</v>
      </c>
      <c r="OSJ29" t="s">
        <v>836</v>
      </c>
      <c r="OSK29" t="s">
        <v>836</v>
      </c>
      <c r="OSL29" t="s">
        <v>836</v>
      </c>
      <c r="OSM29" t="s">
        <v>836</v>
      </c>
      <c r="OSN29" t="s">
        <v>836</v>
      </c>
      <c r="OSO29" t="s">
        <v>836</v>
      </c>
      <c r="OSP29" t="s">
        <v>836</v>
      </c>
      <c r="OSQ29" t="s">
        <v>836</v>
      </c>
      <c r="OSR29" t="s">
        <v>836</v>
      </c>
      <c r="OSS29" t="s">
        <v>836</v>
      </c>
      <c r="OST29" t="s">
        <v>836</v>
      </c>
      <c r="OSU29" t="s">
        <v>836</v>
      </c>
      <c r="OSV29" t="s">
        <v>836</v>
      </c>
      <c r="OSW29" t="s">
        <v>836</v>
      </c>
      <c r="OSX29" t="s">
        <v>836</v>
      </c>
      <c r="OSY29" t="s">
        <v>836</v>
      </c>
      <c r="OSZ29" t="s">
        <v>836</v>
      </c>
      <c r="OTA29" t="s">
        <v>836</v>
      </c>
      <c r="OTB29" t="s">
        <v>836</v>
      </c>
      <c r="OTC29" t="s">
        <v>836</v>
      </c>
      <c r="OTD29" t="s">
        <v>836</v>
      </c>
      <c r="OTE29" t="s">
        <v>836</v>
      </c>
      <c r="OTF29" t="s">
        <v>836</v>
      </c>
      <c r="OTG29" t="s">
        <v>836</v>
      </c>
      <c r="OTH29" t="s">
        <v>836</v>
      </c>
      <c r="OTI29" t="s">
        <v>836</v>
      </c>
      <c r="OTJ29" t="s">
        <v>836</v>
      </c>
      <c r="OTK29" t="s">
        <v>836</v>
      </c>
      <c r="OTL29" t="s">
        <v>836</v>
      </c>
      <c r="OTM29" t="s">
        <v>836</v>
      </c>
      <c r="OTN29" t="s">
        <v>836</v>
      </c>
      <c r="OTO29" t="s">
        <v>836</v>
      </c>
      <c r="OTP29" t="s">
        <v>836</v>
      </c>
      <c r="OTQ29" t="s">
        <v>836</v>
      </c>
      <c r="OTR29" t="s">
        <v>836</v>
      </c>
      <c r="OTS29" t="s">
        <v>836</v>
      </c>
      <c r="OTT29" t="s">
        <v>836</v>
      </c>
      <c r="OTU29" t="s">
        <v>836</v>
      </c>
      <c r="OTV29" t="s">
        <v>836</v>
      </c>
      <c r="OTW29" t="s">
        <v>836</v>
      </c>
      <c r="OTX29" t="s">
        <v>836</v>
      </c>
      <c r="OTY29" t="s">
        <v>836</v>
      </c>
      <c r="OTZ29" t="s">
        <v>836</v>
      </c>
      <c r="OUA29" t="s">
        <v>836</v>
      </c>
      <c r="OUB29" t="s">
        <v>836</v>
      </c>
      <c r="OUC29" t="s">
        <v>836</v>
      </c>
      <c r="OUD29" t="s">
        <v>836</v>
      </c>
      <c r="OUE29" t="s">
        <v>836</v>
      </c>
      <c r="OUF29" t="s">
        <v>836</v>
      </c>
      <c r="OUG29" t="s">
        <v>836</v>
      </c>
      <c r="OUH29" t="s">
        <v>836</v>
      </c>
      <c r="OUI29" t="s">
        <v>836</v>
      </c>
      <c r="OUJ29" t="s">
        <v>836</v>
      </c>
      <c r="OUK29" t="s">
        <v>836</v>
      </c>
      <c r="OUL29" t="s">
        <v>836</v>
      </c>
      <c r="OUM29" t="s">
        <v>836</v>
      </c>
      <c r="OUN29" t="s">
        <v>836</v>
      </c>
      <c r="OUO29" t="s">
        <v>836</v>
      </c>
      <c r="OUP29" t="s">
        <v>836</v>
      </c>
      <c r="OUQ29" t="s">
        <v>836</v>
      </c>
      <c r="OUR29" t="s">
        <v>836</v>
      </c>
      <c r="OUS29" t="s">
        <v>836</v>
      </c>
      <c r="OUT29" t="s">
        <v>836</v>
      </c>
      <c r="OUU29" t="s">
        <v>836</v>
      </c>
      <c r="OUV29" t="s">
        <v>836</v>
      </c>
      <c r="OUW29" t="s">
        <v>836</v>
      </c>
      <c r="OUX29" t="s">
        <v>836</v>
      </c>
      <c r="OUY29" t="s">
        <v>836</v>
      </c>
      <c r="OUZ29" t="s">
        <v>836</v>
      </c>
      <c r="OVA29" t="s">
        <v>836</v>
      </c>
      <c r="OVB29" t="s">
        <v>836</v>
      </c>
      <c r="OVC29" t="s">
        <v>836</v>
      </c>
      <c r="OVD29" t="s">
        <v>836</v>
      </c>
      <c r="OVE29" t="s">
        <v>836</v>
      </c>
      <c r="OVF29" t="s">
        <v>836</v>
      </c>
      <c r="OVG29" t="s">
        <v>836</v>
      </c>
      <c r="OVH29" t="s">
        <v>836</v>
      </c>
      <c r="OVI29" t="s">
        <v>836</v>
      </c>
      <c r="OVJ29" t="s">
        <v>836</v>
      </c>
      <c r="OVK29" t="s">
        <v>836</v>
      </c>
      <c r="OVL29" t="s">
        <v>836</v>
      </c>
      <c r="OVM29" t="s">
        <v>836</v>
      </c>
      <c r="OVN29" t="s">
        <v>836</v>
      </c>
      <c r="OVO29" t="s">
        <v>836</v>
      </c>
      <c r="OVP29" t="s">
        <v>836</v>
      </c>
      <c r="OVQ29" t="s">
        <v>836</v>
      </c>
      <c r="OVR29" t="s">
        <v>836</v>
      </c>
      <c r="OVS29" t="s">
        <v>836</v>
      </c>
      <c r="OVT29" t="s">
        <v>836</v>
      </c>
      <c r="OVU29" t="s">
        <v>836</v>
      </c>
      <c r="OVV29" t="s">
        <v>836</v>
      </c>
      <c r="OVW29" t="s">
        <v>836</v>
      </c>
      <c r="OVX29" t="s">
        <v>836</v>
      </c>
      <c r="OVY29" t="s">
        <v>836</v>
      </c>
      <c r="OVZ29" t="s">
        <v>836</v>
      </c>
      <c r="OWA29" t="s">
        <v>836</v>
      </c>
      <c r="OWB29" t="s">
        <v>836</v>
      </c>
      <c r="OWC29" t="s">
        <v>836</v>
      </c>
      <c r="OWD29" t="s">
        <v>836</v>
      </c>
      <c r="OWE29" t="s">
        <v>836</v>
      </c>
      <c r="OWF29" t="s">
        <v>836</v>
      </c>
      <c r="OWG29" t="s">
        <v>836</v>
      </c>
      <c r="OWH29" t="s">
        <v>836</v>
      </c>
      <c r="OWI29" t="s">
        <v>836</v>
      </c>
      <c r="OWJ29" t="s">
        <v>836</v>
      </c>
      <c r="OWK29" t="s">
        <v>836</v>
      </c>
      <c r="OWL29" t="s">
        <v>836</v>
      </c>
      <c r="OWM29" t="s">
        <v>836</v>
      </c>
      <c r="OWN29" t="s">
        <v>836</v>
      </c>
      <c r="OWO29" t="s">
        <v>836</v>
      </c>
      <c r="OWP29" t="s">
        <v>836</v>
      </c>
      <c r="OWQ29" t="s">
        <v>836</v>
      </c>
      <c r="OWR29" t="s">
        <v>836</v>
      </c>
      <c r="OWS29" t="s">
        <v>836</v>
      </c>
      <c r="OWT29" t="s">
        <v>836</v>
      </c>
      <c r="OWU29" t="s">
        <v>836</v>
      </c>
      <c r="OWV29" t="s">
        <v>836</v>
      </c>
      <c r="OWW29" t="s">
        <v>836</v>
      </c>
      <c r="OWX29" t="s">
        <v>836</v>
      </c>
      <c r="OWY29" t="s">
        <v>836</v>
      </c>
      <c r="OWZ29" t="s">
        <v>836</v>
      </c>
      <c r="OXA29" t="s">
        <v>836</v>
      </c>
      <c r="OXB29" t="s">
        <v>836</v>
      </c>
      <c r="OXC29" t="s">
        <v>836</v>
      </c>
      <c r="OXD29" t="s">
        <v>836</v>
      </c>
      <c r="OXE29" t="s">
        <v>836</v>
      </c>
      <c r="OXF29" t="s">
        <v>836</v>
      </c>
      <c r="OXG29" t="s">
        <v>836</v>
      </c>
      <c r="OXH29" t="s">
        <v>836</v>
      </c>
      <c r="OXI29" t="s">
        <v>836</v>
      </c>
      <c r="OXJ29" t="s">
        <v>836</v>
      </c>
      <c r="OXK29" t="s">
        <v>836</v>
      </c>
      <c r="OXL29" t="s">
        <v>836</v>
      </c>
      <c r="OXM29" t="s">
        <v>836</v>
      </c>
      <c r="OXN29" t="s">
        <v>836</v>
      </c>
      <c r="OXO29" t="s">
        <v>836</v>
      </c>
      <c r="OXP29" t="s">
        <v>836</v>
      </c>
      <c r="OXQ29" t="s">
        <v>836</v>
      </c>
      <c r="OXR29" t="s">
        <v>836</v>
      </c>
      <c r="OXS29" t="s">
        <v>836</v>
      </c>
      <c r="OXT29" t="s">
        <v>836</v>
      </c>
      <c r="OXU29" t="s">
        <v>836</v>
      </c>
      <c r="OXV29" t="s">
        <v>836</v>
      </c>
      <c r="OXW29" t="s">
        <v>836</v>
      </c>
      <c r="OXX29" t="s">
        <v>836</v>
      </c>
      <c r="OXY29" t="s">
        <v>836</v>
      </c>
      <c r="OXZ29" t="s">
        <v>836</v>
      </c>
      <c r="OYA29" t="s">
        <v>836</v>
      </c>
      <c r="OYB29" t="s">
        <v>836</v>
      </c>
      <c r="OYC29" t="s">
        <v>836</v>
      </c>
      <c r="OYD29" t="s">
        <v>836</v>
      </c>
      <c r="OYE29" t="s">
        <v>836</v>
      </c>
      <c r="OYF29" t="s">
        <v>836</v>
      </c>
      <c r="OYG29" t="s">
        <v>836</v>
      </c>
      <c r="OYH29" t="s">
        <v>836</v>
      </c>
      <c r="OYI29" t="s">
        <v>836</v>
      </c>
      <c r="OYJ29" t="s">
        <v>836</v>
      </c>
      <c r="OYK29" t="s">
        <v>836</v>
      </c>
      <c r="OYL29" t="s">
        <v>836</v>
      </c>
      <c r="OYM29" t="s">
        <v>836</v>
      </c>
      <c r="OYN29" t="s">
        <v>836</v>
      </c>
      <c r="OYO29" t="s">
        <v>836</v>
      </c>
      <c r="OYP29" t="s">
        <v>836</v>
      </c>
      <c r="OYQ29" t="s">
        <v>836</v>
      </c>
      <c r="OYR29" t="s">
        <v>836</v>
      </c>
      <c r="OYS29" t="s">
        <v>836</v>
      </c>
      <c r="OYT29" t="s">
        <v>836</v>
      </c>
      <c r="OYU29" t="s">
        <v>836</v>
      </c>
      <c r="OYV29" t="s">
        <v>836</v>
      </c>
      <c r="OYW29" t="s">
        <v>836</v>
      </c>
      <c r="OYX29" t="s">
        <v>836</v>
      </c>
      <c r="OYY29" t="s">
        <v>836</v>
      </c>
      <c r="OYZ29" t="s">
        <v>836</v>
      </c>
      <c r="OZA29" t="s">
        <v>836</v>
      </c>
      <c r="OZB29" t="s">
        <v>836</v>
      </c>
      <c r="OZC29" t="s">
        <v>836</v>
      </c>
      <c r="OZD29" t="s">
        <v>836</v>
      </c>
      <c r="OZE29" t="s">
        <v>836</v>
      </c>
      <c r="OZF29" t="s">
        <v>836</v>
      </c>
      <c r="OZG29" t="s">
        <v>836</v>
      </c>
      <c r="OZH29" t="s">
        <v>836</v>
      </c>
      <c r="OZI29" t="s">
        <v>836</v>
      </c>
      <c r="OZJ29" t="s">
        <v>836</v>
      </c>
      <c r="OZK29" t="s">
        <v>836</v>
      </c>
      <c r="OZL29" t="s">
        <v>836</v>
      </c>
      <c r="OZM29" t="s">
        <v>836</v>
      </c>
      <c r="OZN29" t="s">
        <v>836</v>
      </c>
      <c r="OZO29" t="s">
        <v>836</v>
      </c>
      <c r="OZP29" t="s">
        <v>836</v>
      </c>
      <c r="OZQ29" t="s">
        <v>836</v>
      </c>
      <c r="OZR29" t="s">
        <v>836</v>
      </c>
      <c r="OZS29" t="s">
        <v>836</v>
      </c>
      <c r="OZT29" t="s">
        <v>836</v>
      </c>
      <c r="OZU29" t="s">
        <v>836</v>
      </c>
      <c r="OZV29" t="s">
        <v>836</v>
      </c>
      <c r="OZW29" t="s">
        <v>836</v>
      </c>
      <c r="OZX29" t="s">
        <v>836</v>
      </c>
      <c r="OZY29" t="s">
        <v>836</v>
      </c>
      <c r="OZZ29" t="s">
        <v>836</v>
      </c>
      <c r="PAA29" t="s">
        <v>836</v>
      </c>
      <c r="PAB29" t="s">
        <v>836</v>
      </c>
      <c r="PAC29" t="s">
        <v>836</v>
      </c>
      <c r="PAD29" t="s">
        <v>836</v>
      </c>
      <c r="PAE29" t="s">
        <v>836</v>
      </c>
      <c r="PAF29" t="s">
        <v>836</v>
      </c>
      <c r="PAG29" t="s">
        <v>836</v>
      </c>
      <c r="PAH29" t="s">
        <v>836</v>
      </c>
      <c r="PAI29" t="s">
        <v>836</v>
      </c>
      <c r="PAJ29" t="s">
        <v>836</v>
      </c>
      <c r="PAK29" t="s">
        <v>836</v>
      </c>
      <c r="PAL29" t="s">
        <v>836</v>
      </c>
      <c r="PAM29" t="s">
        <v>836</v>
      </c>
      <c r="PAN29" t="s">
        <v>836</v>
      </c>
      <c r="PAO29" t="s">
        <v>836</v>
      </c>
      <c r="PAP29" t="s">
        <v>836</v>
      </c>
      <c r="PAQ29" t="s">
        <v>836</v>
      </c>
      <c r="PAR29" t="s">
        <v>836</v>
      </c>
      <c r="PAS29" t="s">
        <v>836</v>
      </c>
      <c r="PAT29" t="s">
        <v>836</v>
      </c>
      <c r="PAU29" t="s">
        <v>836</v>
      </c>
      <c r="PAV29" t="s">
        <v>836</v>
      </c>
      <c r="PAW29" t="s">
        <v>836</v>
      </c>
      <c r="PAX29" t="s">
        <v>836</v>
      </c>
      <c r="PAY29" t="s">
        <v>836</v>
      </c>
      <c r="PAZ29" t="s">
        <v>836</v>
      </c>
      <c r="PBA29" t="s">
        <v>836</v>
      </c>
      <c r="PBB29" t="s">
        <v>836</v>
      </c>
      <c r="PBC29" t="s">
        <v>836</v>
      </c>
      <c r="PBD29" t="s">
        <v>836</v>
      </c>
      <c r="PBE29" t="s">
        <v>836</v>
      </c>
      <c r="PBF29" t="s">
        <v>836</v>
      </c>
      <c r="PBG29" t="s">
        <v>836</v>
      </c>
      <c r="PBH29" t="s">
        <v>836</v>
      </c>
      <c r="PBI29" t="s">
        <v>836</v>
      </c>
      <c r="PBJ29" t="s">
        <v>836</v>
      </c>
      <c r="PBK29" t="s">
        <v>836</v>
      </c>
      <c r="PBL29" t="s">
        <v>836</v>
      </c>
      <c r="PBM29" t="s">
        <v>836</v>
      </c>
      <c r="PBN29" t="s">
        <v>836</v>
      </c>
      <c r="PBO29" t="s">
        <v>836</v>
      </c>
      <c r="PBP29" t="s">
        <v>836</v>
      </c>
      <c r="PBQ29" t="s">
        <v>836</v>
      </c>
      <c r="PBR29" t="s">
        <v>836</v>
      </c>
      <c r="PBS29" t="s">
        <v>836</v>
      </c>
      <c r="PBT29" t="s">
        <v>836</v>
      </c>
      <c r="PBU29" t="s">
        <v>836</v>
      </c>
      <c r="PBV29" t="s">
        <v>836</v>
      </c>
      <c r="PBW29" t="s">
        <v>836</v>
      </c>
      <c r="PBX29" t="s">
        <v>836</v>
      </c>
      <c r="PBY29" t="s">
        <v>836</v>
      </c>
      <c r="PBZ29" t="s">
        <v>836</v>
      </c>
      <c r="PCA29" t="s">
        <v>836</v>
      </c>
      <c r="PCB29" t="s">
        <v>836</v>
      </c>
      <c r="PCC29" t="s">
        <v>836</v>
      </c>
      <c r="PCD29" t="s">
        <v>836</v>
      </c>
      <c r="PCE29" t="s">
        <v>836</v>
      </c>
      <c r="PCF29" t="s">
        <v>836</v>
      </c>
      <c r="PCG29" t="s">
        <v>836</v>
      </c>
      <c r="PCH29" t="s">
        <v>836</v>
      </c>
      <c r="PCI29" t="s">
        <v>836</v>
      </c>
      <c r="PCJ29" t="s">
        <v>836</v>
      </c>
      <c r="PCK29" t="s">
        <v>836</v>
      </c>
      <c r="PCL29" t="s">
        <v>836</v>
      </c>
      <c r="PCM29" t="s">
        <v>836</v>
      </c>
      <c r="PCN29" t="s">
        <v>836</v>
      </c>
      <c r="PCO29" t="s">
        <v>836</v>
      </c>
      <c r="PCP29" t="s">
        <v>836</v>
      </c>
      <c r="PCQ29" t="s">
        <v>836</v>
      </c>
      <c r="PCR29" t="s">
        <v>836</v>
      </c>
      <c r="PCS29" t="s">
        <v>836</v>
      </c>
      <c r="PCT29" t="s">
        <v>836</v>
      </c>
      <c r="PCU29" t="s">
        <v>836</v>
      </c>
      <c r="PCV29" t="s">
        <v>836</v>
      </c>
      <c r="PCW29" t="s">
        <v>836</v>
      </c>
      <c r="PCX29" t="s">
        <v>836</v>
      </c>
      <c r="PCY29" t="s">
        <v>836</v>
      </c>
      <c r="PCZ29" t="s">
        <v>836</v>
      </c>
      <c r="PDA29" t="s">
        <v>836</v>
      </c>
      <c r="PDB29" t="s">
        <v>836</v>
      </c>
      <c r="PDC29" t="s">
        <v>836</v>
      </c>
      <c r="PDD29" t="s">
        <v>836</v>
      </c>
      <c r="PDE29" t="s">
        <v>836</v>
      </c>
      <c r="PDF29" t="s">
        <v>836</v>
      </c>
      <c r="PDG29" t="s">
        <v>836</v>
      </c>
      <c r="PDH29" t="s">
        <v>836</v>
      </c>
      <c r="PDI29" t="s">
        <v>836</v>
      </c>
      <c r="PDJ29" t="s">
        <v>836</v>
      </c>
      <c r="PDK29" t="s">
        <v>836</v>
      </c>
      <c r="PDL29" t="s">
        <v>836</v>
      </c>
      <c r="PDM29" t="s">
        <v>836</v>
      </c>
      <c r="PDN29" t="s">
        <v>836</v>
      </c>
      <c r="PDO29" t="s">
        <v>836</v>
      </c>
      <c r="PDP29" t="s">
        <v>836</v>
      </c>
      <c r="PDQ29" t="s">
        <v>836</v>
      </c>
      <c r="PDR29" t="s">
        <v>836</v>
      </c>
      <c r="PDS29" t="s">
        <v>836</v>
      </c>
      <c r="PDT29" t="s">
        <v>836</v>
      </c>
      <c r="PDU29" t="s">
        <v>836</v>
      </c>
      <c r="PDV29" t="s">
        <v>836</v>
      </c>
      <c r="PDW29" t="s">
        <v>836</v>
      </c>
      <c r="PDX29" t="s">
        <v>836</v>
      </c>
      <c r="PDY29" t="s">
        <v>836</v>
      </c>
      <c r="PDZ29" t="s">
        <v>836</v>
      </c>
      <c r="PEA29" t="s">
        <v>836</v>
      </c>
      <c r="PEB29" t="s">
        <v>836</v>
      </c>
      <c r="PEC29" t="s">
        <v>836</v>
      </c>
      <c r="PED29" t="s">
        <v>836</v>
      </c>
      <c r="PEE29" t="s">
        <v>836</v>
      </c>
      <c r="PEF29" t="s">
        <v>836</v>
      </c>
      <c r="PEG29" t="s">
        <v>836</v>
      </c>
      <c r="PEH29" t="s">
        <v>836</v>
      </c>
      <c r="PEI29" t="s">
        <v>836</v>
      </c>
      <c r="PEJ29" t="s">
        <v>836</v>
      </c>
      <c r="PEK29" t="s">
        <v>836</v>
      </c>
      <c r="PEL29" t="s">
        <v>836</v>
      </c>
      <c r="PEM29" t="s">
        <v>836</v>
      </c>
      <c r="PEN29" t="s">
        <v>836</v>
      </c>
      <c r="PEO29" t="s">
        <v>836</v>
      </c>
      <c r="PEP29" t="s">
        <v>836</v>
      </c>
      <c r="PEQ29" t="s">
        <v>836</v>
      </c>
      <c r="PER29" t="s">
        <v>836</v>
      </c>
      <c r="PES29" t="s">
        <v>836</v>
      </c>
      <c r="PET29" t="s">
        <v>836</v>
      </c>
      <c r="PEU29" t="s">
        <v>836</v>
      </c>
      <c r="PEV29" t="s">
        <v>836</v>
      </c>
      <c r="PEW29" t="s">
        <v>836</v>
      </c>
      <c r="PEX29" t="s">
        <v>836</v>
      </c>
      <c r="PEY29" t="s">
        <v>836</v>
      </c>
      <c r="PEZ29" t="s">
        <v>836</v>
      </c>
      <c r="PFA29" t="s">
        <v>836</v>
      </c>
      <c r="PFB29" t="s">
        <v>836</v>
      </c>
      <c r="PFC29" t="s">
        <v>836</v>
      </c>
      <c r="PFD29" t="s">
        <v>836</v>
      </c>
      <c r="PFE29" t="s">
        <v>836</v>
      </c>
      <c r="PFF29" t="s">
        <v>836</v>
      </c>
      <c r="PFG29" t="s">
        <v>836</v>
      </c>
      <c r="PFH29" t="s">
        <v>836</v>
      </c>
      <c r="PFI29" t="s">
        <v>836</v>
      </c>
      <c r="PFJ29" t="s">
        <v>836</v>
      </c>
      <c r="PFK29" t="s">
        <v>836</v>
      </c>
      <c r="PFL29" t="s">
        <v>836</v>
      </c>
      <c r="PFM29" t="s">
        <v>836</v>
      </c>
      <c r="PFN29" t="s">
        <v>836</v>
      </c>
      <c r="PFO29" t="s">
        <v>836</v>
      </c>
      <c r="PFP29" t="s">
        <v>836</v>
      </c>
      <c r="PFQ29" t="s">
        <v>836</v>
      </c>
      <c r="PFR29" t="s">
        <v>836</v>
      </c>
      <c r="PFS29" t="s">
        <v>836</v>
      </c>
      <c r="PFT29" t="s">
        <v>836</v>
      </c>
      <c r="PFU29" t="s">
        <v>836</v>
      </c>
      <c r="PFV29" t="s">
        <v>836</v>
      </c>
      <c r="PFW29" t="s">
        <v>836</v>
      </c>
      <c r="PFX29" t="s">
        <v>836</v>
      </c>
      <c r="PFY29" t="s">
        <v>836</v>
      </c>
      <c r="PFZ29" t="s">
        <v>836</v>
      </c>
      <c r="PGA29" t="s">
        <v>836</v>
      </c>
      <c r="PGB29" t="s">
        <v>836</v>
      </c>
      <c r="PGC29" t="s">
        <v>836</v>
      </c>
      <c r="PGD29" t="s">
        <v>836</v>
      </c>
      <c r="PGE29" t="s">
        <v>836</v>
      </c>
      <c r="PGF29" t="s">
        <v>836</v>
      </c>
      <c r="PGG29" t="s">
        <v>836</v>
      </c>
      <c r="PGH29" t="s">
        <v>836</v>
      </c>
      <c r="PGI29" t="s">
        <v>836</v>
      </c>
      <c r="PGJ29" t="s">
        <v>836</v>
      </c>
      <c r="PGK29" t="s">
        <v>836</v>
      </c>
      <c r="PGL29" t="s">
        <v>836</v>
      </c>
      <c r="PGM29" t="s">
        <v>836</v>
      </c>
      <c r="PGN29" t="s">
        <v>836</v>
      </c>
      <c r="PGO29" t="s">
        <v>836</v>
      </c>
      <c r="PGP29" t="s">
        <v>836</v>
      </c>
      <c r="PGQ29" t="s">
        <v>836</v>
      </c>
      <c r="PGR29" t="s">
        <v>836</v>
      </c>
      <c r="PGS29" t="s">
        <v>836</v>
      </c>
      <c r="PGT29" t="s">
        <v>836</v>
      </c>
      <c r="PGU29" t="s">
        <v>836</v>
      </c>
      <c r="PGV29" t="s">
        <v>836</v>
      </c>
      <c r="PGW29" t="s">
        <v>836</v>
      </c>
      <c r="PGX29" t="s">
        <v>836</v>
      </c>
      <c r="PGY29" t="s">
        <v>836</v>
      </c>
      <c r="PGZ29" t="s">
        <v>836</v>
      </c>
      <c r="PHA29" t="s">
        <v>836</v>
      </c>
      <c r="PHB29" t="s">
        <v>836</v>
      </c>
      <c r="PHC29" t="s">
        <v>836</v>
      </c>
      <c r="PHD29" t="s">
        <v>836</v>
      </c>
      <c r="PHE29" t="s">
        <v>836</v>
      </c>
      <c r="PHF29" t="s">
        <v>836</v>
      </c>
      <c r="PHG29" t="s">
        <v>836</v>
      </c>
      <c r="PHH29" t="s">
        <v>836</v>
      </c>
      <c r="PHI29" t="s">
        <v>836</v>
      </c>
      <c r="PHJ29" t="s">
        <v>836</v>
      </c>
      <c r="PHK29" t="s">
        <v>836</v>
      </c>
      <c r="PHL29" t="s">
        <v>836</v>
      </c>
      <c r="PHM29" t="s">
        <v>836</v>
      </c>
      <c r="PHN29" t="s">
        <v>836</v>
      </c>
      <c r="PHO29" t="s">
        <v>836</v>
      </c>
      <c r="PHP29" t="s">
        <v>836</v>
      </c>
      <c r="PHQ29" t="s">
        <v>836</v>
      </c>
      <c r="PHR29" t="s">
        <v>836</v>
      </c>
      <c r="PHS29" t="s">
        <v>836</v>
      </c>
      <c r="PHT29" t="s">
        <v>836</v>
      </c>
      <c r="PHU29" t="s">
        <v>836</v>
      </c>
      <c r="PHV29" t="s">
        <v>836</v>
      </c>
      <c r="PHW29" t="s">
        <v>836</v>
      </c>
      <c r="PHX29" t="s">
        <v>836</v>
      </c>
      <c r="PHY29" t="s">
        <v>836</v>
      </c>
      <c r="PHZ29" t="s">
        <v>836</v>
      </c>
      <c r="PIA29" t="s">
        <v>836</v>
      </c>
      <c r="PIB29" t="s">
        <v>836</v>
      </c>
      <c r="PIC29" t="s">
        <v>836</v>
      </c>
      <c r="PID29" t="s">
        <v>836</v>
      </c>
      <c r="PIE29" t="s">
        <v>836</v>
      </c>
      <c r="PIF29" t="s">
        <v>836</v>
      </c>
      <c r="PIG29" t="s">
        <v>836</v>
      </c>
      <c r="PIH29" t="s">
        <v>836</v>
      </c>
      <c r="PII29" t="s">
        <v>836</v>
      </c>
      <c r="PIJ29" t="s">
        <v>836</v>
      </c>
      <c r="PIK29" t="s">
        <v>836</v>
      </c>
      <c r="PIL29" t="s">
        <v>836</v>
      </c>
      <c r="PIM29" t="s">
        <v>836</v>
      </c>
      <c r="PIN29" t="s">
        <v>836</v>
      </c>
      <c r="PIO29" t="s">
        <v>836</v>
      </c>
      <c r="PIP29" t="s">
        <v>836</v>
      </c>
      <c r="PIQ29" t="s">
        <v>836</v>
      </c>
      <c r="PIR29" t="s">
        <v>836</v>
      </c>
      <c r="PIS29" t="s">
        <v>836</v>
      </c>
      <c r="PIT29" t="s">
        <v>836</v>
      </c>
      <c r="PIU29" t="s">
        <v>836</v>
      </c>
      <c r="PIV29" t="s">
        <v>836</v>
      </c>
      <c r="PIW29" t="s">
        <v>836</v>
      </c>
      <c r="PIX29" t="s">
        <v>836</v>
      </c>
      <c r="PIY29" t="s">
        <v>836</v>
      </c>
      <c r="PIZ29" t="s">
        <v>836</v>
      </c>
      <c r="PJA29" t="s">
        <v>836</v>
      </c>
      <c r="PJB29" t="s">
        <v>836</v>
      </c>
      <c r="PJC29" t="s">
        <v>836</v>
      </c>
      <c r="PJD29" t="s">
        <v>836</v>
      </c>
      <c r="PJE29" t="s">
        <v>836</v>
      </c>
      <c r="PJF29" t="s">
        <v>836</v>
      </c>
      <c r="PJG29" t="s">
        <v>836</v>
      </c>
      <c r="PJH29" t="s">
        <v>836</v>
      </c>
      <c r="PJI29" t="s">
        <v>836</v>
      </c>
      <c r="PJJ29" t="s">
        <v>836</v>
      </c>
      <c r="PJK29" t="s">
        <v>836</v>
      </c>
      <c r="PJL29" t="s">
        <v>836</v>
      </c>
      <c r="PJM29" t="s">
        <v>836</v>
      </c>
      <c r="PJN29" t="s">
        <v>836</v>
      </c>
      <c r="PJO29" t="s">
        <v>836</v>
      </c>
      <c r="PJP29" t="s">
        <v>836</v>
      </c>
      <c r="PJQ29" t="s">
        <v>836</v>
      </c>
      <c r="PJR29" t="s">
        <v>836</v>
      </c>
      <c r="PJS29" t="s">
        <v>836</v>
      </c>
      <c r="PJT29" t="s">
        <v>836</v>
      </c>
      <c r="PJU29" t="s">
        <v>836</v>
      </c>
      <c r="PJV29" t="s">
        <v>836</v>
      </c>
      <c r="PJW29" t="s">
        <v>836</v>
      </c>
      <c r="PJX29" t="s">
        <v>836</v>
      </c>
      <c r="PJY29" t="s">
        <v>836</v>
      </c>
      <c r="PJZ29" t="s">
        <v>836</v>
      </c>
      <c r="PKA29" t="s">
        <v>836</v>
      </c>
      <c r="PKB29" t="s">
        <v>836</v>
      </c>
      <c r="PKC29" t="s">
        <v>836</v>
      </c>
      <c r="PKD29" t="s">
        <v>836</v>
      </c>
      <c r="PKE29" t="s">
        <v>836</v>
      </c>
      <c r="PKF29" t="s">
        <v>836</v>
      </c>
      <c r="PKG29" t="s">
        <v>836</v>
      </c>
      <c r="PKH29" t="s">
        <v>836</v>
      </c>
      <c r="PKI29" t="s">
        <v>836</v>
      </c>
      <c r="PKJ29" t="s">
        <v>836</v>
      </c>
      <c r="PKK29" t="s">
        <v>836</v>
      </c>
      <c r="PKL29" t="s">
        <v>836</v>
      </c>
      <c r="PKM29" t="s">
        <v>836</v>
      </c>
      <c r="PKN29" t="s">
        <v>836</v>
      </c>
      <c r="PKO29" t="s">
        <v>836</v>
      </c>
      <c r="PKP29" t="s">
        <v>836</v>
      </c>
      <c r="PKQ29" t="s">
        <v>836</v>
      </c>
      <c r="PKR29" t="s">
        <v>836</v>
      </c>
      <c r="PKS29" t="s">
        <v>836</v>
      </c>
      <c r="PKT29" t="s">
        <v>836</v>
      </c>
      <c r="PKU29" t="s">
        <v>836</v>
      </c>
      <c r="PKV29" t="s">
        <v>836</v>
      </c>
      <c r="PKW29" t="s">
        <v>836</v>
      </c>
      <c r="PKX29" t="s">
        <v>836</v>
      </c>
      <c r="PKY29" t="s">
        <v>836</v>
      </c>
      <c r="PKZ29" t="s">
        <v>836</v>
      </c>
      <c r="PLA29" t="s">
        <v>836</v>
      </c>
      <c r="PLB29" t="s">
        <v>836</v>
      </c>
      <c r="PLC29" t="s">
        <v>836</v>
      </c>
      <c r="PLD29" t="s">
        <v>836</v>
      </c>
      <c r="PLE29" t="s">
        <v>836</v>
      </c>
      <c r="PLF29" t="s">
        <v>836</v>
      </c>
      <c r="PLG29" t="s">
        <v>836</v>
      </c>
      <c r="PLH29" t="s">
        <v>836</v>
      </c>
      <c r="PLI29" t="s">
        <v>836</v>
      </c>
      <c r="PLJ29" t="s">
        <v>836</v>
      </c>
      <c r="PLK29" t="s">
        <v>836</v>
      </c>
      <c r="PLL29" t="s">
        <v>836</v>
      </c>
      <c r="PLM29" t="s">
        <v>836</v>
      </c>
      <c r="PLN29" t="s">
        <v>836</v>
      </c>
      <c r="PLO29" t="s">
        <v>836</v>
      </c>
      <c r="PLP29" t="s">
        <v>836</v>
      </c>
      <c r="PLQ29" t="s">
        <v>836</v>
      </c>
      <c r="PLR29" t="s">
        <v>836</v>
      </c>
      <c r="PLS29" t="s">
        <v>836</v>
      </c>
      <c r="PLT29" t="s">
        <v>836</v>
      </c>
      <c r="PLU29" t="s">
        <v>836</v>
      </c>
      <c r="PLV29" t="s">
        <v>836</v>
      </c>
      <c r="PLW29" t="s">
        <v>836</v>
      </c>
      <c r="PLX29" t="s">
        <v>836</v>
      </c>
      <c r="PLY29" t="s">
        <v>836</v>
      </c>
      <c r="PLZ29" t="s">
        <v>836</v>
      </c>
      <c r="PMA29" t="s">
        <v>836</v>
      </c>
      <c r="PMB29" t="s">
        <v>836</v>
      </c>
      <c r="PMC29" t="s">
        <v>836</v>
      </c>
      <c r="PMD29" t="s">
        <v>836</v>
      </c>
      <c r="PME29" t="s">
        <v>836</v>
      </c>
      <c r="PMF29" t="s">
        <v>836</v>
      </c>
      <c r="PMG29" t="s">
        <v>836</v>
      </c>
      <c r="PMH29" t="s">
        <v>836</v>
      </c>
      <c r="PMI29" t="s">
        <v>836</v>
      </c>
      <c r="PMJ29" t="s">
        <v>836</v>
      </c>
      <c r="PMK29" t="s">
        <v>836</v>
      </c>
      <c r="PML29" t="s">
        <v>836</v>
      </c>
      <c r="PMM29" t="s">
        <v>836</v>
      </c>
      <c r="PMN29" t="s">
        <v>836</v>
      </c>
      <c r="PMO29" t="s">
        <v>836</v>
      </c>
      <c r="PMP29" t="s">
        <v>836</v>
      </c>
      <c r="PMQ29" t="s">
        <v>836</v>
      </c>
      <c r="PMR29" t="s">
        <v>836</v>
      </c>
      <c r="PMS29" t="s">
        <v>836</v>
      </c>
      <c r="PMT29" t="s">
        <v>836</v>
      </c>
      <c r="PMU29" t="s">
        <v>836</v>
      </c>
      <c r="PMV29" t="s">
        <v>836</v>
      </c>
      <c r="PMW29" t="s">
        <v>836</v>
      </c>
      <c r="PMX29" t="s">
        <v>836</v>
      </c>
      <c r="PMY29" t="s">
        <v>836</v>
      </c>
      <c r="PMZ29" t="s">
        <v>836</v>
      </c>
      <c r="PNA29" t="s">
        <v>836</v>
      </c>
      <c r="PNB29" t="s">
        <v>836</v>
      </c>
      <c r="PNC29" t="s">
        <v>836</v>
      </c>
      <c r="PND29" t="s">
        <v>836</v>
      </c>
      <c r="PNE29" t="s">
        <v>836</v>
      </c>
      <c r="PNF29" t="s">
        <v>836</v>
      </c>
      <c r="PNG29" t="s">
        <v>836</v>
      </c>
      <c r="PNH29" t="s">
        <v>836</v>
      </c>
      <c r="PNI29" t="s">
        <v>836</v>
      </c>
      <c r="PNJ29" t="s">
        <v>836</v>
      </c>
      <c r="PNK29" t="s">
        <v>836</v>
      </c>
      <c r="PNL29" t="s">
        <v>836</v>
      </c>
      <c r="PNM29" t="s">
        <v>836</v>
      </c>
      <c r="PNN29" t="s">
        <v>836</v>
      </c>
      <c r="PNO29" t="s">
        <v>836</v>
      </c>
      <c r="PNP29" t="s">
        <v>836</v>
      </c>
      <c r="PNQ29" t="s">
        <v>836</v>
      </c>
      <c r="PNR29" t="s">
        <v>836</v>
      </c>
      <c r="PNS29" t="s">
        <v>836</v>
      </c>
      <c r="PNT29" t="s">
        <v>836</v>
      </c>
      <c r="PNU29" t="s">
        <v>836</v>
      </c>
      <c r="PNV29" t="s">
        <v>836</v>
      </c>
      <c r="PNW29" t="s">
        <v>836</v>
      </c>
      <c r="PNX29" t="s">
        <v>836</v>
      </c>
      <c r="PNY29" t="s">
        <v>836</v>
      </c>
      <c r="PNZ29" t="s">
        <v>836</v>
      </c>
      <c r="POA29" t="s">
        <v>836</v>
      </c>
      <c r="POB29" t="s">
        <v>836</v>
      </c>
      <c r="POC29" t="s">
        <v>836</v>
      </c>
      <c r="POD29" t="s">
        <v>836</v>
      </c>
      <c r="POE29" t="s">
        <v>836</v>
      </c>
      <c r="POF29" t="s">
        <v>836</v>
      </c>
      <c r="POG29" t="s">
        <v>836</v>
      </c>
      <c r="POH29" t="s">
        <v>836</v>
      </c>
      <c r="POI29" t="s">
        <v>836</v>
      </c>
      <c r="POJ29" t="s">
        <v>836</v>
      </c>
      <c r="POK29" t="s">
        <v>836</v>
      </c>
      <c r="POL29" t="s">
        <v>836</v>
      </c>
      <c r="POM29" t="s">
        <v>836</v>
      </c>
      <c r="PON29" t="s">
        <v>836</v>
      </c>
      <c r="POO29" t="s">
        <v>836</v>
      </c>
      <c r="POP29" t="s">
        <v>836</v>
      </c>
      <c r="POQ29" t="s">
        <v>836</v>
      </c>
      <c r="POR29" t="s">
        <v>836</v>
      </c>
      <c r="POS29" t="s">
        <v>836</v>
      </c>
      <c r="POT29" t="s">
        <v>836</v>
      </c>
      <c r="POU29" t="s">
        <v>836</v>
      </c>
      <c r="POV29" t="s">
        <v>836</v>
      </c>
      <c r="POW29" t="s">
        <v>836</v>
      </c>
      <c r="POX29" t="s">
        <v>836</v>
      </c>
      <c r="POY29" t="s">
        <v>836</v>
      </c>
      <c r="POZ29" t="s">
        <v>836</v>
      </c>
      <c r="PPA29" t="s">
        <v>836</v>
      </c>
      <c r="PPB29" t="s">
        <v>836</v>
      </c>
      <c r="PPC29" t="s">
        <v>836</v>
      </c>
      <c r="PPD29" t="s">
        <v>836</v>
      </c>
      <c r="PPE29" t="s">
        <v>836</v>
      </c>
      <c r="PPF29" t="s">
        <v>836</v>
      </c>
      <c r="PPG29" t="s">
        <v>836</v>
      </c>
      <c r="PPH29" t="s">
        <v>836</v>
      </c>
      <c r="PPI29" t="s">
        <v>836</v>
      </c>
      <c r="PPJ29" t="s">
        <v>836</v>
      </c>
      <c r="PPK29" t="s">
        <v>836</v>
      </c>
      <c r="PPL29" t="s">
        <v>836</v>
      </c>
      <c r="PPM29" t="s">
        <v>836</v>
      </c>
      <c r="PPN29" t="s">
        <v>836</v>
      </c>
      <c r="PPO29" t="s">
        <v>836</v>
      </c>
      <c r="PPP29" t="s">
        <v>836</v>
      </c>
      <c r="PPQ29" t="s">
        <v>836</v>
      </c>
      <c r="PPR29" t="s">
        <v>836</v>
      </c>
      <c r="PPS29" t="s">
        <v>836</v>
      </c>
      <c r="PPT29" t="s">
        <v>836</v>
      </c>
      <c r="PPU29" t="s">
        <v>836</v>
      </c>
      <c r="PPV29" t="s">
        <v>836</v>
      </c>
      <c r="PPW29" t="s">
        <v>836</v>
      </c>
      <c r="PPX29" t="s">
        <v>836</v>
      </c>
      <c r="PPY29" t="s">
        <v>836</v>
      </c>
      <c r="PPZ29" t="s">
        <v>836</v>
      </c>
      <c r="PQA29" t="s">
        <v>836</v>
      </c>
      <c r="PQB29" t="s">
        <v>836</v>
      </c>
      <c r="PQC29" t="s">
        <v>836</v>
      </c>
      <c r="PQD29" t="s">
        <v>836</v>
      </c>
      <c r="PQE29" t="s">
        <v>836</v>
      </c>
      <c r="PQF29" t="s">
        <v>836</v>
      </c>
      <c r="PQG29" t="s">
        <v>836</v>
      </c>
      <c r="PQH29" t="s">
        <v>836</v>
      </c>
      <c r="PQI29" t="s">
        <v>836</v>
      </c>
      <c r="PQJ29" t="s">
        <v>836</v>
      </c>
      <c r="PQK29" t="s">
        <v>836</v>
      </c>
      <c r="PQL29" t="s">
        <v>836</v>
      </c>
      <c r="PQM29" t="s">
        <v>836</v>
      </c>
      <c r="PQN29" t="s">
        <v>836</v>
      </c>
      <c r="PQO29" t="s">
        <v>836</v>
      </c>
      <c r="PQP29" t="s">
        <v>836</v>
      </c>
      <c r="PQQ29" t="s">
        <v>836</v>
      </c>
      <c r="PQR29" t="s">
        <v>836</v>
      </c>
      <c r="PQS29" t="s">
        <v>836</v>
      </c>
      <c r="PQT29" t="s">
        <v>836</v>
      </c>
      <c r="PQU29" t="s">
        <v>836</v>
      </c>
      <c r="PQV29" t="s">
        <v>836</v>
      </c>
      <c r="PQW29" t="s">
        <v>836</v>
      </c>
      <c r="PQX29" t="s">
        <v>836</v>
      </c>
      <c r="PQY29" t="s">
        <v>836</v>
      </c>
      <c r="PQZ29" t="s">
        <v>836</v>
      </c>
      <c r="PRA29" t="s">
        <v>836</v>
      </c>
      <c r="PRB29" t="s">
        <v>836</v>
      </c>
      <c r="PRC29" t="s">
        <v>836</v>
      </c>
      <c r="PRD29" t="s">
        <v>836</v>
      </c>
      <c r="PRE29" t="s">
        <v>836</v>
      </c>
      <c r="PRF29" t="s">
        <v>836</v>
      </c>
      <c r="PRG29" t="s">
        <v>836</v>
      </c>
      <c r="PRH29" t="s">
        <v>836</v>
      </c>
      <c r="PRI29" t="s">
        <v>836</v>
      </c>
      <c r="PRJ29" t="s">
        <v>836</v>
      </c>
      <c r="PRK29" t="s">
        <v>836</v>
      </c>
      <c r="PRL29" t="s">
        <v>836</v>
      </c>
      <c r="PRM29" t="s">
        <v>836</v>
      </c>
      <c r="PRN29" t="s">
        <v>836</v>
      </c>
      <c r="PRO29" t="s">
        <v>836</v>
      </c>
      <c r="PRP29" t="s">
        <v>836</v>
      </c>
      <c r="PRQ29" t="s">
        <v>836</v>
      </c>
      <c r="PRR29" t="s">
        <v>836</v>
      </c>
      <c r="PRS29" t="s">
        <v>836</v>
      </c>
      <c r="PRT29" t="s">
        <v>836</v>
      </c>
      <c r="PRU29" t="s">
        <v>836</v>
      </c>
      <c r="PRV29" t="s">
        <v>836</v>
      </c>
      <c r="PRW29" t="s">
        <v>836</v>
      </c>
      <c r="PRX29" t="s">
        <v>836</v>
      </c>
      <c r="PRY29" t="s">
        <v>836</v>
      </c>
      <c r="PRZ29" t="s">
        <v>836</v>
      </c>
      <c r="PSA29" t="s">
        <v>836</v>
      </c>
      <c r="PSB29" t="s">
        <v>836</v>
      </c>
      <c r="PSC29" t="s">
        <v>836</v>
      </c>
      <c r="PSD29" t="s">
        <v>836</v>
      </c>
      <c r="PSE29" t="s">
        <v>836</v>
      </c>
      <c r="PSF29" t="s">
        <v>836</v>
      </c>
      <c r="PSG29" t="s">
        <v>836</v>
      </c>
      <c r="PSH29" t="s">
        <v>836</v>
      </c>
      <c r="PSI29" t="s">
        <v>836</v>
      </c>
      <c r="PSJ29" t="s">
        <v>836</v>
      </c>
      <c r="PSK29" t="s">
        <v>836</v>
      </c>
      <c r="PSL29" t="s">
        <v>836</v>
      </c>
      <c r="PSM29" t="s">
        <v>836</v>
      </c>
      <c r="PSN29" t="s">
        <v>836</v>
      </c>
      <c r="PSO29" t="s">
        <v>836</v>
      </c>
      <c r="PSP29" t="s">
        <v>836</v>
      </c>
      <c r="PSQ29" t="s">
        <v>836</v>
      </c>
      <c r="PSR29" t="s">
        <v>836</v>
      </c>
      <c r="PSS29" t="s">
        <v>836</v>
      </c>
      <c r="PST29" t="s">
        <v>836</v>
      </c>
      <c r="PSU29" t="s">
        <v>836</v>
      </c>
      <c r="PSV29" t="s">
        <v>836</v>
      </c>
      <c r="PSW29" t="s">
        <v>836</v>
      </c>
      <c r="PSX29" t="s">
        <v>836</v>
      </c>
      <c r="PSY29" t="s">
        <v>836</v>
      </c>
      <c r="PSZ29" t="s">
        <v>836</v>
      </c>
      <c r="PTA29" t="s">
        <v>836</v>
      </c>
      <c r="PTB29" t="s">
        <v>836</v>
      </c>
      <c r="PTC29" t="s">
        <v>836</v>
      </c>
      <c r="PTD29" t="s">
        <v>836</v>
      </c>
      <c r="PTE29" t="s">
        <v>836</v>
      </c>
      <c r="PTF29" t="s">
        <v>836</v>
      </c>
      <c r="PTG29" t="s">
        <v>836</v>
      </c>
      <c r="PTH29" t="s">
        <v>836</v>
      </c>
      <c r="PTI29" t="s">
        <v>836</v>
      </c>
      <c r="PTJ29" t="s">
        <v>836</v>
      </c>
      <c r="PTK29" t="s">
        <v>836</v>
      </c>
      <c r="PTL29" t="s">
        <v>836</v>
      </c>
      <c r="PTM29" t="s">
        <v>836</v>
      </c>
      <c r="PTN29" t="s">
        <v>836</v>
      </c>
      <c r="PTO29" t="s">
        <v>836</v>
      </c>
      <c r="PTP29" t="s">
        <v>836</v>
      </c>
      <c r="PTQ29" t="s">
        <v>836</v>
      </c>
      <c r="PTR29" t="s">
        <v>836</v>
      </c>
      <c r="PTS29" t="s">
        <v>836</v>
      </c>
      <c r="PTT29" t="s">
        <v>836</v>
      </c>
      <c r="PTU29" t="s">
        <v>836</v>
      </c>
      <c r="PTV29" t="s">
        <v>836</v>
      </c>
      <c r="PTW29" t="s">
        <v>836</v>
      </c>
      <c r="PTX29" t="s">
        <v>836</v>
      </c>
      <c r="PTY29" t="s">
        <v>836</v>
      </c>
      <c r="PTZ29" t="s">
        <v>836</v>
      </c>
      <c r="PUA29" t="s">
        <v>836</v>
      </c>
      <c r="PUB29" t="s">
        <v>836</v>
      </c>
      <c r="PUC29" t="s">
        <v>836</v>
      </c>
      <c r="PUD29" t="s">
        <v>836</v>
      </c>
      <c r="PUE29" t="s">
        <v>836</v>
      </c>
      <c r="PUF29" t="s">
        <v>836</v>
      </c>
      <c r="PUG29" t="s">
        <v>836</v>
      </c>
      <c r="PUH29" t="s">
        <v>836</v>
      </c>
      <c r="PUI29" t="s">
        <v>836</v>
      </c>
      <c r="PUJ29" t="s">
        <v>836</v>
      </c>
      <c r="PUK29" t="s">
        <v>836</v>
      </c>
      <c r="PUL29" t="s">
        <v>836</v>
      </c>
      <c r="PUM29" t="s">
        <v>836</v>
      </c>
      <c r="PUN29" t="s">
        <v>836</v>
      </c>
      <c r="PUO29" t="s">
        <v>836</v>
      </c>
      <c r="PUP29" t="s">
        <v>836</v>
      </c>
      <c r="PUQ29" t="s">
        <v>836</v>
      </c>
      <c r="PUR29" t="s">
        <v>836</v>
      </c>
      <c r="PUS29" t="s">
        <v>836</v>
      </c>
      <c r="PUT29" t="s">
        <v>836</v>
      </c>
      <c r="PUU29" t="s">
        <v>836</v>
      </c>
      <c r="PUV29" t="s">
        <v>836</v>
      </c>
      <c r="PUW29" t="s">
        <v>836</v>
      </c>
      <c r="PUX29" t="s">
        <v>836</v>
      </c>
      <c r="PUY29" t="s">
        <v>836</v>
      </c>
      <c r="PUZ29" t="s">
        <v>836</v>
      </c>
      <c r="PVA29" t="s">
        <v>836</v>
      </c>
      <c r="PVB29" t="s">
        <v>836</v>
      </c>
      <c r="PVC29" t="s">
        <v>836</v>
      </c>
      <c r="PVD29" t="s">
        <v>836</v>
      </c>
      <c r="PVE29" t="s">
        <v>836</v>
      </c>
      <c r="PVF29" t="s">
        <v>836</v>
      </c>
      <c r="PVG29" t="s">
        <v>836</v>
      </c>
      <c r="PVH29" t="s">
        <v>836</v>
      </c>
      <c r="PVI29" t="s">
        <v>836</v>
      </c>
      <c r="PVJ29" t="s">
        <v>836</v>
      </c>
      <c r="PVK29" t="s">
        <v>836</v>
      </c>
      <c r="PVL29" t="s">
        <v>836</v>
      </c>
      <c r="PVM29" t="s">
        <v>836</v>
      </c>
      <c r="PVN29" t="s">
        <v>836</v>
      </c>
      <c r="PVO29" t="s">
        <v>836</v>
      </c>
      <c r="PVP29" t="s">
        <v>836</v>
      </c>
      <c r="PVQ29" t="s">
        <v>836</v>
      </c>
      <c r="PVR29" t="s">
        <v>836</v>
      </c>
      <c r="PVS29" t="s">
        <v>836</v>
      </c>
      <c r="PVT29" t="s">
        <v>836</v>
      </c>
      <c r="PVU29" t="s">
        <v>836</v>
      </c>
      <c r="PVV29" t="s">
        <v>836</v>
      </c>
      <c r="PVW29" t="s">
        <v>836</v>
      </c>
      <c r="PVX29" t="s">
        <v>836</v>
      </c>
      <c r="PVY29" t="s">
        <v>836</v>
      </c>
      <c r="PVZ29" t="s">
        <v>836</v>
      </c>
      <c r="PWA29" t="s">
        <v>836</v>
      </c>
      <c r="PWB29" t="s">
        <v>836</v>
      </c>
      <c r="PWC29" t="s">
        <v>836</v>
      </c>
      <c r="PWD29" t="s">
        <v>836</v>
      </c>
      <c r="PWE29" t="s">
        <v>836</v>
      </c>
      <c r="PWF29" t="s">
        <v>836</v>
      </c>
      <c r="PWG29" t="s">
        <v>836</v>
      </c>
      <c r="PWH29" t="s">
        <v>836</v>
      </c>
      <c r="PWI29" t="s">
        <v>836</v>
      </c>
      <c r="PWJ29" t="s">
        <v>836</v>
      </c>
      <c r="PWK29" t="s">
        <v>836</v>
      </c>
      <c r="PWL29" t="s">
        <v>836</v>
      </c>
      <c r="PWM29" t="s">
        <v>836</v>
      </c>
      <c r="PWN29" t="s">
        <v>836</v>
      </c>
      <c r="PWO29" t="s">
        <v>836</v>
      </c>
      <c r="PWP29" t="s">
        <v>836</v>
      </c>
      <c r="PWQ29" t="s">
        <v>836</v>
      </c>
      <c r="PWR29" t="s">
        <v>836</v>
      </c>
      <c r="PWS29" t="s">
        <v>836</v>
      </c>
      <c r="PWT29" t="s">
        <v>836</v>
      </c>
      <c r="PWU29" t="s">
        <v>836</v>
      </c>
      <c r="PWV29" t="s">
        <v>836</v>
      </c>
      <c r="PWW29" t="s">
        <v>836</v>
      </c>
      <c r="PWX29" t="s">
        <v>836</v>
      </c>
      <c r="PWY29" t="s">
        <v>836</v>
      </c>
      <c r="PWZ29" t="s">
        <v>836</v>
      </c>
      <c r="PXA29" t="s">
        <v>836</v>
      </c>
      <c r="PXB29" t="s">
        <v>836</v>
      </c>
      <c r="PXC29" t="s">
        <v>836</v>
      </c>
      <c r="PXD29" t="s">
        <v>836</v>
      </c>
      <c r="PXE29" t="s">
        <v>836</v>
      </c>
      <c r="PXF29" t="s">
        <v>836</v>
      </c>
      <c r="PXG29" t="s">
        <v>836</v>
      </c>
      <c r="PXH29" t="s">
        <v>836</v>
      </c>
      <c r="PXI29" t="s">
        <v>836</v>
      </c>
      <c r="PXJ29" t="s">
        <v>836</v>
      </c>
      <c r="PXK29" t="s">
        <v>836</v>
      </c>
      <c r="PXL29" t="s">
        <v>836</v>
      </c>
      <c r="PXM29" t="s">
        <v>836</v>
      </c>
      <c r="PXN29" t="s">
        <v>836</v>
      </c>
      <c r="PXO29" t="s">
        <v>836</v>
      </c>
      <c r="PXP29" t="s">
        <v>836</v>
      </c>
      <c r="PXQ29" t="s">
        <v>836</v>
      </c>
      <c r="PXR29" t="s">
        <v>836</v>
      </c>
      <c r="PXS29" t="s">
        <v>836</v>
      </c>
      <c r="PXT29" t="s">
        <v>836</v>
      </c>
      <c r="PXU29" t="s">
        <v>836</v>
      </c>
      <c r="PXV29" t="s">
        <v>836</v>
      </c>
      <c r="PXW29" t="s">
        <v>836</v>
      </c>
      <c r="PXX29" t="s">
        <v>836</v>
      </c>
      <c r="PXY29" t="s">
        <v>836</v>
      </c>
      <c r="PXZ29" t="s">
        <v>836</v>
      </c>
      <c r="PYA29" t="s">
        <v>836</v>
      </c>
      <c r="PYB29" t="s">
        <v>836</v>
      </c>
      <c r="PYC29" t="s">
        <v>836</v>
      </c>
      <c r="PYD29" t="s">
        <v>836</v>
      </c>
      <c r="PYE29" t="s">
        <v>836</v>
      </c>
      <c r="PYF29" t="s">
        <v>836</v>
      </c>
      <c r="PYG29" t="s">
        <v>836</v>
      </c>
      <c r="PYH29" t="s">
        <v>836</v>
      </c>
      <c r="PYI29" t="s">
        <v>836</v>
      </c>
      <c r="PYJ29" t="s">
        <v>836</v>
      </c>
      <c r="PYK29" t="s">
        <v>836</v>
      </c>
      <c r="PYL29" t="s">
        <v>836</v>
      </c>
      <c r="PYM29" t="s">
        <v>836</v>
      </c>
      <c r="PYN29" t="s">
        <v>836</v>
      </c>
      <c r="PYO29" t="s">
        <v>836</v>
      </c>
      <c r="PYP29" t="s">
        <v>836</v>
      </c>
      <c r="PYQ29" t="s">
        <v>836</v>
      </c>
      <c r="PYR29" t="s">
        <v>836</v>
      </c>
      <c r="PYS29" t="s">
        <v>836</v>
      </c>
      <c r="PYT29" t="s">
        <v>836</v>
      </c>
      <c r="PYU29" t="s">
        <v>836</v>
      </c>
      <c r="PYV29" t="s">
        <v>836</v>
      </c>
      <c r="PYW29" t="s">
        <v>836</v>
      </c>
      <c r="PYX29" t="s">
        <v>836</v>
      </c>
      <c r="PYY29" t="s">
        <v>836</v>
      </c>
      <c r="PYZ29" t="s">
        <v>836</v>
      </c>
      <c r="PZA29" t="s">
        <v>836</v>
      </c>
      <c r="PZB29" t="s">
        <v>836</v>
      </c>
      <c r="PZC29" t="s">
        <v>836</v>
      </c>
      <c r="PZD29" t="s">
        <v>836</v>
      </c>
      <c r="PZE29" t="s">
        <v>836</v>
      </c>
      <c r="PZF29" t="s">
        <v>836</v>
      </c>
      <c r="PZG29" t="s">
        <v>836</v>
      </c>
      <c r="PZH29" t="s">
        <v>836</v>
      </c>
      <c r="PZI29" t="s">
        <v>836</v>
      </c>
      <c r="PZJ29" t="s">
        <v>836</v>
      </c>
      <c r="PZK29" t="s">
        <v>836</v>
      </c>
      <c r="PZL29" t="s">
        <v>836</v>
      </c>
      <c r="PZM29" t="s">
        <v>836</v>
      </c>
      <c r="PZN29" t="s">
        <v>836</v>
      </c>
      <c r="PZO29" t="s">
        <v>836</v>
      </c>
      <c r="PZP29" t="s">
        <v>836</v>
      </c>
      <c r="PZQ29" t="s">
        <v>836</v>
      </c>
      <c r="PZR29" t="s">
        <v>836</v>
      </c>
      <c r="PZS29" t="s">
        <v>836</v>
      </c>
      <c r="PZT29" t="s">
        <v>836</v>
      </c>
      <c r="PZU29" t="s">
        <v>836</v>
      </c>
      <c r="PZV29" t="s">
        <v>836</v>
      </c>
      <c r="PZW29" t="s">
        <v>836</v>
      </c>
      <c r="PZX29" t="s">
        <v>836</v>
      </c>
      <c r="PZY29" t="s">
        <v>836</v>
      </c>
      <c r="PZZ29" t="s">
        <v>836</v>
      </c>
      <c r="QAA29" t="s">
        <v>836</v>
      </c>
      <c r="QAB29" t="s">
        <v>836</v>
      </c>
      <c r="QAC29" t="s">
        <v>836</v>
      </c>
      <c r="QAD29" t="s">
        <v>836</v>
      </c>
      <c r="QAE29" t="s">
        <v>836</v>
      </c>
      <c r="QAF29" t="s">
        <v>836</v>
      </c>
      <c r="QAG29" t="s">
        <v>836</v>
      </c>
      <c r="QAH29" t="s">
        <v>836</v>
      </c>
      <c r="QAI29" t="s">
        <v>836</v>
      </c>
      <c r="QAJ29" t="s">
        <v>836</v>
      </c>
      <c r="QAK29" t="s">
        <v>836</v>
      </c>
      <c r="QAL29" t="s">
        <v>836</v>
      </c>
      <c r="QAM29" t="s">
        <v>836</v>
      </c>
      <c r="QAN29" t="s">
        <v>836</v>
      </c>
      <c r="QAO29" t="s">
        <v>836</v>
      </c>
      <c r="QAP29" t="s">
        <v>836</v>
      </c>
      <c r="QAQ29" t="s">
        <v>836</v>
      </c>
      <c r="QAR29" t="s">
        <v>836</v>
      </c>
      <c r="QAS29" t="s">
        <v>836</v>
      </c>
      <c r="QAT29" t="s">
        <v>836</v>
      </c>
      <c r="QAU29" t="s">
        <v>836</v>
      </c>
      <c r="QAV29" t="s">
        <v>836</v>
      </c>
      <c r="QAW29" t="s">
        <v>836</v>
      </c>
      <c r="QAX29" t="s">
        <v>836</v>
      </c>
      <c r="QAY29" t="s">
        <v>836</v>
      </c>
      <c r="QAZ29" t="s">
        <v>836</v>
      </c>
      <c r="QBA29" t="s">
        <v>836</v>
      </c>
      <c r="QBB29" t="s">
        <v>836</v>
      </c>
      <c r="QBC29" t="s">
        <v>836</v>
      </c>
      <c r="QBD29" t="s">
        <v>836</v>
      </c>
      <c r="QBE29" t="s">
        <v>836</v>
      </c>
      <c r="QBF29" t="s">
        <v>836</v>
      </c>
      <c r="QBG29" t="s">
        <v>836</v>
      </c>
      <c r="QBH29" t="s">
        <v>836</v>
      </c>
      <c r="QBI29" t="s">
        <v>836</v>
      </c>
      <c r="QBJ29" t="s">
        <v>836</v>
      </c>
      <c r="QBK29" t="s">
        <v>836</v>
      </c>
      <c r="QBL29" t="s">
        <v>836</v>
      </c>
      <c r="QBM29" t="s">
        <v>836</v>
      </c>
      <c r="QBN29" t="s">
        <v>836</v>
      </c>
      <c r="QBO29" t="s">
        <v>836</v>
      </c>
      <c r="QBP29" t="s">
        <v>836</v>
      </c>
      <c r="QBQ29" t="s">
        <v>836</v>
      </c>
      <c r="QBR29" t="s">
        <v>836</v>
      </c>
      <c r="QBS29" t="s">
        <v>836</v>
      </c>
      <c r="QBT29" t="s">
        <v>836</v>
      </c>
      <c r="QBU29" t="s">
        <v>836</v>
      </c>
      <c r="QBV29" t="s">
        <v>836</v>
      </c>
      <c r="QBW29" t="s">
        <v>836</v>
      </c>
      <c r="QBX29" t="s">
        <v>836</v>
      </c>
      <c r="QBY29" t="s">
        <v>836</v>
      </c>
      <c r="QBZ29" t="s">
        <v>836</v>
      </c>
      <c r="QCA29" t="s">
        <v>836</v>
      </c>
      <c r="QCB29" t="s">
        <v>836</v>
      </c>
      <c r="QCC29" t="s">
        <v>836</v>
      </c>
      <c r="QCD29" t="s">
        <v>836</v>
      </c>
      <c r="QCE29" t="s">
        <v>836</v>
      </c>
      <c r="QCF29" t="s">
        <v>836</v>
      </c>
      <c r="QCG29" t="s">
        <v>836</v>
      </c>
      <c r="QCH29" t="s">
        <v>836</v>
      </c>
      <c r="QCI29" t="s">
        <v>836</v>
      </c>
      <c r="QCJ29" t="s">
        <v>836</v>
      </c>
      <c r="QCK29" t="s">
        <v>836</v>
      </c>
      <c r="QCL29" t="s">
        <v>836</v>
      </c>
      <c r="QCM29" t="s">
        <v>836</v>
      </c>
      <c r="QCN29" t="s">
        <v>836</v>
      </c>
      <c r="QCO29" t="s">
        <v>836</v>
      </c>
      <c r="QCP29" t="s">
        <v>836</v>
      </c>
      <c r="QCQ29" t="s">
        <v>836</v>
      </c>
      <c r="QCR29" t="s">
        <v>836</v>
      </c>
      <c r="QCS29" t="s">
        <v>836</v>
      </c>
      <c r="QCT29" t="s">
        <v>836</v>
      </c>
      <c r="QCU29" t="s">
        <v>836</v>
      </c>
      <c r="QCV29" t="s">
        <v>836</v>
      </c>
      <c r="QCW29" t="s">
        <v>836</v>
      </c>
      <c r="QCX29" t="s">
        <v>836</v>
      </c>
      <c r="QCY29" t="s">
        <v>836</v>
      </c>
      <c r="QCZ29" t="s">
        <v>836</v>
      </c>
      <c r="QDA29" t="s">
        <v>836</v>
      </c>
      <c r="QDB29" t="s">
        <v>836</v>
      </c>
      <c r="QDC29" t="s">
        <v>836</v>
      </c>
      <c r="QDD29" t="s">
        <v>836</v>
      </c>
      <c r="QDE29" t="s">
        <v>836</v>
      </c>
      <c r="QDF29" t="s">
        <v>836</v>
      </c>
      <c r="QDG29" t="s">
        <v>836</v>
      </c>
      <c r="QDH29" t="s">
        <v>836</v>
      </c>
      <c r="QDI29" t="s">
        <v>836</v>
      </c>
      <c r="QDJ29" t="s">
        <v>836</v>
      </c>
      <c r="QDK29" t="s">
        <v>836</v>
      </c>
      <c r="QDL29" t="s">
        <v>836</v>
      </c>
      <c r="QDM29" t="s">
        <v>836</v>
      </c>
      <c r="QDN29" t="s">
        <v>836</v>
      </c>
      <c r="QDO29" t="s">
        <v>836</v>
      </c>
      <c r="QDP29" t="s">
        <v>836</v>
      </c>
      <c r="QDQ29" t="s">
        <v>836</v>
      </c>
      <c r="QDR29" t="s">
        <v>836</v>
      </c>
      <c r="QDS29" t="s">
        <v>836</v>
      </c>
      <c r="QDT29" t="s">
        <v>836</v>
      </c>
      <c r="QDU29" t="s">
        <v>836</v>
      </c>
      <c r="QDV29" t="s">
        <v>836</v>
      </c>
      <c r="QDW29" t="s">
        <v>836</v>
      </c>
      <c r="QDX29" t="s">
        <v>836</v>
      </c>
      <c r="QDY29" t="s">
        <v>836</v>
      </c>
      <c r="QDZ29" t="s">
        <v>836</v>
      </c>
      <c r="QEA29" t="s">
        <v>836</v>
      </c>
      <c r="QEB29" t="s">
        <v>836</v>
      </c>
      <c r="QEC29" t="s">
        <v>836</v>
      </c>
      <c r="QED29" t="s">
        <v>836</v>
      </c>
      <c r="QEE29" t="s">
        <v>836</v>
      </c>
      <c r="QEF29" t="s">
        <v>836</v>
      </c>
      <c r="QEG29" t="s">
        <v>836</v>
      </c>
      <c r="QEH29" t="s">
        <v>836</v>
      </c>
      <c r="QEI29" t="s">
        <v>836</v>
      </c>
      <c r="QEJ29" t="s">
        <v>836</v>
      </c>
      <c r="QEK29" t="s">
        <v>836</v>
      </c>
      <c r="QEL29" t="s">
        <v>836</v>
      </c>
      <c r="QEM29" t="s">
        <v>836</v>
      </c>
      <c r="QEN29" t="s">
        <v>836</v>
      </c>
      <c r="QEO29" t="s">
        <v>836</v>
      </c>
      <c r="QEP29" t="s">
        <v>836</v>
      </c>
      <c r="QEQ29" t="s">
        <v>836</v>
      </c>
      <c r="QER29" t="s">
        <v>836</v>
      </c>
      <c r="QES29" t="s">
        <v>836</v>
      </c>
      <c r="QET29" t="s">
        <v>836</v>
      </c>
      <c r="QEU29" t="s">
        <v>836</v>
      </c>
      <c r="QEV29" t="s">
        <v>836</v>
      </c>
      <c r="QEW29" t="s">
        <v>836</v>
      </c>
      <c r="QEX29" t="s">
        <v>836</v>
      </c>
      <c r="QEY29" t="s">
        <v>836</v>
      </c>
      <c r="QEZ29" t="s">
        <v>836</v>
      </c>
      <c r="QFA29" t="s">
        <v>836</v>
      </c>
      <c r="QFB29" t="s">
        <v>836</v>
      </c>
      <c r="QFC29" t="s">
        <v>836</v>
      </c>
      <c r="QFD29" t="s">
        <v>836</v>
      </c>
      <c r="QFE29" t="s">
        <v>836</v>
      </c>
      <c r="QFF29" t="s">
        <v>836</v>
      </c>
      <c r="QFG29" t="s">
        <v>836</v>
      </c>
      <c r="QFH29" t="s">
        <v>836</v>
      </c>
      <c r="QFI29" t="s">
        <v>836</v>
      </c>
      <c r="QFJ29" t="s">
        <v>836</v>
      </c>
      <c r="QFK29" t="s">
        <v>836</v>
      </c>
      <c r="QFL29" t="s">
        <v>836</v>
      </c>
      <c r="QFM29" t="s">
        <v>836</v>
      </c>
      <c r="QFN29" t="s">
        <v>836</v>
      </c>
      <c r="QFO29" t="s">
        <v>836</v>
      </c>
      <c r="QFP29" t="s">
        <v>836</v>
      </c>
      <c r="QFQ29" t="s">
        <v>836</v>
      </c>
      <c r="QFR29" t="s">
        <v>836</v>
      </c>
      <c r="QFS29" t="s">
        <v>836</v>
      </c>
      <c r="QFT29" t="s">
        <v>836</v>
      </c>
      <c r="QFU29" t="s">
        <v>836</v>
      </c>
      <c r="QFV29" t="s">
        <v>836</v>
      </c>
      <c r="QFW29" t="s">
        <v>836</v>
      </c>
      <c r="QFX29" t="s">
        <v>836</v>
      </c>
      <c r="QFY29" t="s">
        <v>836</v>
      </c>
      <c r="QFZ29" t="s">
        <v>836</v>
      </c>
      <c r="QGA29" t="s">
        <v>836</v>
      </c>
      <c r="QGB29" t="s">
        <v>836</v>
      </c>
      <c r="QGC29" t="s">
        <v>836</v>
      </c>
      <c r="QGD29" t="s">
        <v>836</v>
      </c>
      <c r="QGE29" t="s">
        <v>836</v>
      </c>
      <c r="QGF29" t="s">
        <v>836</v>
      </c>
      <c r="QGG29" t="s">
        <v>836</v>
      </c>
      <c r="QGH29" t="s">
        <v>836</v>
      </c>
      <c r="QGI29" t="s">
        <v>836</v>
      </c>
      <c r="QGJ29" t="s">
        <v>836</v>
      </c>
      <c r="QGK29" t="s">
        <v>836</v>
      </c>
      <c r="QGL29" t="s">
        <v>836</v>
      </c>
      <c r="QGM29" t="s">
        <v>836</v>
      </c>
      <c r="QGN29" t="s">
        <v>836</v>
      </c>
      <c r="QGO29" t="s">
        <v>836</v>
      </c>
      <c r="QGP29" t="s">
        <v>836</v>
      </c>
      <c r="QGQ29" t="s">
        <v>836</v>
      </c>
      <c r="QGR29" t="s">
        <v>836</v>
      </c>
      <c r="QGS29" t="s">
        <v>836</v>
      </c>
      <c r="QGT29" t="s">
        <v>836</v>
      </c>
      <c r="QGU29" t="s">
        <v>836</v>
      </c>
      <c r="QGV29" t="s">
        <v>836</v>
      </c>
      <c r="QGW29" t="s">
        <v>836</v>
      </c>
      <c r="QGX29" t="s">
        <v>836</v>
      </c>
      <c r="QGY29" t="s">
        <v>836</v>
      </c>
      <c r="QGZ29" t="s">
        <v>836</v>
      </c>
      <c r="QHA29" t="s">
        <v>836</v>
      </c>
      <c r="QHB29" t="s">
        <v>836</v>
      </c>
      <c r="QHC29" t="s">
        <v>836</v>
      </c>
      <c r="QHD29" t="s">
        <v>836</v>
      </c>
      <c r="QHE29" t="s">
        <v>836</v>
      </c>
      <c r="QHF29" t="s">
        <v>836</v>
      </c>
      <c r="QHG29" t="s">
        <v>836</v>
      </c>
      <c r="QHH29" t="s">
        <v>836</v>
      </c>
      <c r="QHI29" t="s">
        <v>836</v>
      </c>
      <c r="QHJ29" t="s">
        <v>836</v>
      </c>
      <c r="QHK29" t="s">
        <v>836</v>
      </c>
      <c r="QHL29" t="s">
        <v>836</v>
      </c>
      <c r="QHM29" t="s">
        <v>836</v>
      </c>
      <c r="QHN29" t="s">
        <v>836</v>
      </c>
      <c r="QHO29" t="s">
        <v>836</v>
      </c>
      <c r="QHP29" t="s">
        <v>836</v>
      </c>
      <c r="QHQ29" t="s">
        <v>836</v>
      </c>
      <c r="QHR29" t="s">
        <v>836</v>
      </c>
      <c r="QHS29" t="s">
        <v>836</v>
      </c>
      <c r="QHT29" t="s">
        <v>836</v>
      </c>
      <c r="QHU29" t="s">
        <v>836</v>
      </c>
      <c r="QHV29" t="s">
        <v>836</v>
      </c>
      <c r="QHW29" t="s">
        <v>836</v>
      </c>
      <c r="QHX29" t="s">
        <v>836</v>
      </c>
      <c r="QHY29" t="s">
        <v>836</v>
      </c>
      <c r="QHZ29" t="s">
        <v>836</v>
      </c>
      <c r="QIA29" t="s">
        <v>836</v>
      </c>
      <c r="QIB29" t="s">
        <v>836</v>
      </c>
      <c r="QIC29" t="s">
        <v>836</v>
      </c>
      <c r="QID29" t="s">
        <v>836</v>
      </c>
      <c r="QIE29" t="s">
        <v>836</v>
      </c>
      <c r="QIF29" t="s">
        <v>836</v>
      </c>
      <c r="QIG29" t="s">
        <v>836</v>
      </c>
      <c r="QIH29" t="s">
        <v>836</v>
      </c>
      <c r="QII29" t="s">
        <v>836</v>
      </c>
      <c r="QIJ29" t="s">
        <v>836</v>
      </c>
      <c r="QIK29" t="s">
        <v>836</v>
      </c>
      <c r="QIL29" t="s">
        <v>836</v>
      </c>
      <c r="QIM29" t="s">
        <v>836</v>
      </c>
      <c r="QIN29" t="s">
        <v>836</v>
      </c>
      <c r="QIO29" t="s">
        <v>836</v>
      </c>
      <c r="QIP29" t="s">
        <v>836</v>
      </c>
      <c r="QIQ29" t="s">
        <v>836</v>
      </c>
      <c r="QIR29" t="s">
        <v>836</v>
      </c>
      <c r="QIS29" t="s">
        <v>836</v>
      </c>
      <c r="QIT29" t="s">
        <v>836</v>
      </c>
      <c r="QIU29" t="s">
        <v>836</v>
      </c>
      <c r="QIV29" t="s">
        <v>836</v>
      </c>
      <c r="QIW29" t="s">
        <v>836</v>
      </c>
      <c r="QIX29" t="s">
        <v>836</v>
      </c>
      <c r="QIY29" t="s">
        <v>836</v>
      </c>
      <c r="QIZ29" t="s">
        <v>836</v>
      </c>
      <c r="QJA29" t="s">
        <v>836</v>
      </c>
      <c r="QJB29" t="s">
        <v>836</v>
      </c>
      <c r="QJC29" t="s">
        <v>836</v>
      </c>
      <c r="QJD29" t="s">
        <v>836</v>
      </c>
      <c r="QJE29" t="s">
        <v>836</v>
      </c>
      <c r="QJF29" t="s">
        <v>836</v>
      </c>
      <c r="QJG29" t="s">
        <v>836</v>
      </c>
      <c r="QJH29" t="s">
        <v>836</v>
      </c>
      <c r="QJI29" t="s">
        <v>836</v>
      </c>
      <c r="QJJ29" t="s">
        <v>836</v>
      </c>
      <c r="QJK29" t="s">
        <v>836</v>
      </c>
      <c r="QJL29" t="s">
        <v>836</v>
      </c>
      <c r="QJM29" t="s">
        <v>836</v>
      </c>
      <c r="QJN29" t="s">
        <v>836</v>
      </c>
      <c r="QJO29" t="s">
        <v>836</v>
      </c>
      <c r="QJP29" t="s">
        <v>836</v>
      </c>
      <c r="QJQ29" t="s">
        <v>836</v>
      </c>
      <c r="QJR29" t="s">
        <v>836</v>
      </c>
      <c r="QJS29" t="s">
        <v>836</v>
      </c>
      <c r="QJT29" t="s">
        <v>836</v>
      </c>
      <c r="QJU29" t="s">
        <v>836</v>
      </c>
      <c r="QJV29" t="s">
        <v>836</v>
      </c>
      <c r="QJW29" t="s">
        <v>836</v>
      </c>
      <c r="QJX29" t="s">
        <v>836</v>
      </c>
      <c r="QJY29" t="s">
        <v>836</v>
      </c>
      <c r="QJZ29" t="s">
        <v>836</v>
      </c>
      <c r="QKA29" t="s">
        <v>836</v>
      </c>
      <c r="QKB29" t="s">
        <v>836</v>
      </c>
      <c r="QKC29" t="s">
        <v>836</v>
      </c>
      <c r="QKD29" t="s">
        <v>836</v>
      </c>
      <c r="QKE29" t="s">
        <v>836</v>
      </c>
      <c r="QKF29" t="s">
        <v>836</v>
      </c>
      <c r="QKG29" t="s">
        <v>836</v>
      </c>
      <c r="QKH29" t="s">
        <v>836</v>
      </c>
      <c r="QKI29" t="s">
        <v>836</v>
      </c>
      <c r="QKJ29" t="s">
        <v>836</v>
      </c>
      <c r="QKK29" t="s">
        <v>836</v>
      </c>
      <c r="QKL29" t="s">
        <v>836</v>
      </c>
      <c r="QKM29" t="s">
        <v>836</v>
      </c>
      <c r="QKN29" t="s">
        <v>836</v>
      </c>
      <c r="QKO29" t="s">
        <v>836</v>
      </c>
      <c r="QKP29" t="s">
        <v>836</v>
      </c>
      <c r="QKQ29" t="s">
        <v>836</v>
      </c>
      <c r="QKR29" t="s">
        <v>836</v>
      </c>
      <c r="QKS29" t="s">
        <v>836</v>
      </c>
      <c r="QKT29" t="s">
        <v>836</v>
      </c>
      <c r="QKU29" t="s">
        <v>836</v>
      </c>
      <c r="QKV29" t="s">
        <v>836</v>
      </c>
      <c r="QKW29" t="s">
        <v>836</v>
      </c>
      <c r="QKX29" t="s">
        <v>836</v>
      </c>
      <c r="QKY29" t="s">
        <v>836</v>
      </c>
      <c r="QKZ29" t="s">
        <v>836</v>
      </c>
      <c r="QLA29" t="s">
        <v>836</v>
      </c>
      <c r="QLB29" t="s">
        <v>836</v>
      </c>
      <c r="QLC29" t="s">
        <v>836</v>
      </c>
      <c r="QLD29" t="s">
        <v>836</v>
      </c>
      <c r="QLE29" t="s">
        <v>836</v>
      </c>
      <c r="QLF29" t="s">
        <v>836</v>
      </c>
      <c r="QLG29" t="s">
        <v>836</v>
      </c>
      <c r="QLH29" t="s">
        <v>836</v>
      </c>
      <c r="QLI29" t="s">
        <v>836</v>
      </c>
      <c r="QLJ29" t="s">
        <v>836</v>
      </c>
      <c r="QLK29" t="s">
        <v>836</v>
      </c>
      <c r="QLL29" t="s">
        <v>836</v>
      </c>
      <c r="QLM29" t="s">
        <v>836</v>
      </c>
      <c r="QLN29" t="s">
        <v>836</v>
      </c>
      <c r="QLO29" t="s">
        <v>836</v>
      </c>
      <c r="QLP29" t="s">
        <v>836</v>
      </c>
      <c r="QLQ29" t="s">
        <v>836</v>
      </c>
      <c r="QLR29" t="s">
        <v>836</v>
      </c>
      <c r="QLS29" t="s">
        <v>836</v>
      </c>
      <c r="QLT29" t="s">
        <v>836</v>
      </c>
      <c r="QLU29" t="s">
        <v>836</v>
      </c>
      <c r="QLV29" t="s">
        <v>836</v>
      </c>
      <c r="QLW29" t="s">
        <v>836</v>
      </c>
      <c r="QLX29" t="s">
        <v>836</v>
      </c>
      <c r="QLY29" t="s">
        <v>836</v>
      </c>
      <c r="QLZ29" t="s">
        <v>836</v>
      </c>
      <c r="QMA29" t="s">
        <v>836</v>
      </c>
      <c r="QMB29" t="s">
        <v>836</v>
      </c>
      <c r="QMC29" t="s">
        <v>836</v>
      </c>
      <c r="QMD29" t="s">
        <v>836</v>
      </c>
      <c r="QME29" t="s">
        <v>836</v>
      </c>
      <c r="QMF29" t="s">
        <v>836</v>
      </c>
      <c r="QMG29" t="s">
        <v>836</v>
      </c>
      <c r="QMH29" t="s">
        <v>836</v>
      </c>
      <c r="QMI29" t="s">
        <v>836</v>
      </c>
      <c r="QMJ29" t="s">
        <v>836</v>
      </c>
      <c r="QMK29" t="s">
        <v>836</v>
      </c>
      <c r="QML29" t="s">
        <v>836</v>
      </c>
      <c r="QMM29" t="s">
        <v>836</v>
      </c>
      <c r="QMN29" t="s">
        <v>836</v>
      </c>
      <c r="QMO29" t="s">
        <v>836</v>
      </c>
      <c r="QMP29" t="s">
        <v>836</v>
      </c>
      <c r="QMQ29" t="s">
        <v>836</v>
      </c>
      <c r="QMR29" t="s">
        <v>836</v>
      </c>
      <c r="QMS29" t="s">
        <v>836</v>
      </c>
      <c r="QMT29" t="s">
        <v>836</v>
      </c>
      <c r="QMU29" t="s">
        <v>836</v>
      </c>
      <c r="QMV29" t="s">
        <v>836</v>
      </c>
      <c r="QMW29" t="s">
        <v>836</v>
      </c>
      <c r="QMX29" t="s">
        <v>836</v>
      </c>
      <c r="QMY29" t="s">
        <v>836</v>
      </c>
      <c r="QMZ29" t="s">
        <v>836</v>
      </c>
      <c r="QNA29" t="s">
        <v>836</v>
      </c>
      <c r="QNB29" t="s">
        <v>836</v>
      </c>
      <c r="QNC29" t="s">
        <v>836</v>
      </c>
      <c r="QND29" t="s">
        <v>836</v>
      </c>
      <c r="QNE29" t="s">
        <v>836</v>
      </c>
      <c r="QNF29" t="s">
        <v>836</v>
      </c>
      <c r="QNG29" t="s">
        <v>836</v>
      </c>
      <c r="QNH29" t="s">
        <v>836</v>
      </c>
      <c r="QNI29" t="s">
        <v>836</v>
      </c>
      <c r="QNJ29" t="s">
        <v>836</v>
      </c>
      <c r="QNK29" t="s">
        <v>836</v>
      </c>
      <c r="QNL29" t="s">
        <v>836</v>
      </c>
      <c r="QNM29" t="s">
        <v>836</v>
      </c>
      <c r="QNN29" t="s">
        <v>836</v>
      </c>
      <c r="QNO29" t="s">
        <v>836</v>
      </c>
      <c r="QNP29" t="s">
        <v>836</v>
      </c>
      <c r="QNQ29" t="s">
        <v>836</v>
      </c>
      <c r="QNR29" t="s">
        <v>836</v>
      </c>
      <c r="QNS29" t="s">
        <v>836</v>
      </c>
      <c r="QNT29" t="s">
        <v>836</v>
      </c>
      <c r="QNU29" t="s">
        <v>836</v>
      </c>
      <c r="QNV29" t="s">
        <v>836</v>
      </c>
      <c r="QNW29" t="s">
        <v>836</v>
      </c>
      <c r="QNX29" t="s">
        <v>836</v>
      </c>
      <c r="QNY29" t="s">
        <v>836</v>
      </c>
      <c r="QNZ29" t="s">
        <v>836</v>
      </c>
      <c r="QOA29" t="s">
        <v>836</v>
      </c>
      <c r="QOB29" t="s">
        <v>836</v>
      </c>
      <c r="QOC29" t="s">
        <v>836</v>
      </c>
      <c r="QOD29" t="s">
        <v>836</v>
      </c>
      <c r="QOE29" t="s">
        <v>836</v>
      </c>
      <c r="QOF29" t="s">
        <v>836</v>
      </c>
      <c r="QOG29" t="s">
        <v>836</v>
      </c>
      <c r="QOH29" t="s">
        <v>836</v>
      </c>
      <c r="QOI29" t="s">
        <v>836</v>
      </c>
      <c r="QOJ29" t="s">
        <v>836</v>
      </c>
      <c r="QOK29" t="s">
        <v>836</v>
      </c>
      <c r="QOL29" t="s">
        <v>836</v>
      </c>
      <c r="QOM29" t="s">
        <v>836</v>
      </c>
      <c r="QON29" t="s">
        <v>836</v>
      </c>
      <c r="QOO29" t="s">
        <v>836</v>
      </c>
      <c r="QOP29" t="s">
        <v>836</v>
      </c>
      <c r="QOQ29" t="s">
        <v>836</v>
      </c>
      <c r="QOR29" t="s">
        <v>836</v>
      </c>
      <c r="QOS29" t="s">
        <v>836</v>
      </c>
      <c r="QOT29" t="s">
        <v>836</v>
      </c>
      <c r="QOU29" t="s">
        <v>836</v>
      </c>
      <c r="QOV29" t="s">
        <v>836</v>
      </c>
      <c r="QOW29" t="s">
        <v>836</v>
      </c>
      <c r="QOX29" t="s">
        <v>836</v>
      </c>
      <c r="QOY29" t="s">
        <v>836</v>
      </c>
      <c r="QOZ29" t="s">
        <v>836</v>
      </c>
      <c r="QPA29" t="s">
        <v>836</v>
      </c>
      <c r="QPB29" t="s">
        <v>836</v>
      </c>
      <c r="QPC29" t="s">
        <v>836</v>
      </c>
      <c r="QPD29" t="s">
        <v>836</v>
      </c>
      <c r="QPE29" t="s">
        <v>836</v>
      </c>
      <c r="QPF29" t="s">
        <v>836</v>
      </c>
      <c r="QPG29" t="s">
        <v>836</v>
      </c>
      <c r="QPH29" t="s">
        <v>836</v>
      </c>
      <c r="QPI29" t="s">
        <v>836</v>
      </c>
      <c r="QPJ29" t="s">
        <v>836</v>
      </c>
      <c r="QPK29" t="s">
        <v>836</v>
      </c>
      <c r="QPL29" t="s">
        <v>836</v>
      </c>
      <c r="QPM29" t="s">
        <v>836</v>
      </c>
      <c r="QPN29" t="s">
        <v>836</v>
      </c>
      <c r="QPO29" t="s">
        <v>836</v>
      </c>
      <c r="QPP29" t="s">
        <v>836</v>
      </c>
      <c r="QPQ29" t="s">
        <v>836</v>
      </c>
      <c r="QPR29" t="s">
        <v>836</v>
      </c>
      <c r="QPS29" t="s">
        <v>836</v>
      </c>
      <c r="QPT29" t="s">
        <v>836</v>
      </c>
      <c r="QPU29" t="s">
        <v>836</v>
      </c>
      <c r="QPV29" t="s">
        <v>836</v>
      </c>
      <c r="QPW29" t="s">
        <v>836</v>
      </c>
      <c r="QPX29" t="s">
        <v>836</v>
      </c>
      <c r="QPY29" t="s">
        <v>836</v>
      </c>
      <c r="QPZ29" t="s">
        <v>836</v>
      </c>
      <c r="QQA29" t="s">
        <v>836</v>
      </c>
      <c r="QQB29" t="s">
        <v>836</v>
      </c>
      <c r="QQC29" t="s">
        <v>836</v>
      </c>
      <c r="QQD29" t="s">
        <v>836</v>
      </c>
      <c r="QQE29" t="s">
        <v>836</v>
      </c>
      <c r="QQF29" t="s">
        <v>836</v>
      </c>
      <c r="QQG29" t="s">
        <v>836</v>
      </c>
      <c r="QQH29" t="s">
        <v>836</v>
      </c>
      <c r="QQI29" t="s">
        <v>836</v>
      </c>
      <c r="QQJ29" t="s">
        <v>836</v>
      </c>
      <c r="QQK29" t="s">
        <v>836</v>
      </c>
      <c r="QQL29" t="s">
        <v>836</v>
      </c>
      <c r="QQM29" t="s">
        <v>836</v>
      </c>
      <c r="QQN29" t="s">
        <v>836</v>
      </c>
      <c r="QQO29" t="s">
        <v>836</v>
      </c>
      <c r="QQP29" t="s">
        <v>836</v>
      </c>
      <c r="QQQ29" t="s">
        <v>836</v>
      </c>
      <c r="QQR29" t="s">
        <v>836</v>
      </c>
      <c r="QQS29" t="s">
        <v>836</v>
      </c>
      <c r="QQT29" t="s">
        <v>836</v>
      </c>
      <c r="QQU29" t="s">
        <v>836</v>
      </c>
      <c r="QQV29" t="s">
        <v>836</v>
      </c>
      <c r="QQW29" t="s">
        <v>836</v>
      </c>
      <c r="QQX29" t="s">
        <v>836</v>
      </c>
      <c r="QQY29" t="s">
        <v>836</v>
      </c>
      <c r="QQZ29" t="s">
        <v>836</v>
      </c>
      <c r="QRA29" t="s">
        <v>836</v>
      </c>
      <c r="QRB29" t="s">
        <v>836</v>
      </c>
      <c r="QRC29" t="s">
        <v>836</v>
      </c>
      <c r="QRD29" t="s">
        <v>836</v>
      </c>
      <c r="QRE29" t="s">
        <v>836</v>
      </c>
      <c r="QRF29" t="s">
        <v>836</v>
      </c>
      <c r="QRG29" t="s">
        <v>836</v>
      </c>
      <c r="QRH29" t="s">
        <v>836</v>
      </c>
      <c r="QRI29" t="s">
        <v>836</v>
      </c>
      <c r="QRJ29" t="s">
        <v>836</v>
      </c>
      <c r="QRK29" t="s">
        <v>836</v>
      </c>
      <c r="QRL29" t="s">
        <v>836</v>
      </c>
      <c r="QRM29" t="s">
        <v>836</v>
      </c>
      <c r="QRN29" t="s">
        <v>836</v>
      </c>
      <c r="QRO29" t="s">
        <v>836</v>
      </c>
      <c r="QRP29" t="s">
        <v>836</v>
      </c>
      <c r="QRQ29" t="s">
        <v>836</v>
      </c>
      <c r="QRR29" t="s">
        <v>836</v>
      </c>
      <c r="QRS29" t="s">
        <v>836</v>
      </c>
      <c r="QRT29" t="s">
        <v>836</v>
      </c>
      <c r="QRU29" t="s">
        <v>836</v>
      </c>
      <c r="QRV29" t="s">
        <v>836</v>
      </c>
      <c r="QRW29" t="s">
        <v>836</v>
      </c>
      <c r="QRX29" t="s">
        <v>836</v>
      </c>
      <c r="QRY29" t="s">
        <v>836</v>
      </c>
      <c r="QRZ29" t="s">
        <v>836</v>
      </c>
      <c r="QSA29" t="s">
        <v>836</v>
      </c>
      <c r="QSB29" t="s">
        <v>836</v>
      </c>
      <c r="QSC29" t="s">
        <v>836</v>
      </c>
      <c r="QSD29" t="s">
        <v>836</v>
      </c>
      <c r="QSE29" t="s">
        <v>836</v>
      </c>
      <c r="QSF29" t="s">
        <v>836</v>
      </c>
      <c r="QSG29" t="s">
        <v>836</v>
      </c>
      <c r="QSH29" t="s">
        <v>836</v>
      </c>
      <c r="QSI29" t="s">
        <v>836</v>
      </c>
      <c r="QSJ29" t="s">
        <v>836</v>
      </c>
      <c r="QSK29" t="s">
        <v>836</v>
      </c>
      <c r="QSL29" t="s">
        <v>836</v>
      </c>
      <c r="QSM29" t="s">
        <v>836</v>
      </c>
      <c r="QSN29" t="s">
        <v>836</v>
      </c>
      <c r="QSO29" t="s">
        <v>836</v>
      </c>
      <c r="QSP29" t="s">
        <v>836</v>
      </c>
      <c r="QSQ29" t="s">
        <v>836</v>
      </c>
      <c r="QSR29" t="s">
        <v>836</v>
      </c>
      <c r="QSS29" t="s">
        <v>836</v>
      </c>
      <c r="QST29" t="s">
        <v>836</v>
      </c>
      <c r="QSU29" t="s">
        <v>836</v>
      </c>
      <c r="QSV29" t="s">
        <v>836</v>
      </c>
      <c r="QSW29" t="s">
        <v>836</v>
      </c>
      <c r="QSX29" t="s">
        <v>836</v>
      </c>
      <c r="QSY29" t="s">
        <v>836</v>
      </c>
      <c r="QSZ29" t="s">
        <v>836</v>
      </c>
      <c r="QTA29" t="s">
        <v>836</v>
      </c>
      <c r="QTB29" t="s">
        <v>836</v>
      </c>
      <c r="QTC29" t="s">
        <v>836</v>
      </c>
      <c r="QTD29" t="s">
        <v>836</v>
      </c>
      <c r="QTE29" t="s">
        <v>836</v>
      </c>
      <c r="QTF29" t="s">
        <v>836</v>
      </c>
      <c r="QTG29" t="s">
        <v>836</v>
      </c>
      <c r="QTH29" t="s">
        <v>836</v>
      </c>
      <c r="QTI29" t="s">
        <v>836</v>
      </c>
      <c r="QTJ29" t="s">
        <v>836</v>
      </c>
      <c r="QTK29" t="s">
        <v>836</v>
      </c>
      <c r="QTL29" t="s">
        <v>836</v>
      </c>
      <c r="QTM29" t="s">
        <v>836</v>
      </c>
      <c r="QTN29" t="s">
        <v>836</v>
      </c>
      <c r="QTO29" t="s">
        <v>836</v>
      </c>
      <c r="QTP29" t="s">
        <v>836</v>
      </c>
      <c r="QTQ29" t="s">
        <v>836</v>
      </c>
      <c r="QTR29" t="s">
        <v>836</v>
      </c>
      <c r="QTS29" t="s">
        <v>836</v>
      </c>
      <c r="QTT29" t="s">
        <v>836</v>
      </c>
      <c r="QTU29" t="s">
        <v>836</v>
      </c>
      <c r="QTV29" t="s">
        <v>836</v>
      </c>
      <c r="QTW29" t="s">
        <v>836</v>
      </c>
      <c r="QTX29" t="s">
        <v>836</v>
      </c>
      <c r="QTY29" t="s">
        <v>836</v>
      </c>
      <c r="QTZ29" t="s">
        <v>836</v>
      </c>
      <c r="QUA29" t="s">
        <v>836</v>
      </c>
      <c r="QUB29" t="s">
        <v>836</v>
      </c>
      <c r="QUC29" t="s">
        <v>836</v>
      </c>
      <c r="QUD29" t="s">
        <v>836</v>
      </c>
      <c r="QUE29" t="s">
        <v>836</v>
      </c>
      <c r="QUF29" t="s">
        <v>836</v>
      </c>
      <c r="QUG29" t="s">
        <v>836</v>
      </c>
      <c r="QUH29" t="s">
        <v>836</v>
      </c>
      <c r="QUI29" t="s">
        <v>836</v>
      </c>
      <c r="QUJ29" t="s">
        <v>836</v>
      </c>
      <c r="QUK29" t="s">
        <v>836</v>
      </c>
      <c r="QUL29" t="s">
        <v>836</v>
      </c>
      <c r="QUM29" t="s">
        <v>836</v>
      </c>
      <c r="QUN29" t="s">
        <v>836</v>
      </c>
      <c r="QUO29" t="s">
        <v>836</v>
      </c>
      <c r="QUP29" t="s">
        <v>836</v>
      </c>
      <c r="QUQ29" t="s">
        <v>836</v>
      </c>
      <c r="QUR29" t="s">
        <v>836</v>
      </c>
      <c r="QUS29" t="s">
        <v>836</v>
      </c>
      <c r="QUT29" t="s">
        <v>836</v>
      </c>
      <c r="QUU29" t="s">
        <v>836</v>
      </c>
      <c r="QUV29" t="s">
        <v>836</v>
      </c>
      <c r="QUW29" t="s">
        <v>836</v>
      </c>
      <c r="QUX29" t="s">
        <v>836</v>
      </c>
      <c r="QUY29" t="s">
        <v>836</v>
      </c>
      <c r="QUZ29" t="s">
        <v>836</v>
      </c>
      <c r="QVA29" t="s">
        <v>836</v>
      </c>
      <c r="QVB29" t="s">
        <v>836</v>
      </c>
      <c r="QVC29" t="s">
        <v>836</v>
      </c>
      <c r="QVD29" t="s">
        <v>836</v>
      </c>
      <c r="QVE29" t="s">
        <v>836</v>
      </c>
      <c r="QVF29" t="s">
        <v>836</v>
      </c>
      <c r="QVG29" t="s">
        <v>836</v>
      </c>
      <c r="QVH29" t="s">
        <v>836</v>
      </c>
      <c r="QVI29" t="s">
        <v>836</v>
      </c>
      <c r="QVJ29" t="s">
        <v>836</v>
      </c>
      <c r="QVK29" t="s">
        <v>836</v>
      </c>
      <c r="QVL29" t="s">
        <v>836</v>
      </c>
      <c r="QVM29" t="s">
        <v>836</v>
      </c>
      <c r="QVN29" t="s">
        <v>836</v>
      </c>
      <c r="QVO29" t="s">
        <v>836</v>
      </c>
      <c r="QVP29" t="s">
        <v>836</v>
      </c>
      <c r="QVQ29" t="s">
        <v>836</v>
      </c>
      <c r="QVR29" t="s">
        <v>836</v>
      </c>
      <c r="QVS29" t="s">
        <v>836</v>
      </c>
      <c r="QVT29" t="s">
        <v>836</v>
      </c>
      <c r="QVU29" t="s">
        <v>836</v>
      </c>
      <c r="QVV29" t="s">
        <v>836</v>
      </c>
      <c r="QVW29" t="s">
        <v>836</v>
      </c>
      <c r="QVX29" t="s">
        <v>836</v>
      </c>
      <c r="QVY29" t="s">
        <v>836</v>
      </c>
      <c r="QVZ29" t="s">
        <v>836</v>
      </c>
      <c r="QWA29" t="s">
        <v>836</v>
      </c>
      <c r="QWB29" t="s">
        <v>836</v>
      </c>
      <c r="QWC29" t="s">
        <v>836</v>
      </c>
      <c r="QWD29" t="s">
        <v>836</v>
      </c>
      <c r="QWE29" t="s">
        <v>836</v>
      </c>
      <c r="QWF29" t="s">
        <v>836</v>
      </c>
      <c r="QWG29" t="s">
        <v>836</v>
      </c>
      <c r="QWH29" t="s">
        <v>836</v>
      </c>
      <c r="QWI29" t="s">
        <v>836</v>
      </c>
      <c r="QWJ29" t="s">
        <v>836</v>
      </c>
      <c r="QWK29" t="s">
        <v>836</v>
      </c>
      <c r="QWL29" t="s">
        <v>836</v>
      </c>
      <c r="QWM29" t="s">
        <v>836</v>
      </c>
      <c r="QWN29" t="s">
        <v>836</v>
      </c>
      <c r="QWO29" t="s">
        <v>836</v>
      </c>
      <c r="QWP29" t="s">
        <v>836</v>
      </c>
      <c r="QWQ29" t="s">
        <v>836</v>
      </c>
      <c r="QWR29" t="s">
        <v>836</v>
      </c>
      <c r="QWS29" t="s">
        <v>836</v>
      </c>
      <c r="QWT29" t="s">
        <v>836</v>
      </c>
      <c r="QWU29" t="s">
        <v>836</v>
      </c>
      <c r="QWV29" t="s">
        <v>836</v>
      </c>
      <c r="QWW29" t="s">
        <v>836</v>
      </c>
      <c r="QWX29" t="s">
        <v>836</v>
      </c>
      <c r="QWY29" t="s">
        <v>836</v>
      </c>
      <c r="QWZ29" t="s">
        <v>836</v>
      </c>
      <c r="QXA29" t="s">
        <v>836</v>
      </c>
      <c r="QXB29" t="s">
        <v>836</v>
      </c>
      <c r="QXC29" t="s">
        <v>836</v>
      </c>
      <c r="QXD29" t="s">
        <v>836</v>
      </c>
      <c r="QXE29" t="s">
        <v>836</v>
      </c>
      <c r="QXF29" t="s">
        <v>836</v>
      </c>
      <c r="QXG29" t="s">
        <v>836</v>
      </c>
      <c r="QXH29" t="s">
        <v>836</v>
      </c>
      <c r="QXI29" t="s">
        <v>836</v>
      </c>
      <c r="QXJ29" t="s">
        <v>836</v>
      </c>
      <c r="QXK29" t="s">
        <v>836</v>
      </c>
      <c r="QXL29" t="s">
        <v>836</v>
      </c>
      <c r="QXM29" t="s">
        <v>836</v>
      </c>
      <c r="QXN29" t="s">
        <v>836</v>
      </c>
      <c r="QXO29" t="s">
        <v>836</v>
      </c>
      <c r="QXP29" t="s">
        <v>836</v>
      </c>
      <c r="QXQ29" t="s">
        <v>836</v>
      </c>
      <c r="QXR29" t="s">
        <v>836</v>
      </c>
      <c r="QXS29" t="s">
        <v>836</v>
      </c>
      <c r="QXT29" t="s">
        <v>836</v>
      </c>
      <c r="QXU29" t="s">
        <v>836</v>
      </c>
      <c r="QXV29" t="s">
        <v>836</v>
      </c>
      <c r="QXW29" t="s">
        <v>836</v>
      </c>
      <c r="QXX29" t="s">
        <v>836</v>
      </c>
      <c r="QXY29" t="s">
        <v>836</v>
      </c>
      <c r="QXZ29" t="s">
        <v>836</v>
      </c>
      <c r="QYA29" t="s">
        <v>836</v>
      </c>
      <c r="QYB29" t="s">
        <v>836</v>
      </c>
      <c r="QYC29" t="s">
        <v>836</v>
      </c>
      <c r="QYD29" t="s">
        <v>836</v>
      </c>
      <c r="QYE29" t="s">
        <v>836</v>
      </c>
      <c r="QYF29" t="s">
        <v>836</v>
      </c>
      <c r="QYG29" t="s">
        <v>836</v>
      </c>
      <c r="QYH29" t="s">
        <v>836</v>
      </c>
      <c r="QYI29" t="s">
        <v>836</v>
      </c>
      <c r="QYJ29" t="s">
        <v>836</v>
      </c>
      <c r="QYK29" t="s">
        <v>836</v>
      </c>
      <c r="QYL29" t="s">
        <v>836</v>
      </c>
      <c r="QYM29" t="s">
        <v>836</v>
      </c>
      <c r="QYN29" t="s">
        <v>836</v>
      </c>
      <c r="QYO29" t="s">
        <v>836</v>
      </c>
      <c r="QYP29" t="s">
        <v>836</v>
      </c>
      <c r="QYQ29" t="s">
        <v>836</v>
      </c>
      <c r="QYR29" t="s">
        <v>836</v>
      </c>
      <c r="QYS29" t="s">
        <v>836</v>
      </c>
      <c r="QYT29" t="s">
        <v>836</v>
      </c>
      <c r="QYU29" t="s">
        <v>836</v>
      </c>
      <c r="QYV29" t="s">
        <v>836</v>
      </c>
      <c r="QYW29" t="s">
        <v>836</v>
      </c>
      <c r="QYX29" t="s">
        <v>836</v>
      </c>
      <c r="QYY29" t="s">
        <v>836</v>
      </c>
      <c r="QYZ29" t="s">
        <v>836</v>
      </c>
      <c r="QZA29" t="s">
        <v>836</v>
      </c>
      <c r="QZB29" t="s">
        <v>836</v>
      </c>
      <c r="QZC29" t="s">
        <v>836</v>
      </c>
      <c r="QZD29" t="s">
        <v>836</v>
      </c>
      <c r="QZE29" t="s">
        <v>836</v>
      </c>
      <c r="QZF29" t="s">
        <v>836</v>
      </c>
      <c r="QZG29" t="s">
        <v>836</v>
      </c>
      <c r="QZH29" t="s">
        <v>836</v>
      </c>
      <c r="QZI29" t="s">
        <v>836</v>
      </c>
      <c r="QZJ29" t="s">
        <v>836</v>
      </c>
      <c r="QZK29" t="s">
        <v>836</v>
      </c>
      <c r="QZL29" t="s">
        <v>836</v>
      </c>
      <c r="QZM29" t="s">
        <v>836</v>
      </c>
      <c r="QZN29" t="s">
        <v>836</v>
      </c>
      <c r="QZO29" t="s">
        <v>836</v>
      </c>
      <c r="QZP29" t="s">
        <v>836</v>
      </c>
      <c r="QZQ29" t="s">
        <v>836</v>
      </c>
      <c r="QZR29" t="s">
        <v>836</v>
      </c>
      <c r="QZS29" t="s">
        <v>836</v>
      </c>
      <c r="QZT29" t="s">
        <v>836</v>
      </c>
      <c r="QZU29" t="s">
        <v>836</v>
      </c>
      <c r="QZV29" t="s">
        <v>836</v>
      </c>
      <c r="QZW29" t="s">
        <v>836</v>
      </c>
      <c r="QZX29" t="s">
        <v>836</v>
      </c>
      <c r="QZY29" t="s">
        <v>836</v>
      </c>
      <c r="QZZ29" t="s">
        <v>836</v>
      </c>
      <c r="RAA29" t="s">
        <v>836</v>
      </c>
      <c r="RAB29" t="s">
        <v>836</v>
      </c>
      <c r="RAC29" t="s">
        <v>836</v>
      </c>
      <c r="RAD29" t="s">
        <v>836</v>
      </c>
      <c r="RAE29" t="s">
        <v>836</v>
      </c>
      <c r="RAF29" t="s">
        <v>836</v>
      </c>
      <c r="RAG29" t="s">
        <v>836</v>
      </c>
      <c r="RAH29" t="s">
        <v>836</v>
      </c>
      <c r="RAI29" t="s">
        <v>836</v>
      </c>
      <c r="RAJ29" t="s">
        <v>836</v>
      </c>
      <c r="RAK29" t="s">
        <v>836</v>
      </c>
      <c r="RAL29" t="s">
        <v>836</v>
      </c>
      <c r="RAM29" t="s">
        <v>836</v>
      </c>
      <c r="RAN29" t="s">
        <v>836</v>
      </c>
      <c r="RAO29" t="s">
        <v>836</v>
      </c>
      <c r="RAP29" t="s">
        <v>836</v>
      </c>
      <c r="RAQ29" t="s">
        <v>836</v>
      </c>
      <c r="RAR29" t="s">
        <v>836</v>
      </c>
      <c r="RAS29" t="s">
        <v>836</v>
      </c>
      <c r="RAT29" t="s">
        <v>836</v>
      </c>
      <c r="RAU29" t="s">
        <v>836</v>
      </c>
      <c r="RAV29" t="s">
        <v>836</v>
      </c>
      <c r="RAW29" t="s">
        <v>836</v>
      </c>
      <c r="RAX29" t="s">
        <v>836</v>
      </c>
      <c r="RAY29" t="s">
        <v>836</v>
      </c>
      <c r="RAZ29" t="s">
        <v>836</v>
      </c>
      <c r="RBA29" t="s">
        <v>836</v>
      </c>
      <c r="RBB29" t="s">
        <v>836</v>
      </c>
      <c r="RBC29" t="s">
        <v>836</v>
      </c>
      <c r="RBD29" t="s">
        <v>836</v>
      </c>
      <c r="RBE29" t="s">
        <v>836</v>
      </c>
      <c r="RBF29" t="s">
        <v>836</v>
      </c>
      <c r="RBG29" t="s">
        <v>836</v>
      </c>
      <c r="RBH29" t="s">
        <v>836</v>
      </c>
      <c r="RBI29" t="s">
        <v>836</v>
      </c>
      <c r="RBJ29" t="s">
        <v>836</v>
      </c>
      <c r="RBK29" t="s">
        <v>836</v>
      </c>
      <c r="RBL29" t="s">
        <v>836</v>
      </c>
      <c r="RBM29" t="s">
        <v>836</v>
      </c>
      <c r="RBN29" t="s">
        <v>836</v>
      </c>
      <c r="RBO29" t="s">
        <v>836</v>
      </c>
      <c r="RBP29" t="s">
        <v>836</v>
      </c>
      <c r="RBQ29" t="s">
        <v>836</v>
      </c>
      <c r="RBR29" t="s">
        <v>836</v>
      </c>
      <c r="RBS29" t="s">
        <v>836</v>
      </c>
      <c r="RBT29" t="s">
        <v>836</v>
      </c>
      <c r="RBU29" t="s">
        <v>836</v>
      </c>
      <c r="RBV29" t="s">
        <v>836</v>
      </c>
      <c r="RBW29" t="s">
        <v>836</v>
      </c>
      <c r="RBX29" t="s">
        <v>836</v>
      </c>
      <c r="RBY29" t="s">
        <v>836</v>
      </c>
      <c r="RBZ29" t="s">
        <v>836</v>
      </c>
      <c r="RCA29" t="s">
        <v>836</v>
      </c>
      <c r="RCB29" t="s">
        <v>836</v>
      </c>
      <c r="RCC29" t="s">
        <v>836</v>
      </c>
      <c r="RCD29" t="s">
        <v>836</v>
      </c>
      <c r="RCE29" t="s">
        <v>836</v>
      </c>
      <c r="RCF29" t="s">
        <v>836</v>
      </c>
      <c r="RCG29" t="s">
        <v>836</v>
      </c>
      <c r="RCH29" t="s">
        <v>836</v>
      </c>
      <c r="RCI29" t="s">
        <v>836</v>
      </c>
      <c r="RCJ29" t="s">
        <v>836</v>
      </c>
      <c r="RCK29" t="s">
        <v>836</v>
      </c>
      <c r="RCL29" t="s">
        <v>836</v>
      </c>
      <c r="RCM29" t="s">
        <v>836</v>
      </c>
      <c r="RCN29" t="s">
        <v>836</v>
      </c>
      <c r="RCO29" t="s">
        <v>836</v>
      </c>
      <c r="RCP29" t="s">
        <v>836</v>
      </c>
      <c r="RCQ29" t="s">
        <v>836</v>
      </c>
      <c r="RCR29" t="s">
        <v>836</v>
      </c>
      <c r="RCS29" t="s">
        <v>836</v>
      </c>
      <c r="RCT29" t="s">
        <v>836</v>
      </c>
      <c r="RCU29" t="s">
        <v>836</v>
      </c>
      <c r="RCV29" t="s">
        <v>836</v>
      </c>
      <c r="RCW29" t="s">
        <v>836</v>
      </c>
      <c r="RCX29" t="s">
        <v>836</v>
      </c>
      <c r="RCY29" t="s">
        <v>836</v>
      </c>
      <c r="RCZ29" t="s">
        <v>836</v>
      </c>
      <c r="RDA29" t="s">
        <v>836</v>
      </c>
      <c r="RDB29" t="s">
        <v>836</v>
      </c>
      <c r="RDC29" t="s">
        <v>836</v>
      </c>
      <c r="RDD29" t="s">
        <v>836</v>
      </c>
      <c r="RDE29" t="s">
        <v>836</v>
      </c>
      <c r="RDF29" t="s">
        <v>836</v>
      </c>
      <c r="RDG29" t="s">
        <v>836</v>
      </c>
      <c r="RDH29" t="s">
        <v>836</v>
      </c>
      <c r="RDI29" t="s">
        <v>836</v>
      </c>
      <c r="RDJ29" t="s">
        <v>836</v>
      </c>
      <c r="RDK29" t="s">
        <v>836</v>
      </c>
      <c r="RDL29" t="s">
        <v>836</v>
      </c>
      <c r="RDM29" t="s">
        <v>836</v>
      </c>
      <c r="RDN29" t="s">
        <v>836</v>
      </c>
      <c r="RDO29" t="s">
        <v>836</v>
      </c>
      <c r="RDP29" t="s">
        <v>836</v>
      </c>
      <c r="RDQ29" t="s">
        <v>836</v>
      </c>
      <c r="RDR29" t="s">
        <v>836</v>
      </c>
      <c r="RDS29" t="s">
        <v>836</v>
      </c>
      <c r="RDT29" t="s">
        <v>836</v>
      </c>
      <c r="RDU29" t="s">
        <v>836</v>
      </c>
      <c r="RDV29" t="s">
        <v>836</v>
      </c>
      <c r="RDW29" t="s">
        <v>836</v>
      </c>
      <c r="RDX29" t="s">
        <v>836</v>
      </c>
      <c r="RDY29" t="s">
        <v>836</v>
      </c>
      <c r="RDZ29" t="s">
        <v>836</v>
      </c>
      <c r="REA29" t="s">
        <v>836</v>
      </c>
      <c r="REB29" t="s">
        <v>836</v>
      </c>
      <c r="REC29" t="s">
        <v>836</v>
      </c>
      <c r="RED29" t="s">
        <v>836</v>
      </c>
      <c r="REE29" t="s">
        <v>836</v>
      </c>
      <c r="REF29" t="s">
        <v>836</v>
      </c>
      <c r="REG29" t="s">
        <v>836</v>
      </c>
      <c r="REH29" t="s">
        <v>836</v>
      </c>
      <c r="REI29" t="s">
        <v>836</v>
      </c>
      <c r="REJ29" t="s">
        <v>836</v>
      </c>
      <c r="REK29" t="s">
        <v>836</v>
      </c>
      <c r="REL29" t="s">
        <v>836</v>
      </c>
      <c r="REM29" t="s">
        <v>836</v>
      </c>
      <c r="REN29" t="s">
        <v>836</v>
      </c>
      <c r="REO29" t="s">
        <v>836</v>
      </c>
      <c r="REP29" t="s">
        <v>836</v>
      </c>
      <c r="REQ29" t="s">
        <v>836</v>
      </c>
      <c r="RER29" t="s">
        <v>836</v>
      </c>
      <c r="RES29" t="s">
        <v>836</v>
      </c>
      <c r="RET29" t="s">
        <v>836</v>
      </c>
      <c r="REU29" t="s">
        <v>836</v>
      </c>
      <c r="REV29" t="s">
        <v>836</v>
      </c>
      <c r="REW29" t="s">
        <v>836</v>
      </c>
      <c r="REX29" t="s">
        <v>836</v>
      </c>
      <c r="REY29" t="s">
        <v>836</v>
      </c>
      <c r="REZ29" t="s">
        <v>836</v>
      </c>
      <c r="RFA29" t="s">
        <v>836</v>
      </c>
      <c r="RFB29" t="s">
        <v>836</v>
      </c>
      <c r="RFC29" t="s">
        <v>836</v>
      </c>
      <c r="RFD29" t="s">
        <v>836</v>
      </c>
      <c r="RFE29" t="s">
        <v>836</v>
      </c>
      <c r="RFF29" t="s">
        <v>836</v>
      </c>
      <c r="RFG29" t="s">
        <v>836</v>
      </c>
      <c r="RFH29" t="s">
        <v>836</v>
      </c>
      <c r="RFI29" t="s">
        <v>836</v>
      </c>
      <c r="RFJ29" t="s">
        <v>836</v>
      </c>
      <c r="RFK29" t="s">
        <v>836</v>
      </c>
      <c r="RFL29" t="s">
        <v>836</v>
      </c>
      <c r="RFM29" t="s">
        <v>836</v>
      </c>
      <c r="RFN29" t="s">
        <v>836</v>
      </c>
      <c r="RFO29" t="s">
        <v>836</v>
      </c>
      <c r="RFP29" t="s">
        <v>836</v>
      </c>
      <c r="RFQ29" t="s">
        <v>836</v>
      </c>
      <c r="RFR29" t="s">
        <v>836</v>
      </c>
      <c r="RFS29" t="s">
        <v>836</v>
      </c>
      <c r="RFT29" t="s">
        <v>836</v>
      </c>
      <c r="RFU29" t="s">
        <v>836</v>
      </c>
      <c r="RFV29" t="s">
        <v>836</v>
      </c>
      <c r="RFW29" t="s">
        <v>836</v>
      </c>
      <c r="RFX29" t="s">
        <v>836</v>
      </c>
      <c r="RFY29" t="s">
        <v>836</v>
      </c>
      <c r="RFZ29" t="s">
        <v>836</v>
      </c>
      <c r="RGA29" t="s">
        <v>836</v>
      </c>
      <c r="RGB29" t="s">
        <v>836</v>
      </c>
      <c r="RGC29" t="s">
        <v>836</v>
      </c>
      <c r="RGD29" t="s">
        <v>836</v>
      </c>
      <c r="RGE29" t="s">
        <v>836</v>
      </c>
      <c r="RGF29" t="s">
        <v>836</v>
      </c>
      <c r="RGG29" t="s">
        <v>836</v>
      </c>
      <c r="RGH29" t="s">
        <v>836</v>
      </c>
      <c r="RGI29" t="s">
        <v>836</v>
      </c>
      <c r="RGJ29" t="s">
        <v>836</v>
      </c>
      <c r="RGK29" t="s">
        <v>836</v>
      </c>
      <c r="RGL29" t="s">
        <v>836</v>
      </c>
      <c r="RGM29" t="s">
        <v>836</v>
      </c>
      <c r="RGN29" t="s">
        <v>836</v>
      </c>
      <c r="RGO29" t="s">
        <v>836</v>
      </c>
      <c r="RGP29" t="s">
        <v>836</v>
      </c>
      <c r="RGQ29" t="s">
        <v>836</v>
      </c>
      <c r="RGR29" t="s">
        <v>836</v>
      </c>
      <c r="RGS29" t="s">
        <v>836</v>
      </c>
      <c r="RGT29" t="s">
        <v>836</v>
      </c>
      <c r="RGU29" t="s">
        <v>836</v>
      </c>
      <c r="RGV29" t="s">
        <v>836</v>
      </c>
      <c r="RGW29" t="s">
        <v>836</v>
      </c>
      <c r="RGX29" t="s">
        <v>836</v>
      </c>
      <c r="RGY29" t="s">
        <v>836</v>
      </c>
      <c r="RGZ29" t="s">
        <v>836</v>
      </c>
      <c r="RHA29" t="s">
        <v>836</v>
      </c>
      <c r="RHB29" t="s">
        <v>836</v>
      </c>
      <c r="RHC29" t="s">
        <v>836</v>
      </c>
      <c r="RHD29" t="s">
        <v>836</v>
      </c>
      <c r="RHE29" t="s">
        <v>836</v>
      </c>
      <c r="RHF29" t="s">
        <v>836</v>
      </c>
      <c r="RHG29" t="s">
        <v>836</v>
      </c>
      <c r="RHH29" t="s">
        <v>836</v>
      </c>
      <c r="RHI29" t="s">
        <v>836</v>
      </c>
      <c r="RHJ29" t="s">
        <v>836</v>
      </c>
      <c r="RHK29" t="s">
        <v>836</v>
      </c>
      <c r="RHL29" t="s">
        <v>836</v>
      </c>
      <c r="RHM29" t="s">
        <v>836</v>
      </c>
      <c r="RHN29" t="s">
        <v>836</v>
      </c>
      <c r="RHO29" t="s">
        <v>836</v>
      </c>
      <c r="RHP29" t="s">
        <v>836</v>
      </c>
      <c r="RHQ29" t="s">
        <v>836</v>
      </c>
      <c r="RHR29" t="s">
        <v>836</v>
      </c>
      <c r="RHS29" t="s">
        <v>836</v>
      </c>
      <c r="RHT29" t="s">
        <v>836</v>
      </c>
      <c r="RHU29" t="s">
        <v>836</v>
      </c>
      <c r="RHV29" t="s">
        <v>836</v>
      </c>
      <c r="RHW29" t="s">
        <v>836</v>
      </c>
      <c r="RHX29" t="s">
        <v>836</v>
      </c>
      <c r="RHY29" t="s">
        <v>836</v>
      </c>
      <c r="RHZ29" t="s">
        <v>836</v>
      </c>
      <c r="RIA29" t="s">
        <v>836</v>
      </c>
      <c r="RIB29" t="s">
        <v>836</v>
      </c>
      <c r="RIC29" t="s">
        <v>836</v>
      </c>
      <c r="RID29" t="s">
        <v>836</v>
      </c>
      <c r="RIE29" t="s">
        <v>836</v>
      </c>
      <c r="RIF29" t="s">
        <v>836</v>
      </c>
      <c r="RIG29" t="s">
        <v>836</v>
      </c>
      <c r="RIH29" t="s">
        <v>836</v>
      </c>
      <c r="RII29" t="s">
        <v>836</v>
      </c>
      <c r="RIJ29" t="s">
        <v>836</v>
      </c>
      <c r="RIK29" t="s">
        <v>836</v>
      </c>
      <c r="RIL29" t="s">
        <v>836</v>
      </c>
      <c r="RIM29" t="s">
        <v>836</v>
      </c>
      <c r="RIN29" t="s">
        <v>836</v>
      </c>
      <c r="RIO29" t="s">
        <v>836</v>
      </c>
      <c r="RIP29" t="s">
        <v>836</v>
      </c>
      <c r="RIQ29" t="s">
        <v>836</v>
      </c>
      <c r="RIR29" t="s">
        <v>836</v>
      </c>
      <c r="RIS29" t="s">
        <v>836</v>
      </c>
      <c r="RIT29" t="s">
        <v>836</v>
      </c>
      <c r="RIU29" t="s">
        <v>836</v>
      </c>
      <c r="RIV29" t="s">
        <v>836</v>
      </c>
      <c r="RIW29" t="s">
        <v>836</v>
      </c>
      <c r="RIX29" t="s">
        <v>836</v>
      </c>
      <c r="RIY29" t="s">
        <v>836</v>
      </c>
      <c r="RIZ29" t="s">
        <v>836</v>
      </c>
      <c r="RJA29" t="s">
        <v>836</v>
      </c>
      <c r="RJB29" t="s">
        <v>836</v>
      </c>
      <c r="RJC29" t="s">
        <v>836</v>
      </c>
      <c r="RJD29" t="s">
        <v>836</v>
      </c>
      <c r="RJE29" t="s">
        <v>836</v>
      </c>
      <c r="RJF29" t="s">
        <v>836</v>
      </c>
      <c r="RJG29" t="s">
        <v>836</v>
      </c>
      <c r="RJH29" t="s">
        <v>836</v>
      </c>
      <c r="RJI29" t="s">
        <v>836</v>
      </c>
      <c r="RJJ29" t="s">
        <v>836</v>
      </c>
      <c r="RJK29" t="s">
        <v>836</v>
      </c>
      <c r="RJL29" t="s">
        <v>836</v>
      </c>
      <c r="RJM29" t="s">
        <v>836</v>
      </c>
      <c r="RJN29" t="s">
        <v>836</v>
      </c>
      <c r="RJO29" t="s">
        <v>836</v>
      </c>
      <c r="RJP29" t="s">
        <v>836</v>
      </c>
      <c r="RJQ29" t="s">
        <v>836</v>
      </c>
      <c r="RJR29" t="s">
        <v>836</v>
      </c>
      <c r="RJS29" t="s">
        <v>836</v>
      </c>
      <c r="RJT29" t="s">
        <v>836</v>
      </c>
      <c r="RJU29" t="s">
        <v>836</v>
      </c>
      <c r="RJV29" t="s">
        <v>836</v>
      </c>
      <c r="RJW29" t="s">
        <v>836</v>
      </c>
      <c r="RJX29" t="s">
        <v>836</v>
      </c>
      <c r="RJY29" t="s">
        <v>836</v>
      </c>
      <c r="RJZ29" t="s">
        <v>836</v>
      </c>
      <c r="RKA29" t="s">
        <v>836</v>
      </c>
      <c r="RKB29" t="s">
        <v>836</v>
      </c>
      <c r="RKC29" t="s">
        <v>836</v>
      </c>
      <c r="RKD29" t="s">
        <v>836</v>
      </c>
      <c r="RKE29" t="s">
        <v>836</v>
      </c>
      <c r="RKF29" t="s">
        <v>836</v>
      </c>
      <c r="RKG29" t="s">
        <v>836</v>
      </c>
      <c r="RKH29" t="s">
        <v>836</v>
      </c>
      <c r="RKI29" t="s">
        <v>836</v>
      </c>
      <c r="RKJ29" t="s">
        <v>836</v>
      </c>
      <c r="RKK29" t="s">
        <v>836</v>
      </c>
      <c r="RKL29" t="s">
        <v>836</v>
      </c>
      <c r="RKM29" t="s">
        <v>836</v>
      </c>
      <c r="RKN29" t="s">
        <v>836</v>
      </c>
      <c r="RKO29" t="s">
        <v>836</v>
      </c>
      <c r="RKP29" t="s">
        <v>836</v>
      </c>
      <c r="RKQ29" t="s">
        <v>836</v>
      </c>
      <c r="RKR29" t="s">
        <v>836</v>
      </c>
      <c r="RKS29" t="s">
        <v>836</v>
      </c>
      <c r="RKT29" t="s">
        <v>836</v>
      </c>
      <c r="RKU29" t="s">
        <v>836</v>
      </c>
      <c r="RKV29" t="s">
        <v>836</v>
      </c>
      <c r="RKW29" t="s">
        <v>836</v>
      </c>
      <c r="RKX29" t="s">
        <v>836</v>
      </c>
      <c r="RKY29" t="s">
        <v>836</v>
      </c>
      <c r="RKZ29" t="s">
        <v>836</v>
      </c>
      <c r="RLA29" t="s">
        <v>836</v>
      </c>
      <c r="RLB29" t="s">
        <v>836</v>
      </c>
      <c r="RLC29" t="s">
        <v>836</v>
      </c>
      <c r="RLD29" t="s">
        <v>836</v>
      </c>
      <c r="RLE29" t="s">
        <v>836</v>
      </c>
      <c r="RLF29" t="s">
        <v>836</v>
      </c>
      <c r="RLG29" t="s">
        <v>836</v>
      </c>
      <c r="RLH29" t="s">
        <v>836</v>
      </c>
      <c r="RLI29" t="s">
        <v>836</v>
      </c>
      <c r="RLJ29" t="s">
        <v>836</v>
      </c>
      <c r="RLK29" t="s">
        <v>836</v>
      </c>
      <c r="RLL29" t="s">
        <v>836</v>
      </c>
      <c r="RLM29" t="s">
        <v>836</v>
      </c>
      <c r="RLN29" t="s">
        <v>836</v>
      </c>
      <c r="RLO29" t="s">
        <v>836</v>
      </c>
      <c r="RLP29" t="s">
        <v>836</v>
      </c>
      <c r="RLQ29" t="s">
        <v>836</v>
      </c>
      <c r="RLR29" t="s">
        <v>836</v>
      </c>
      <c r="RLS29" t="s">
        <v>836</v>
      </c>
      <c r="RLT29" t="s">
        <v>836</v>
      </c>
      <c r="RLU29" t="s">
        <v>836</v>
      </c>
      <c r="RLV29" t="s">
        <v>836</v>
      </c>
      <c r="RLW29" t="s">
        <v>836</v>
      </c>
      <c r="RLX29" t="s">
        <v>836</v>
      </c>
      <c r="RLY29" t="s">
        <v>836</v>
      </c>
      <c r="RLZ29" t="s">
        <v>836</v>
      </c>
      <c r="RMA29" t="s">
        <v>836</v>
      </c>
      <c r="RMB29" t="s">
        <v>836</v>
      </c>
      <c r="RMC29" t="s">
        <v>836</v>
      </c>
      <c r="RMD29" t="s">
        <v>836</v>
      </c>
      <c r="RME29" t="s">
        <v>836</v>
      </c>
      <c r="RMF29" t="s">
        <v>836</v>
      </c>
      <c r="RMG29" t="s">
        <v>836</v>
      </c>
      <c r="RMH29" t="s">
        <v>836</v>
      </c>
      <c r="RMI29" t="s">
        <v>836</v>
      </c>
      <c r="RMJ29" t="s">
        <v>836</v>
      </c>
      <c r="RMK29" t="s">
        <v>836</v>
      </c>
      <c r="RML29" t="s">
        <v>836</v>
      </c>
      <c r="RMM29" t="s">
        <v>836</v>
      </c>
      <c r="RMN29" t="s">
        <v>836</v>
      </c>
      <c r="RMO29" t="s">
        <v>836</v>
      </c>
      <c r="RMP29" t="s">
        <v>836</v>
      </c>
      <c r="RMQ29" t="s">
        <v>836</v>
      </c>
      <c r="RMR29" t="s">
        <v>836</v>
      </c>
      <c r="RMS29" t="s">
        <v>836</v>
      </c>
      <c r="RMT29" t="s">
        <v>836</v>
      </c>
      <c r="RMU29" t="s">
        <v>836</v>
      </c>
      <c r="RMV29" t="s">
        <v>836</v>
      </c>
      <c r="RMW29" t="s">
        <v>836</v>
      </c>
      <c r="RMX29" t="s">
        <v>836</v>
      </c>
      <c r="RMY29" t="s">
        <v>836</v>
      </c>
      <c r="RMZ29" t="s">
        <v>836</v>
      </c>
      <c r="RNA29" t="s">
        <v>836</v>
      </c>
      <c r="RNB29" t="s">
        <v>836</v>
      </c>
      <c r="RNC29" t="s">
        <v>836</v>
      </c>
      <c r="RND29" t="s">
        <v>836</v>
      </c>
      <c r="RNE29" t="s">
        <v>836</v>
      </c>
      <c r="RNF29" t="s">
        <v>836</v>
      </c>
      <c r="RNG29" t="s">
        <v>836</v>
      </c>
      <c r="RNH29" t="s">
        <v>836</v>
      </c>
      <c r="RNI29" t="s">
        <v>836</v>
      </c>
      <c r="RNJ29" t="s">
        <v>836</v>
      </c>
      <c r="RNK29" t="s">
        <v>836</v>
      </c>
      <c r="RNL29" t="s">
        <v>836</v>
      </c>
      <c r="RNM29" t="s">
        <v>836</v>
      </c>
      <c r="RNN29" t="s">
        <v>836</v>
      </c>
      <c r="RNO29" t="s">
        <v>836</v>
      </c>
      <c r="RNP29" t="s">
        <v>836</v>
      </c>
      <c r="RNQ29" t="s">
        <v>836</v>
      </c>
      <c r="RNR29" t="s">
        <v>836</v>
      </c>
      <c r="RNS29" t="s">
        <v>836</v>
      </c>
      <c r="RNT29" t="s">
        <v>836</v>
      </c>
      <c r="RNU29" t="s">
        <v>836</v>
      </c>
      <c r="RNV29" t="s">
        <v>836</v>
      </c>
      <c r="RNW29" t="s">
        <v>836</v>
      </c>
      <c r="RNX29" t="s">
        <v>836</v>
      </c>
      <c r="RNY29" t="s">
        <v>836</v>
      </c>
      <c r="RNZ29" t="s">
        <v>836</v>
      </c>
      <c r="ROA29" t="s">
        <v>836</v>
      </c>
      <c r="ROB29" t="s">
        <v>836</v>
      </c>
      <c r="ROC29" t="s">
        <v>836</v>
      </c>
      <c r="ROD29" t="s">
        <v>836</v>
      </c>
      <c r="ROE29" t="s">
        <v>836</v>
      </c>
      <c r="ROF29" t="s">
        <v>836</v>
      </c>
      <c r="ROG29" t="s">
        <v>836</v>
      </c>
      <c r="ROH29" t="s">
        <v>836</v>
      </c>
      <c r="ROI29" t="s">
        <v>836</v>
      </c>
      <c r="ROJ29" t="s">
        <v>836</v>
      </c>
      <c r="ROK29" t="s">
        <v>836</v>
      </c>
      <c r="ROL29" t="s">
        <v>836</v>
      </c>
      <c r="ROM29" t="s">
        <v>836</v>
      </c>
      <c r="RON29" t="s">
        <v>836</v>
      </c>
      <c r="ROO29" t="s">
        <v>836</v>
      </c>
      <c r="ROP29" t="s">
        <v>836</v>
      </c>
      <c r="ROQ29" t="s">
        <v>836</v>
      </c>
      <c r="ROR29" t="s">
        <v>836</v>
      </c>
      <c r="ROS29" t="s">
        <v>836</v>
      </c>
      <c r="ROT29" t="s">
        <v>836</v>
      </c>
      <c r="ROU29" t="s">
        <v>836</v>
      </c>
      <c r="ROV29" t="s">
        <v>836</v>
      </c>
      <c r="ROW29" t="s">
        <v>836</v>
      </c>
      <c r="ROX29" t="s">
        <v>836</v>
      </c>
      <c r="ROY29" t="s">
        <v>836</v>
      </c>
      <c r="ROZ29" t="s">
        <v>836</v>
      </c>
      <c r="RPA29" t="s">
        <v>836</v>
      </c>
      <c r="RPB29" t="s">
        <v>836</v>
      </c>
      <c r="RPC29" t="s">
        <v>836</v>
      </c>
      <c r="RPD29" t="s">
        <v>836</v>
      </c>
      <c r="RPE29" t="s">
        <v>836</v>
      </c>
      <c r="RPF29" t="s">
        <v>836</v>
      </c>
      <c r="RPG29" t="s">
        <v>836</v>
      </c>
      <c r="RPH29" t="s">
        <v>836</v>
      </c>
      <c r="RPI29" t="s">
        <v>836</v>
      </c>
      <c r="RPJ29" t="s">
        <v>836</v>
      </c>
      <c r="RPK29" t="s">
        <v>836</v>
      </c>
      <c r="RPL29" t="s">
        <v>836</v>
      </c>
      <c r="RPM29" t="s">
        <v>836</v>
      </c>
      <c r="RPN29" t="s">
        <v>836</v>
      </c>
      <c r="RPO29" t="s">
        <v>836</v>
      </c>
      <c r="RPP29" t="s">
        <v>836</v>
      </c>
      <c r="RPQ29" t="s">
        <v>836</v>
      </c>
      <c r="RPR29" t="s">
        <v>836</v>
      </c>
      <c r="RPS29" t="s">
        <v>836</v>
      </c>
      <c r="RPT29" t="s">
        <v>836</v>
      </c>
      <c r="RPU29" t="s">
        <v>836</v>
      </c>
      <c r="RPV29" t="s">
        <v>836</v>
      </c>
      <c r="RPW29" t="s">
        <v>836</v>
      </c>
      <c r="RPX29" t="s">
        <v>836</v>
      </c>
      <c r="RPY29" t="s">
        <v>836</v>
      </c>
      <c r="RPZ29" t="s">
        <v>836</v>
      </c>
      <c r="RQA29" t="s">
        <v>836</v>
      </c>
      <c r="RQB29" t="s">
        <v>836</v>
      </c>
      <c r="RQC29" t="s">
        <v>836</v>
      </c>
      <c r="RQD29" t="s">
        <v>836</v>
      </c>
      <c r="RQE29" t="s">
        <v>836</v>
      </c>
      <c r="RQF29" t="s">
        <v>836</v>
      </c>
      <c r="RQG29" t="s">
        <v>836</v>
      </c>
      <c r="RQH29" t="s">
        <v>836</v>
      </c>
      <c r="RQI29" t="s">
        <v>836</v>
      </c>
      <c r="RQJ29" t="s">
        <v>836</v>
      </c>
      <c r="RQK29" t="s">
        <v>836</v>
      </c>
      <c r="RQL29" t="s">
        <v>836</v>
      </c>
      <c r="RQM29" t="s">
        <v>836</v>
      </c>
      <c r="RQN29" t="s">
        <v>836</v>
      </c>
      <c r="RQO29" t="s">
        <v>836</v>
      </c>
      <c r="RQP29" t="s">
        <v>836</v>
      </c>
      <c r="RQQ29" t="s">
        <v>836</v>
      </c>
      <c r="RQR29" t="s">
        <v>836</v>
      </c>
      <c r="RQS29" t="s">
        <v>836</v>
      </c>
      <c r="RQT29" t="s">
        <v>836</v>
      </c>
      <c r="RQU29" t="s">
        <v>836</v>
      </c>
      <c r="RQV29" t="s">
        <v>836</v>
      </c>
      <c r="RQW29" t="s">
        <v>836</v>
      </c>
      <c r="RQX29" t="s">
        <v>836</v>
      </c>
      <c r="RQY29" t="s">
        <v>836</v>
      </c>
      <c r="RQZ29" t="s">
        <v>836</v>
      </c>
      <c r="RRA29" t="s">
        <v>836</v>
      </c>
      <c r="RRB29" t="s">
        <v>836</v>
      </c>
      <c r="RRC29" t="s">
        <v>836</v>
      </c>
      <c r="RRD29" t="s">
        <v>836</v>
      </c>
      <c r="RRE29" t="s">
        <v>836</v>
      </c>
      <c r="RRF29" t="s">
        <v>836</v>
      </c>
      <c r="RRG29" t="s">
        <v>836</v>
      </c>
      <c r="RRH29" t="s">
        <v>836</v>
      </c>
      <c r="RRI29" t="s">
        <v>836</v>
      </c>
      <c r="RRJ29" t="s">
        <v>836</v>
      </c>
      <c r="RRK29" t="s">
        <v>836</v>
      </c>
      <c r="RRL29" t="s">
        <v>836</v>
      </c>
      <c r="RRM29" t="s">
        <v>836</v>
      </c>
      <c r="RRN29" t="s">
        <v>836</v>
      </c>
      <c r="RRO29" t="s">
        <v>836</v>
      </c>
      <c r="RRP29" t="s">
        <v>836</v>
      </c>
      <c r="RRQ29" t="s">
        <v>836</v>
      </c>
      <c r="RRR29" t="s">
        <v>836</v>
      </c>
      <c r="RRS29" t="s">
        <v>836</v>
      </c>
      <c r="RRT29" t="s">
        <v>836</v>
      </c>
      <c r="RRU29" t="s">
        <v>836</v>
      </c>
      <c r="RRV29" t="s">
        <v>836</v>
      </c>
      <c r="RRW29" t="s">
        <v>836</v>
      </c>
      <c r="RRX29" t="s">
        <v>836</v>
      </c>
      <c r="RRY29" t="s">
        <v>836</v>
      </c>
      <c r="RRZ29" t="s">
        <v>836</v>
      </c>
      <c r="RSA29" t="s">
        <v>836</v>
      </c>
      <c r="RSB29" t="s">
        <v>836</v>
      </c>
      <c r="RSC29" t="s">
        <v>836</v>
      </c>
      <c r="RSD29" t="s">
        <v>836</v>
      </c>
      <c r="RSE29" t="s">
        <v>836</v>
      </c>
      <c r="RSF29" t="s">
        <v>836</v>
      </c>
      <c r="RSG29" t="s">
        <v>836</v>
      </c>
      <c r="RSH29" t="s">
        <v>836</v>
      </c>
      <c r="RSI29" t="s">
        <v>836</v>
      </c>
      <c r="RSJ29" t="s">
        <v>836</v>
      </c>
      <c r="RSK29" t="s">
        <v>836</v>
      </c>
      <c r="RSL29" t="s">
        <v>836</v>
      </c>
      <c r="RSM29" t="s">
        <v>836</v>
      </c>
      <c r="RSN29" t="s">
        <v>836</v>
      </c>
      <c r="RSO29" t="s">
        <v>836</v>
      </c>
      <c r="RSP29" t="s">
        <v>836</v>
      </c>
      <c r="RSQ29" t="s">
        <v>836</v>
      </c>
      <c r="RSR29" t="s">
        <v>836</v>
      </c>
      <c r="RSS29" t="s">
        <v>836</v>
      </c>
      <c r="RST29" t="s">
        <v>836</v>
      </c>
      <c r="RSU29" t="s">
        <v>836</v>
      </c>
      <c r="RSV29" t="s">
        <v>836</v>
      </c>
      <c r="RSW29" t="s">
        <v>836</v>
      </c>
      <c r="RSX29" t="s">
        <v>836</v>
      </c>
      <c r="RSY29" t="s">
        <v>836</v>
      </c>
      <c r="RSZ29" t="s">
        <v>836</v>
      </c>
      <c r="RTA29" t="s">
        <v>836</v>
      </c>
      <c r="RTB29" t="s">
        <v>836</v>
      </c>
      <c r="RTC29" t="s">
        <v>836</v>
      </c>
      <c r="RTD29" t="s">
        <v>836</v>
      </c>
      <c r="RTE29" t="s">
        <v>836</v>
      </c>
      <c r="RTF29" t="s">
        <v>836</v>
      </c>
      <c r="RTG29" t="s">
        <v>836</v>
      </c>
      <c r="RTH29" t="s">
        <v>836</v>
      </c>
      <c r="RTI29" t="s">
        <v>836</v>
      </c>
      <c r="RTJ29" t="s">
        <v>836</v>
      </c>
      <c r="RTK29" t="s">
        <v>836</v>
      </c>
      <c r="RTL29" t="s">
        <v>836</v>
      </c>
      <c r="RTM29" t="s">
        <v>836</v>
      </c>
      <c r="RTN29" t="s">
        <v>836</v>
      </c>
      <c r="RTO29" t="s">
        <v>836</v>
      </c>
      <c r="RTP29" t="s">
        <v>836</v>
      </c>
      <c r="RTQ29" t="s">
        <v>836</v>
      </c>
      <c r="RTR29" t="s">
        <v>836</v>
      </c>
      <c r="RTS29" t="s">
        <v>836</v>
      </c>
      <c r="RTT29" t="s">
        <v>836</v>
      </c>
      <c r="RTU29" t="s">
        <v>836</v>
      </c>
      <c r="RTV29" t="s">
        <v>836</v>
      </c>
      <c r="RTW29" t="s">
        <v>836</v>
      </c>
      <c r="RTX29" t="s">
        <v>836</v>
      </c>
      <c r="RTY29" t="s">
        <v>836</v>
      </c>
      <c r="RTZ29" t="s">
        <v>836</v>
      </c>
      <c r="RUA29" t="s">
        <v>836</v>
      </c>
      <c r="RUB29" t="s">
        <v>836</v>
      </c>
      <c r="RUC29" t="s">
        <v>836</v>
      </c>
      <c r="RUD29" t="s">
        <v>836</v>
      </c>
      <c r="RUE29" t="s">
        <v>836</v>
      </c>
      <c r="RUF29" t="s">
        <v>836</v>
      </c>
      <c r="RUG29" t="s">
        <v>836</v>
      </c>
      <c r="RUH29" t="s">
        <v>836</v>
      </c>
      <c r="RUI29" t="s">
        <v>836</v>
      </c>
      <c r="RUJ29" t="s">
        <v>836</v>
      </c>
      <c r="RUK29" t="s">
        <v>836</v>
      </c>
      <c r="RUL29" t="s">
        <v>836</v>
      </c>
      <c r="RUM29" t="s">
        <v>836</v>
      </c>
      <c r="RUN29" t="s">
        <v>836</v>
      </c>
      <c r="RUO29" t="s">
        <v>836</v>
      </c>
      <c r="RUP29" t="s">
        <v>836</v>
      </c>
      <c r="RUQ29" t="s">
        <v>836</v>
      </c>
      <c r="RUR29" t="s">
        <v>836</v>
      </c>
      <c r="RUS29" t="s">
        <v>836</v>
      </c>
      <c r="RUT29" t="s">
        <v>836</v>
      </c>
      <c r="RUU29" t="s">
        <v>836</v>
      </c>
      <c r="RUV29" t="s">
        <v>836</v>
      </c>
      <c r="RUW29" t="s">
        <v>836</v>
      </c>
      <c r="RUX29" t="s">
        <v>836</v>
      </c>
      <c r="RUY29" t="s">
        <v>836</v>
      </c>
      <c r="RUZ29" t="s">
        <v>836</v>
      </c>
      <c r="RVA29" t="s">
        <v>836</v>
      </c>
      <c r="RVB29" t="s">
        <v>836</v>
      </c>
      <c r="RVC29" t="s">
        <v>836</v>
      </c>
      <c r="RVD29" t="s">
        <v>836</v>
      </c>
      <c r="RVE29" t="s">
        <v>836</v>
      </c>
      <c r="RVF29" t="s">
        <v>836</v>
      </c>
      <c r="RVG29" t="s">
        <v>836</v>
      </c>
      <c r="RVH29" t="s">
        <v>836</v>
      </c>
      <c r="RVI29" t="s">
        <v>836</v>
      </c>
      <c r="RVJ29" t="s">
        <v>836</v>
      </c>
      <c r="RVK29" t="s">
        <v>836</v>
      </c>
      <c r="RVL29" t="s">
        <v>836</v>
      </c>
      <c r="RVM29" t="s">
        <v>836</v>
      </c>
      <c r="RVN29" t="s">
        <v>836</v>
      </c>
      <c r="RVO29" t="s">
        <v>836</v>
      </c>
      <c r="RVP29" t="s">
        <v>836</v>
      </c>
      <c r="RVQ29" t="s">
        <v>836</v>
      </c>
      <c r="RVR29" t="s">
        <v>836</v>
      </c>
      <c r="RVS29" t="s">
        <v>836</v>
      </c>
      <c r="RVT29" t="s">
        <v>836</v>
      </c>
      <c r="RVU29" t="s">
        <v>836</v>
      </c>
      <c r="RVV29" t="s">
        <v>836</v>
      </c>
      <c r="RVW29" t="s">
        <v>836</v>
      </c>
      <c r="RVX29" t="s">
        <v>836</v>
      </c>
      <c r="RVY29" t="s">
        <v>836</v>
      </c>
      <c r="RVZ29" t="s">
        <v>836</v>
      </c>
      <c r="RWA29" t="s">
        <v>836</v>
      </c>
      <c r="RWB29" t="s">
        <v>836</v>
      </c>
      <c r="RWC29" t="s">
        <v>836</v>
      </c>
      <c r="RWD29" t="s">
        <v>836</v>
      </c>
      <c r="RWE29" t="s">
        <v>836</v>
      </c>
      <c r="RWF29" t="s">
        <v>836</v>
      </c>
      <c r="RWG29" t="s">
        <v>836</v>
      </c>
      <c r="RWH29" t="s">
        <v>836</v>
      </c>
      <c r="RWI29" t="s">
        <v>836</v>
      </c>
      <c r="RWJ29" t="s">
        <v>836</v>
      </c>
      <c r="RWK29" t="s">
        <v>836</v>
      </c>
      <c r="RWL29" t="s">
        <v>836</v>
      </c>
      <c r="RWM29" t="s">
        <v>836</v>
      </c>
      <c r="RWN29" t="s">
        <v>836</v>
      </c>
      <c r="RWO29" t="s">
        <v>836</v>
      </c>
      <c r="RWP29" t="s">
        <v>836</v>
      </c>
      <c r="RWQ29" t="s">
        <v>836</v>
      </c>
      <c r="RWR29" t="s">
        <v>836</v>
      </c>
      <c r="RWS29" t="s">
        <v>836</v>
      </c>
      <c r="RWT29" t="s">
        <v>836</v>
      </c>
      <c r="RWU29" t="s">
        <v>836</v>
      </c>
      <c r="RWV29" t="s">
        <v>836</v>
      </c>
      <c r="RWW29" t="s">
        <v>836</v>
      </c>
      <c r="RWX29" t="s">
        <v>836</v>
      </c>
      <c r="RWY29" t="s">
        <v>836</v>
      </c>
      <c r="RWZ29" t="s">
        <v>836</v>
      </c>
      <c r="RXA29" t="s">
        <v>836</v>
      </c>
      <c r="RXB29" t="s">
        <v>836</v>
      </c>
      <c r="RXC29" t="s">
        <v>836</v>
      </c>
      <c r="RXD29" t="s">
        <v>836</v>
      </c>
      <c r="RXE29" t="s">
        <v>836</v>
      </c>
      <c r="RXF29" t="s">
        <v>836</v>
      </c>
      <c r="RXG29" t="s">
        <v>836</v>
      </c>
      <c r="RXH29" t="s">
        <v>836</v>
      </c>
      <c r="RXI29" t="s">
        <v>836</v>
      </c>
      <c r="RXJ29" t="s">
        <v>836</v>
      </c>
      <c r="RXK29" t="s">
        <v>836</v>
      </c>
      <c r="RXL29" t="s">
        <v>836</v>
      </c>
      <c r="RXM29" t="s">
        <v>836</v>
      </c>
      <c r="RXN29" t="s">
        <v>836</v>
      </c>
      <c r="RXO29" t="s">
        <v>836</v>
      </c>
      <c r="RXP29" t="s">
        <v>836</v>
      </c>
      <c r="RXQ29" t="s">
        <v>836</v>
      </c>
      <c r="RXR29" t="s">
        <v>836</v>
      </c>
      <c r="RXS29" t="s">
        <v>836</v>
      </c>
      <c r="RXT29" t="s">
        <v>836</v>
      </c>
      <c r="RXU29" t="s">
        <v>836</v>
      </c>
      <c r="RXV29" t="s">
        <v>836</v>
      </c>
      <c r="RXW29" t="s">
        <v>836</v>
      </c>
      <c r="RXX29" t="s">
        <v>836</v>
      </c>
      <c r="RXY29" t="s">
        <v>836</v>
      </c>
      <c r="RXZ29" t="s">
        <v>836</v>
      </c>
      <c r="RYA29" t="s">
        <v>836</v>
      </c>
      <c r="RYB29" t="s">
        <v>836</v>
      </c>
      <c r="RYC29" t="s">
        <v>836</v>
      </c>
      <c r="RYD29" t="s">
        <v>836</v>
      </c>
      <c r="RYE29" t="s">
        <v>836</v>
      </c>
      <c r="RYF29" t="s">
        <v>836</v>
      </c>
      <c r="RYG29" t="s">
        <v>836</v>
      </c>
      <c r="RYH29" t="s">
        <v>836</v>
      </c>
      <c r="RYI29" t="s">
        <v>836</v>
      </c>
      <c r="RYJ29" t="s">
        <v>836</v>
      </c>
      <c r="RYK29" t="s">
        <v>836</v>
      </c>
      <c r="RYL29" t="s">
        <v>836</v>
      </c>
      <c r="RYM29" t="s">
        <v>836</v>
      </c>
      <c r="RYN29" t="s">
        <v>836</v>
      </c>
      <c r="RYO29" t="s">
        <v>836</v>
      </c>
      <c r="RYP29" t="s">
        <v>836</v>
      </c>
      <c r="RYQ29" t="s">
        <v>836</v>
      </c>
      <c r="RYR29" t="s">
        <v>836</v>
      </c>
      <c r="RYS29" t="s">
        <v>836</v>
      </c>
      <c r="RYT29" t="s">
        <v>836</v>
      </c>
      <c r="RYU29" t="s">
        <v>836</v>
      </c>
      <c r="RYV29" t="s">
        <v>836</v>
      </c>
      <c r="RYW29" t="s">
        <v>836</v>
      </c>
      <c r="RYX29" t="s">
        <v>836</v>
      </c>
      <c r="RYY29" t="s">
        <v>836</v>
      </c>
      <c r="RYZ29" t="s">
        <v>836</v>
      </c>
      <c r="RZA29" t="s">
        <v>836</v>
      </c>
      <c r="RZB29" t="s">
        <v>836</v>
      </c>
      <c r="RZC29" t="s">
        <v>836</v>
      </c>
      <c r="RZD29" t="s">
        <v>836</v>
      </c>
      <c r="RZE29" t="s">
        <v>836</v>
      </c>
      <c r="RZF29" t="s">
        <v>836</v>
      </c>
      <c r="RZG29" t="s">
        <v>836</v>
      </c>
      <c r="RZH29" t="s">
        <v>836</v>
      </c>
      <c r="RZI29" t="s">
        <v>836</v>
      </c>
      <c r="RZJ29" t="s">
        <v>836</v>
      </c>
      <c r="RZK29" t="s">
        <v>836</v>
      </c>
      <c r="RZL29" t="s">
        <v>836</v>
      </c>
      <c r="RZM29" t="s">
        <v>836</v>
      </c>
      <c r="RZN29" t="s">
        <v>836</v>
      </c>
      <c r="RZO29" t="s">
        <v>836</v>
      </c>
      <c r="RZP29" t="s">
        <v>836</v>
      </c>
      <c r="RZQ29" t="s">
        <v>836</v>
      </c>
      <c r="RZR29" t="s">
        <v>836</v>
      </c>
      <c r="RZS29" t="s">
        <v>836</v>
      </c>
      <c r="RZT29" t="s">
        <v>836</v>
      </c>
      <c r="RZU29" t="s">
        <v>836</v>
      </c>
      <c r="RZV29" t="s">
        <v>836</v>
      </c>
      <c r="RZW29" t="s">
        <v>836</v>
      </c>
      <c r="RZX29" t="s">
        <v>836</v>
      </c>
      <c r="RZY29" t="s">
        <v>836</v>
      </c>
      <c r="RZZ29" t="s">
        <v>836</v>
      </c>
      <c r="SAA29" t="s">
        <v>836</v>
      </c>
      <c r="SAB29" t="s">
        <v>836</v>
      </c>
      <c r="SAC29" t="s">
        <v>836</v>
      </c>
      <c r="SAD29" t="s">
        <v>836</v>
      </c>
      <c r="SAE29" t="s">
        <v>836</v>
      </c>
      <c r="SAF29" t="s">
        <v>836</v>
      </c>
      <c r="SAG29" t="s">
        <v>836</v>
      </c>
      <c r="SAH29" t="s">
        <v>836</v>
      </c>
      <c r="SAI29" t="s">
        <v>836</v>
      </c>
      <c r="SAJ29" t="s">
        <v>836</v>
      </c>
      <c r="SAK29" t="s">
        <v>836</v>
      </c>
      <c r="SAL29" t="s">
        <v>836</v>
      </c>
      <c r="SAM29" t="s">
        <v>836</v>
      </c>
      <c r="SAN29" t="s">
        <v>836</v>
      </c>
      <c r="SAO29" t="s">
        <v>836</v>
      </c>
      <c r="SAP29" t="s">
        <v>836</v>
      </c>
      <c r="SAQ29" t="s">
        <v>836</v>
      </c>
      <c r="SAR29" t="s">
        <v>836</v>
      </c>
      <c r="SAS29" t="s">
        <v>836</v>
      </c>
      <c r="SAT29" t="s">
        <v>836</v>
      </c>
      <c r="SAU29" t="s">
        <v>836</v>
      </c>
      <c r="SAV29" t="s">
        <v>836</v>
      </c>
      <c r="SAW29" t="s">
        <v>836</v>
      </c>
      <c r="SAX29" t="s">
        <v>836</v>
      </c>
      <c r="SAY29" t="s">
        <v>836</v>
      </c>
      <c r="SAZ29" t="s">
        <v>836</v>
      </c>
      <c r="SBA29" t="s">
        <v>836</v>
      </c>
      <c r="SBB29" t="s">
        <v>836</v>
      </c>
      <c r="SBC29" t="s">
        <v>836</v>
      </c>
      <c r="SBD29" t="s">
        <v>836</v>
      </c>
      <c r="SBE29" t="s">
        <v>836</v>
      </c>
      <c r="SBF29" t="s">
        <v>836</v>
      </c>
      <c r="SBG29" t="s">
        <v>836</v>
      </c>
      <c r="SBH29" t="s">
        <v>836</v>
      </c>
      <c r="SBI29" t="s">
        <v>836</v>
      </c>
      <c r="SBJ29" t="s">
        <v>836</v>
      </c>
      <c r="SBK29" t="s">
        <v>836</v>
      </c>
      <c r="SBL29" t="s">
        <v>836</v>
      </c>
      <c r="SBM29" t="s">
        <v>836</v>
      </c>
      <c r="SBN29" t="s">
        <v>836</v>
      </c>
      <c r="SBO29" t="s">
        <v>836</v>
      </c>
      <c r="SBP29" t="s">
        <v>836</v>
      </c>
      <c r="SBQ29" t="s">
        <v>836</v>
      </c>
      <c r="SBR29" t="s">
        <v>836</v>
      </c>
      <c r="SBS29" t="s">
        <v>836</v>
      </c>
      <c r="SBT29" t="s">
        <v>836</v>
      </c>
      <c r="SBU29" t="s">
        <v>836</v>
      </c>
      <c r="SBV29" t="s">
        <v>836</v>
      </c>
      <c r="SBW29" t="s">
        <v>836</v>
      </c>
      <c r="SBX29" t="s">
        <v>836</v>
      </c>
      <c r="SBY29" t="s">
        <v>836</v>
      </c>
      <c r="SBZ29" t="s">
        <v>836</v>
      </c>
      <c r="SCA29" t="s">
        <v>836</v>
      </c>
      <c r="SCB29" t="s">
        <v>836</v>
      </c>
      <c r="SCC29" t="s">
        <v>836</v>
      </c>
      <c r="SCD29" t="s">
        <v>836</v>
      </c>
      <c r="SCE29" t="s">
        <v>836</v>
      </c>
      <c r="SCF29" t="s">
        <v>836</v>
      </c>
      <c r="SCG29" t="s">
        <v>836</v>
      </c>
      <c r="SCH29" t="s">
        <v>836</v>
      </c>
      <c r="SCI29" t="s">
        <v>836</v>
      </c>
      <c r="SCJ29" t="s">
        <v>836</v>
      </c>
      <c r="SCK29" t="s">
        <v>836</v>
      </c>
      <c r="SCL29" t="s">
        <v>836</v>
      </c>
      <c r="SCM29" t="s">
        <v>836</v>
      </c>
      <c r="SCN29" t="s">
        <v>836</v>
      </c>
      <c r="SCO29" t="s">
        <v>836</v>
      </c>
      <c r="SCP29" t="s">
        <v>836</v>
      </c>
      <c r="SCQ29" t="s">
        <v>836</v>
      </c>
      <c r="SCR29" t="s">
        <v>836</v>
      </c>
      <c r="SCS29" t="s">
        <v>836</v>
      </c>
      <c r="SCT29" t="s">
        <v>836</v>
      </c>
      <c r="SCU29" t="s">
        <v>836</v>
      </c>
      <c r="SCV29" t="s">
        <v>836</v>
      </c>
      <c r="SCW29" t="s">
        <v>836</v>
      </c>
      <c r="SCX29" t="s">
        <v>836</v>
      </c>
      <c r="SCY29" t="s">
        <v>836</v>
      </c>
      <c r="SCZ29" t="s">
        <v>836</v>
      </c>
      <c r="SDA29" t="s">
        <v>836</v>
      </c>
      <c r="SDB29" t="s">
        <v>836</v>
      </c>
      <c r="SDC29" t="s">
        <v>836</v>
      </c>
      <c r="SDD29" t="s">
        <v>836</v>
      </c>
      <c r="SDE29" t="s">
        <v>836</v>
      </c>
      <c r="SDF29" t="s">
        <v>836</v>
      </c>
      <c r="SDG29" t="s">
        <v>836</v>
      </c>
      <c r="SDH29" t="s">
        <v>836</v>
      </c>
      <c r="SDI29" t="s">
        <v>836</v>
      </c>
      <c r="SDJ29" t="s">
        <v>836</v>
      </c>
      <c r="SDK29" t="s">
        <v>836</v>
      </c>
      <c r="SDL29" t="s">
        <v>836</v>
      </c>
      <c r="SDM29" t="s">
        <v>836</v>
      </c>
      <c r="SDN29" t="s">
        <v>836</v>
      </c>
      <c r="SDO29" t="s">
        <v>836</v>
      </c>
      <c r="SDP29" t="s">
        <v>836</v>
      </c>
      <c r="SDQ29" t="s">
        <v>836</v>
      </c>
      <c r="SDR29" t="s">
        <v>836</v>
      </c>
      <c r="SDS29" t="s">
        <v>836</v>
      </c>
      <c r="SDT29" t="s">
        <v>836</v>
      </c>
      <c r="SDU29" t="s">
        <v>836</v>
      </c>
      <c r="SDV29" t="s">
        <v>836</v>
      </c>
      <c r="SDW29" t="s">
        <v>836</v>
      </c>
      <c r="SDX29" t="s">
        <v>836</v>
      </c>
      <c r="SDY29" t="s">
        <v>836</v>
      </c>
      <c r="SDZ29" t="s">
        <v>836</v>
      </c>
      <c r="SEA29" t="s">
        <v>836</v>
      </c>
      <c r="SEB29" t="s">
        <v>836</v>
      </c>
      <c r="SEC29" t="s">
        <v>836</v>
      </c>
      <c r="SED29" t="s">
        <v>836</v>
      </c>
      <c r="SEE29" t="s">
        <v>836</v>
      </c>
      <c r="SEF29" t="s">
        <v>836</v>
      </c>
      <c r="SEG29" t="s">
        <v>836</v>
      </c>
      <c r="SEH29" t="s">
        <v>836</v>
      </c>
      <c r="SEI29" t="s">
        <v>836</v>
      </c>
      <c r="SEJ29" t="s">
        <v>836</v>
      </c>
      <c r="SEK29" t="s">
        <v>836</v>
      </c>
      <c r="SEL29" t="s">
        <v>836</v>
      </c>
      <c r="SEM29" t="s">
        <v>836</v>
      </c>
      <c r="SEN29" t="s">
        <v>836</v>
      </c>
      <c r="SEO29" t="s">
        <v>836</v>
      </c>
      <c r="SEP29" t="s">
        <v>836</v>
      </c>
      <c r="SEQ29" t="s">
        <v>836</v>
      </c>
      <c r="SER29" t="s">
        <v>836</v>
      </c>
      <c r="SES29" t="s">
        <v>836</v>
      </c>
      <c r="SET29" t="s">
        <v>836</v>
      </c>
      <c r="SEU29" t="s">
        <v>836</v>
      </c>
      <c r="SEV29" t="s">
        <v>836</v>
      </c>
      <c r="SEW29" t="s">
        <v>836</v>
      </c>
      <c r="SEX29" t="s">
        <v>836</v>
      </c>
      <c r="SEY29" t="s">
        <v>836</v>
      </c>
      <c r="SEZ29" t="s">
        <v>836</v>
      </c>
      <c r="SFA29" t="s">
        <v>836</v>
      </c>
      <c r="SFB29" t="s">
        <v>836</v>
      </c>
      <c r="SFC29" t="s">
        <v>836</v>
      </c>
      <c r="SFD29" t="s">
        <v>836</v>
      </c>
      <c r="SFE29" t="s">
        <v>836</v>
      </c>
      <c r="SFF29" t="s">
        <v>836</v>
      </c>
      <c r="SFG29" t="s">
        <v>836</v>
      </c>
      <c r="SFH29" t="s">
        <v>836</v>
      </c>
      <c r="SFI29" t="s">
        <v>836</v>
      </c>
      <c r="SFJ29" t="s">
        <v>836</v>
      </c>
      <c r="SFK29" t="s">
        <v>836</v>
      </c>
      <c r="SFL29" t="s">
        <v>836</v>
      </c>
      <c r="SFM29" t="s">
        <v>836</v>
      </c>
      <c r="SFN29" t="s">
        <v>836</v>
      </c>
      <c r="SFO29" t="s">
        <v>836</v>
      </c>
      <c r="SFP29" t="s">
        <v>836</v>
      </c>
      <c r="SFQ29" t="s">
        <v>836</v>
      </c>
      <c r="SFR29" t="s">
        <v>836</v>
      </c>
      <c r="SFS29" t="s">
        <v>836</v>
      </c>
      <c r="SFT29" t="s">
        <v>836</v>
      </c>
      <c r="SFU29" t="s">
        <v>836</v>
      </c>
      <c r="SFV29" t="s">
        <v>836</v>
      </c>
      <c r="SFW29" t="s">
        <v>836</v>
      </c>
      <c r="SFX29" t="s">
        <v>836</v>
      </c>
      <c r="SFY29" t="s">
        <v>836</v>
      </c>
      <c r="SFZ29" t="s">
        <v>836</v>
      </c>
      <c r="SGA29" t="s">
        <v>836</v>
      </c>
      <c r="SGB29" t="s">
        <v>836</v>
      </c>
      <c r="SGC29" t="s">
        <v>836</v>
      </c>
      <c r="SGD29" t="s">
        <v>836</v>
      </c>
      <c r="SGE29" t="s">
        <v>836</v>
      </c>
      <c r="SGF29" t="s">
        <v>836</v>
      </c>
      <c r="SGG29" t="s">
        <v>836</v>
      </c>
      <c r="SGH29" t="s">
        <v>836</v>
      </c>
      <c r="SGI29" t="s">
        <v>836</v>
      </c>
      <c r="SGJ29" t="s">
        <v>836</v>
      </c>
      <c r="SGK29" t="s">
        <v>836</v>
      </c>
      <c r="SGL29" t="s">
        <v>836</v>
      </c>
      <c r="SGM29" t="s">
        <v>836</v>
      </c>
      <c r="SGN29" t="s">
        <v>836</v>
      </c>
      <c r="SGO29" t="s">
        <v>836</v>
      </c>
      <c r="SGP29" t="s">
        <v>836</v>
      </c>
      <c r="SGQ29" t="s">
        <v>836</v>
      </c>
      <c r="SGR29" t="s">
        <v>836</v>
      </c>
      <c r="SGS29" t="s">
        <v>836</v>
      </c>
      <c r="SGT29" t="s">
        <v>836</v>
      </c>
      <c r="SGU29" t="s">
        <v>836</v>
      </c>
      <c r="SGV29" t="s">
        <v>836</v>
      </c>
      <c r="SGW29" t="s">
        <v>836</v>
      </c>
      <c r="SGX29" t="s">
        <v>836</v>
      </c>
      <c r="SGY29" t="s">
        <v>836</v>
      </c>
      <c r="SGZ29" t="s">
        <v>836</v>
      </c>
      <c r="SHA29" t="s">
        <v>836</v>
      </c>
      <c r="SHB29" t="s">
        <v>836</v>
      </c>
      <c r="SHC29" t="s">
        <v>836</v>
      </c>
      <c r="SHD29" t="s">
        <v>836</v>
      </c>
      <c r="SHE29" t="s">
        <v>836</v>
      </c>
      <c r="SHF29" t="s">
        <v>836</v>
      </c>
      <c r="SHG29" t="s">
        <v>836</v>
      </c>
      <c r="SHH29" t="s">
        <v>836</v>
      </c>
      <c r="SHI29" t="s">
        <v>836</v>
      </c>
      <c r="SHJ29" t="s">
        <v>836</v>
      </c>
      <c r="SHK29" t="s">
        <v>836</v>
      </c>
      <c r="SHL29" t="s">
        <v>836</v>
      </c>
      <c r="SHM29" t="s">
        <v>836</v>
      </c>
      <c r="SHN29" t="s">
        <v>836</v>
      </c>
      <c r="SHO29" t="s">
        <v>836</v>
      </c>
      <c r="SHP29" t="s">
        <v>836</v>
      </c>
      <c r="SHQ29" t="s">
        <v>836</v>
      </c>
      <c r="SHR29" t="s">
        <v>836</v>
      </c>
      <c r="SHS29" t="s">
        <v>836</v>
      </c>
      <c r="SHT29" t="s">
        <v>836</v>
      </c>
      <c r="SHU29" t="s">
        <v>836</v>
      </c>
      <c r="SHV29" t="s">
        <v>836</v>
      </c>
      <c r="SHW29" t="s">
        <v>836</v>
      </c>
      <c r="SHX29" t="s">
        <v>836</v>
      </c>
      <c r="SHY29" t="s">
        <v>836</v>
      </c>
      <c r="SHZ29" t="s">
        <v>836</v>
      </c>
      <c r="SIA29" t="s">
        <v>836</v>
      </c>
      <c r="SIB29" t="s">
        <v>836</v>
      </c>
      <c r="SIC29" t="s">
        <v>836</v>
      </c>
      <c r="SID29" t="s">
        <v>836</v>
      </c>
      <c r="SIE29" t="s">
        <v>836</v>
      </c>
      <c r="SIF29" t="s">
        <v>836</v>
      </c>
      <c r="SIG29" t="s">
        <v>836</v>
      </c>
      <c r="SIH29" t="s">
        <v>836</v>
      </c>
      <c r="SII29" t="s">
        <v>836</v>
      </c>
      <c r="SIJ29" t="s">
        <v>836</v>
      </c>
      <c r="SIK29" t="s">
        <v>836</v>
      </c>
      <c r="SIL29" t="s">
        <v>836</v>
      </c>
      <c r="SIM29" t="s">
        <v>836</v>
      </c>
      <c r="SIN29" t="s">
        <v>836</v>
      </c>
      <c r="SIO29" t="s">
        <v>836</v>
      </c>
      <c r="SIP29" t="s">
        <v>836</v>
      </c>
      <c r="SIQ29" t="s">
        <v>836</v>
      </c>
      <c r="SIR29" t="s">
        <v>836</v>
      </c>
      <c r="SIS29" t="s">
        <v>836</v>
      </c>
      <c r="SIT29" t="s">
        <v>836</v>
      </c>
      <c r="SIU29" t="s">
        <v>836</v>
      </c>
      <c r="SIV29" t="s">
        <v>836</v>
      </c>
      <c r="SIW29" t="s">
        <v>836</v>
      </c>
      <c r="SIX29" t="s">
        <v>836</v>
      </c>
      <c r="SIY29" t="s">
        <v>836</v>
      </c>
      <c r="SIZ29" t="s">
        <v>836</v>
      </c>
      <c r="SJA29" t="s">
        <v>836</v>
      </c>
      <c r="SJB29" t="s">
        <v>836</v>
      </c>
      <c r="SJC29" t="s">
        <v>836</v>
      </c>
      <c r="SJD29" t="s">
        <v>836</v>
      </c>
      <c r="SJE29" t="s">
        <v>836</v>
      </c>
      <c r="SJF29" t="s">
        <v>836</v>
      </c>
      <c r="SJG29" t="s">
        <v>836</v>
      </c>
      <c r="SJH29" t="s">
        <v>836</v>
      </c>
      <c r="SJI29" t="s">
        <v>836</v>
      </c>
      <c r="SJJ29" t="s">
        <v>836</v>
      </c>
      <c r="SJK29" t="s">
        <v>836</v>
      </c>
      <c r="SJL29" t="s">
        <v>836</v>
      </c>
      <c r="SJM29" t="s">
        <v>836</v>
      </c>
      <c r="SJN29" t="s">
        <v>836</v>
      </c>
      <c r="SJO29" t="s">
        <v>836</v>
      </c>
      <c r="SJP29" t="s">
        <v>836</v>
      </c>
      <c r="SJQ29" t="s">
        <v>836</v>
      </c>
      <c r="SJR29" t="s">
        <v>836</v>
      </c>
      <c r="SJS29" t="s">
        <v>836</v>
      </c>
      <c r="SJT29" t="s">
        <v>836</v>
      </c>
      <c r="SJU29" t="s">
        <v>836</v>
      </c>
      <c r="SJV29" t="s">
        <v>836</v>
      </c>
      <c r="SJW29" t="s">
        <v>836</v>
      </c>
      <c r="SJX29" t="s">
        <v>836</v>
      </c>
      <c r="SJY29" t="s">
        <v>836</v>
      </c>
      <c r="SJZ29" t="s">
        <v>836</v>
      </c>
      <c r="SKA29" t="s">
        <v>836</v>
      </c>
      <c r="SKB29" t="s">
        <v>836</v>
      </c>
      <c r="SKC29" t="s">
        <v>836</v>
      </c>
      <c r="SKD29" t="s">
        <v>836</v>
      </c>
      <c r="SKE29" t="s">
        <v>836</v>
      </c>
      <c r="SKF29" t="s">
        <v>836</v>
      </c>
      <c r="SKG29" t="s">
        <v>836</v>
      </c>
      <c r="SKH29" t="s">
        <v>836</v>
      </c>
      <c r="SKI29" t="s">
        <v>836</v>
      </c>
      <c r="SKJ29" t="s">
        <v>836</v>
      </c>
      <c r="SKK29" t="s">
        <v>836</v>
      </c>
      <c r="SKL29" t="s">
        <v>836</v>
      </c>
      <c r="SKM29" t="s">
        <v>836</v>
      </c>
      <c r="SKN29" t="s">
        <v>836</v>
      </c>
      <c r="SKO29" t="s">
        <v>836</v>
      </c>
      <c r="SKP29" t="s">
        <v>836</v>
      </c>
      <c r="SKQ29" t="s">
        <v>836</v>
      </c>
      <c r="SKR29" t="s">
        <v>836</v>
      </c>
      <c r="SKS29" t="s">
        <v>836</v>
      </c>
      <c r="SKT29" t="s">
        <v>836</v>
      </c>
      <c r="SKU29" t="s">
        <v>836</v>
      </c>
      <c r="SKV29" t="s">
        <v>836</v>
      </c>
      <c r="SKW29" t="s">
        <v>836</v>
      </c>
      <c r="SKX29" t="s">
        <v>836</v>
      </c>
      <c r="SKY29" t="s">
        <v>836</v>
      </c>
      <c r="SKZ29" t="s">
        <v>836</v>
      </c>
      <c r="SLA29" t="s">
        <v>836</v>
      </c>
      <c r="SLB29" t="s">
        <v>836</v>
      </c>
      <c r="SLC29" t="s">
        <v>836</v>
      </c>
      <c r="SLD29" t="s">
        <v>836</v>
      </c>
      <c r="SLE29" t="s">
        <v>836</v>
      </c>
      <c r="SLF29" t="s">
        <v>836</v>
      </c>
      <c r="SLG29" t="s">
        <v>836</v>
      </c>
      <c r="SLH29" t="s">
        <v>836</v>
      </c>
      <c r="SLI29" t="s">
        <v>836</v>
      </c>
      <c r="SLJ29" t="s">
        <v>836</v>
      </c>
      <c r="SLK29" t="s">
        <v>836</v>
      </c>
      <c r="SLL29" t="s">
        <v>836</v>
      </c>
      <c r="SLM29" t="s">
        <v>836</v>
      </c>
      <c r="SLN29" t="s">
        <v>836</v>
      </c>
      <c r="SLO29" t="s">
        <v>836</v>
      </c>
      <c r="SLP29" t="s">
        <v>836</v>
      </c>
      <c r="SLQ29" t="s">
        <v>836</v>
      </c>
      <c r="SLR29" t="s">
        <v>836</v>
      </c>
      <c r="SLS29" t="s">
        <v>836</v>
      </c>
      <c r="SLT29" t="s">
        <v>836</v>
      </c>
      <c r="SLU29" t="s">
        <v>836</v>
      </c>
      <c r="SLV29" t="s">
        <v>836</v>
      </c>
      <c r="SLW29" t="s">
        <v>836</v>
      </c>
      <c r="SLX29" t="s">
        <v>836</v>
      </c>
      <c r="SLY29" t="s">
        <v>836</v>
      </c>
      <c r="SLZ29" t="s">
        <v>836</v>
      </c>
      <c r="SMA29" t="s">
        <v>836</v>
      </c>
      <c r="SMB29" t="s">
        <v>836</v>
      </c>
      <c r="SMC29" t="s">
        <v>836</v>
      </c>
      <c r="SMD29" t="s">
        <v>836</v>
      </c>
      <c r="SME29" t="s">
        <v>836</v>
      </c>
      <c r="SMF29" t="s">
        <v>836</v>
      </c>
      <c r="SMG29" t="s">
        <v>836</v>
      </c>
      <c r="SMH29" t="s">
        <v>836</v>
      </c>
      <c r="SMI29" t="s">
        <v>836</v>
      </c>
      <c r="SMJ29" t="s">
        <v>836</v>
      </c>
      <c r="SMK29" t="s">
        <v>836</v>
      </c>
      <c r="SML29" t="s">
        <v>836</v>
      </c>
      <c r="SMM29" t="s">
        <v>836</v>
      </c>
      <c r="SMN29" t="s">
        <v>836</v>
      </c>
      <c r="SMO29" t="s">
        <v>836</v>
      </c>
      <c r="SMP29" t="s">
        <v>836</v>
      </c>
      <c r="SMQ29" t="s">
        <v>836</v>
      </c>
      <c r="SMR29" t="s">
        <v>836</v>
      </c>
      <c r="SMS29" t="s">
        <v>836</v>
      </c>
      <c r="SMT29" t="s">
        <v>836</v>
      </c>
      <c r="SMU29" t="s">
        <v>836</v>
      </c>
      <c r="SMV29" t="s">
        <v>836</v>
      </c>
      <c r="SMW29" t="s">
        <v>836</v>
      </c>
      <c r="SMX29" t="s">
        <v>836</v>
      </c>
      <c r="SMY29" t="s">
        <v>836</v>
      </c>
      <c r="SMZ29" t="s">
        <v>836</v>
      </c>
      <c r="SNA29" t="s">
        <v>836</v>
      </c>
      <c r="SNB29" t="s">
        <v>836</v>
      </c>
      <c r="SNC29" t="s">
        <v>836</v>
      </c>
      <c r="SND29" t="s">
        <v>836</v>
      </c>
      <c r="SNE29" t="s">
        <v>836</v>
      </c>
      <c r="SNF29" t="s">
        <v>836</v>
      </c>
      <c r="SNG29" t="s">
        <v>836</v>
      </c>
      <c r="SNH29" t="s">
        <v>836</v>
      </c>
      <c r="SNI29" t="s">
        <v>836</v>
      </c>
      <c r="SNJ29" t="s">
        <v>836</v>
      </c>
      <c r="SNK29" t="s">
        <v>836</v>
      </c>
      <c r="SNL29" t="s">
        <v>836</v>
      </c>
      <c r="SNM29" t="s">
        <v>836</v>
      </c>
      <c r="SNN29" t="s">
        <v>836</v>
      </c>
      <c r="SNO29" t="s">
        <v>836</v>
      </c>
      <c r="SNP29" t="s">
        <v>836</v>
      </c>
      <c r="SNQ29" t="s">
        <v>836</v>
      </c>
      <c r="SNR29" t="s">
        <v>836</v>
      </c>
      <c r="SNS29" t="s">
        <v>836</v>
      </c>
      <c r="SNT29" t="s">
        <v>836</v>
      </c>
      <c r="SNU29" t="s">
        <v>836</v>
      </c>
      <c r="SNV29" t="s">
        <v>836</v>
      </c>
      <c r="SNW29" t="s">
        <v>836</v>
      </c>
      <c r="SNX29" t="s">
        <v>836</v>
      </c>
      <c r="SNY29" t="s">
        <v>836</v>
      </c>
      <c r="SNZ29" t="s">
        <v>836</v>
      </c>
      <c r="SOA29" t="s">
        <v>836</v>
      </c>
      <c r="SOB29" t="s">
        <v>836</v>
      </c>
      <c r="SOC29" t="s">
        <v>836</v>
      </c>
      <c r="SOD29" t="s">
        <v>836</v>
      </c>
      <c r="SOE29" t="s">
        <v>836</v>
      </c>
      <c r="SOF29" t="s">
        <v>836</v>
      </c>
      <c r="SOG29" t="s">
        <v>836</v>
      </c>
      <c r="SOH29" t="s">
        <v>836</v>
      </c>
      <c r="SOI29" t="s">
        <v>836</v>
      </c>
      <c r="SOJ29" t="s">
        <v>836</v>
      </c>
      <c r="SOK29" t="s">
        <v>836</v>
      </c>
      <c r="SOL29" t="s">
        <v>836</v>
      </c>
      <c r="SOM29" t="s">
        <v>836</v>
      </c>
      <c r="SON29" t="s">
        <v>836</v>
      </c>
      <c r="SOO29" t="s">
        <v>836</v>
      </c>
      <c r="SOP29" t="s">
        <v>836</v>
      </c>
      <c r="SOQ29" t="s">
        <v>836</v>
      </c>
      <c r="SOR29" t="s">
        <v>836</v>
      </c>
      <c r="SOS29" t="s">
        <v>836</v>
      </c>
      <c r="SOT29" t="s">
        <v>836</v>
      </c>
      <c r="SOU29" t="s">
        <v>836</v>
      </c>
      <c r="SOV29" t="s">
        <v>836</v>
      </c>
      <c r="SOW29" t="s">
        <v>836</v>
      </c>
      <c r="SOX29" t="s">
        <v>836</v>
      </c>
      <c r="SOY29" t="s">
        <v>836</v>
      </c>
      <c r="SOZ29" t="s">
        <v>836</v>
      </c>
      <c r="SPA29" t="s">
        <v>836</v>
      </c>
      <c r="SPB29" t="s">
        <v>836</v>
      </c>
      <c r="SPC29" t="s">
        <v>836</v>
      </c>
      <c r="SPD29" t="s">
        <v>836</v>
      </c>
      <c r="SPE29" t="s">
        <v>836</v>
      </c>
      <c r="SPF29" t="s">
        <v>836</v>
      </c>
      <c r="SPG29" t="s">
        <v>836</v>
      </c>
      <c r="SPH29" t="s">
        <v>836</v>
      </c>
      <c r="SPI29" t="s">
        <v>836</v>
      </c>
      <c r="SPJ29" t="s">
        <v>836</v>
      </c>
      <c r="SPK29" t="s">
        <v>836</v>
      </c>
      <c r="SPL29" t="s">
        <v>836</v>
      </c>
      <c r="SPM29" t="s">
        <v>836</v>
      </c>
      <c r="SPN29" t="s">
        <v>836</v>
      </c>
      <c r="SPO29" t="s">
        <v>836</v>
      </c>
      <c r="SPP29" t="s">
        <v>836</v>
      </c>
      <c r="SPQ29" t="s">
        <v>836</v>
      </c>
      <c r="SPR29" t="s">
        <v>836</v>
      </c>
      <c r="SPS29" t="s">
        <v>836</v>
      </c>
      <c r="SPT29" t="s">
        <v>836</v>
      </c>
      <c r="SPU29" t="s">
        <v>836</v>
      </c>
      <c r="SPV29" t="s">
        <v>836</v>
      </c>
      <c r="SPW29" t="s">
        <v>836</v>
      </c>
      <c r="SPX29" t="s">
        <v>836</v>
      </c>
      <c r="SPY29" t="s">
        <v>836</v>
      </c>
      <c r="SPZ29" t="s">
        <v>836</v>
      </c>
      <c r="SQA29" t="s">
        <v>836</v>
      </c>
      <c r="SQB29" t="s">
        <v>836</v>
      </c>
      <c r="SQC29" t="s">
        <v>836</v>
      </c>
      <c r="SQD29" t="s">
        <v>836</v>
      </c>
      <c r="SQE29" t="s">
        <v>836</v>
      </c>
      <c r="SQF29" t="s">
        <v>836</v>
      </c>
      <c r="SQG29" t="s">
        <v>836</v>
      </c>
      <c r="SQH29" t="s">
        <v>836</v>
      </c>
      <c r="SQI29" t="s">
        <v>836</v>
      </c>
      <c r="SQJ29" t="s">
        <v>836</v>
      </c>
      <c r="SQK29" t="s">
        <v>836</v>
      </c>
      <c r="SQL29" t="s">
        <v>836</v>
      </c>
      <c r="SQM29" t="s">
        <v>836</v>
      </c>
      <c r="SQN29" t="s">
        <v>836</v>
      </c>
      <c r="SQO29" t="s">
        <v>836</v>
      </c>
      <c r="SQP29" t="s">
        <v>836</v>
      </c>
      <c r="SQQ29" t="s">
        <v>836</v>
      </c>
      <c r="SQR29" t="s">
        <v>836</v>
      </c>
      <c r="SQS29" t="s">
        <v>836</v>
      </c>
      <c r="SQT29" t="s">
        <v>836</v>
      </c>
      <c r="SQU29" t="s">
        <v>836</v>
      </c>
      <c r="SQV29" t="s">
        <v>836</v>
      </c>
      <c r="SQW29" t="s">
        <v>836</v>
      </c>
      <c r="SQX29" t="s">
        <v>836</v>
      </c>
      <c r="SQY29" t="s">
        <v>836</v>
      </c>
      <c r="SQZ29" t="s">
        <v>836</v>
      </c>
      <c r="SRA29" t="s">
        <v>836</v>
      </c>
      <c r="SRB29" t="s">
        <v>836</v>
      </c>
      <c r="SRC29" t="s">
        <v>836</v>
      </c>
      <c r="SRD29" t="s">
        <v>836</v>
      </c>
      <c r="SRE29" t="s">
        <v>836</v>
      </c>
      <c r="SRF29" t="s">
        <v>836</v>
      </c>
      <c r="SRG29" t="s">
        <v>836</v>
      </c>
      <c r="SRH29" t="s">
        <v>836</v>
      </c>
      <c r="SRI29" t="s">
        <v>836</v>
      </c>
      <c r="SRJ29" t="s">
        <v>836</v>
      </c>
      <c r="SRK29" t="s">
        <v>836</v>
      </c>
      <c r="SRL29" t="s">
        <v>836</v>
      </c>
      <c r="SRM29" t="s">
        <v>836</v>
      </c>
      <c r="SRN29" t="s">
        <v>836</v>
      </c>
      <c r="SRO29" t="s">
        <v>836</v>
      </c>
      <c r="SRP29" t="s">
        <v>836</v>
      </c>
      <c r="SRQ29" t="s">
        <v>836</v>
      </c>
      <c r="SRR29" t="s">
        <v>836</v>
      </c>
      <c r="SRS29" t="s">
        <v>836</v>
      </c>
      <c r="SRT29" t="s">
        <v>836</v>
      </c>
      <c r="SRU29" t="s">
        <v>836</v>
      </c>
      <c r="SRV29" t="s">
        <v>836</v>
      </c>
      <c r="SRW29" t="s">
        <v>836</v>
      </c>
      <c r="SRX29" t="s">
        <v>836</v>
      </c>
      <c r="SRY29" t="s">
        <v>836</v>
      </c>
      <c r="SRZ29" t="s">
        <v>836</v>
      </c>
      <c r="SSA29" t="s">
        <v>836</v>
      </c>
      <c r="SSB29" t="s">
        <v>836</v>
      </c>
      <c r="SSC29" t="s">
        <v>836</v>
      </c>
      <c r="SSD29" t="s">
        <v>836</v>
      </c>
      <c r="SSE29" t="s">
        <v>836</v>
      </c>
      <c r="SSF29" t="s">
        <v>836</v>
      </c>
      <c r="SSG29" t="s">
        <v>836</v>
      </c>
      <c r="SSH29" t="s">
        <v>836</v>
      </c>
      <c r="SSI29" t="s">
        <v>836</v>
      </c>
      <c r="SSJ29" t="s">
        <v>836</v>
      </c>
      <c r="SSK29" t="s">
        <v>836</v>
      </c>
      <c r="SSL29" t="s">
        <v>836</v>
      </c>
      <c r="SSM29" t="s">
        <v>836</v>
      </c>
      <c r="SSN29" t="s">
        <v>836</v>
      </c>
      <c r="SSO29" t="s">
        <v>836</v>
      </c>
      <c r="SSP29" t="s">
        <v>836</v>
      </c>
      <c r="SSQ29" t="s">
        <v>836</v>
      </c>
      <c r="SSR29" t="s">
        <v>836</v>
      </c>
      <c r="SSS29" t="s">
        <v>836</v>
      </c>
      <c r="SST29" t="s">
        <v>836</v>
      </c>
      <c r="SSU29" t="s">
        <v>836</v>
      </c>
      <c r="SSV29" t="s">
        <v>836</v>
      </c>
      <c r="SSW29" t="s">
        <v>836</v>
      </c>
      <c r="SSX29" t="s">
        <v>836</v>
      </c>
      <c r="SSY29" t="s">
        <v>836</v>
      </c>
      <c r="SSZ29" t="s">
        <v>836</v>
      </c>
      <c r="STA29" t="s">
        <v>836</v>
      </c>
      <c r="STB29" t="s">
        <v>836</v>
      </c>
      <c r="STC29" t="s">
        <v>836</v>
      </c>
      <c r="STD29" t="s">
        <v>836</v>
      </c>
      <c r="STE29" t="s">
        <v>836</v>
      </c>
      <c r="STF29" t="s">
        <v>836</v>
      </c>
      <c r="STG29" t="s">
        <v>836</v>
      </c>
      <c r="STH29" t="s">
        <v>836</v>
      </c>
      <c r="STI29" t="s">
        <v>836</v>
      </c>
      <c r="STJ29" t="s">
        <v>836</v>
      </c>
      <c r="STK29" t="s">
        <v>836</v>
      </c>
      <c r="STL29" t="s">
        <v>836</v>
      </c>
      <c r="STM29" t="s">
        <v>836</v>
      </c>
      <c r="STN29" t="s">
        <v>836</v>
      </c>
      <c r="STO29" t="s">
        <v>836</v>
      </c>
      <c r="STP29" t="s">
        <v>836</v>
      </c>
      <c r="STQ29" t="s">
        <v>836</v>
      </c>
      <c r="STR29" t="s">
        <v>836</v>
      </c>
      <c r="STS29" t="s">
        <v>836</v>
      </c>
      <c r="STT29" t="s">
        <v>836</v>
      </c>
      <c r="STU29" t="s">
        <v>836</v>
      </c>
      <c r="STV29" t="s">
        <v>836</v>
      </c>
      <c r="STW29" t="s">
        <v>836</v>
      </c>
      <c r="STX29" t="s">
        <v>836</v>
      </c>
      <c r="STY29" t="s">
        <v>836</v>
      </c>
      <c r="STZ29" t="s">
        <v>836</v>
      </c>
      <c r="SUA29" t="s">
        <v>836</v>
      </c>
      <c r="SUB29" t="s">
        <v>836</v>
      </c>
      <c r="SUC29" t="s">
        <v>836</v>
      </c>
      <c r="SUD29" t="s">
        <v>836</v>
      </c>
      <c r="SUE29" t="s">
        <v>836</v>
      </c>
      <c r="SUF29" t="s">
        <v>836</v>
      </c>
      <c r="SUG29" t="s">
        <v>836</v>
      </c>
      <c r="SUH29" t="s">
        <v>836</v>
      </c>
      <c r="SUI29" t="s">
        <v>836</v>
      </c>
      <c r="SUJ29" t="s">
        <v>836</v>
      </c>
      <c r="SUK29" t="s">
        <v>836</v>
      </c>
      <c r="SUL29" t="s">
        <v>836</v>
      </c>
      <c r="SUM29" t="s">
        <v>836</v>
      </c>
      <c r="SUN29" t="s">
        <v>836</v>
      </c>
      <c r="SUO29" t="s">
        <v>836</v>
      </c>
      <c r="SUP29" t="s">
        <v>836</v>
      </c>
      <c r="SUQ29" t="s">
        <v>836</v>
      </c>
      <c r="SUR29" t="s">
        <v>836</v>
      </c>
      <c r="SUS29" t="s">
        <v>836</v>
      </c>
      <c r="SUT29" t="s">
        <v>836</v>
      </c>
      <c r="SUU29" t="s">
        <v>836</v>
      </c>
      <c r="SUV29" t="s">
        <v>836</v>
      </c>
      <c r="SUW29" t="s">
        <v>836</v>
      </c>
      <c r="SUX29" t="s">
        <v>836</v>
      </c>
      <c r="SUY29" t="s">
        <v>836</v>
      </c>
      <c r="SUZ29" t="s">
        <v>836</v>
      </c>
      <c r="SVA29" t="s">
        <v>836</v>
      </c>
      <c r="SVB29" t="s">
        <v>836</v>
      </c>
      <c r="SVC29" t="s">
        <v>836</v>
      </c>
      <c r="SVD29" t="s">
        <v>836</v>
      </c>
      <c r="SVE29" t="s">
        <v>836</v>
      </c>
      <c r="SVF29" t="s">
        <v>836</v>
      </c>
      <c r="SVG29" t="s">
        <v>836</v>
      </c>
      <c r="SVH29" t="s">
        <v>836</v>
      </c>
      <c r="SVI29" t="s">
        <v>836</v>
      </c>
      <c r="SVJ29" t="s">
        <v>836</v>
      </c>
      <c r="SVK29" t="s">
        <v>836</v>
      </c>
      <c r="SVL29" t="s">
        <v>836</v>
      </c>
      <c r="SVM29" t="s">
        <v>836</v>
      </c>
      <c r="SVN29" t="s">
        <v>836</v>
      </c>
      <c r="SVO29" t="s">
        <v>836</v>
      </c>
      <c r="SVP29" t="s">
        <v>836</v>
      </c>
      <c r="SVQ29" t="s">
        <v>836</v>
      </c>
      <c r="SVR29" t="s">
        <v>836</v>
      </c>
      <c r="SVS29" t="s">
        <v>836</v>
      </c>
      <c r="SVT29" t="s">
        <v>836</v>
      </c>
      <c r="SVU29" t="s">
        <v>836</v>
      </c>
      <c r="SVV29" t="s">
        <v>836</v>
      </c>
      <c r="SVW29" t="s">
        <v>836</v>
      </c>
      <c r="SVX29" t="s">
        <v>836</v>
      </c>
      <c r="SVY29" t="s">
        <v>836</v>
      </c>
      <c r="SVZ29" t="s">
        <v>836</v>
      </c>
      <c r="SWA29" t="s">
        <v>836</v>
      </c>
      <c r="SWB29" t="s">
        <v>836</v>
      </c>
      <c r="SWC29" t="s">
        <v>836</v>
      </c>
      <c r="SWD29" t="s">
        <v>836</v>
      </c>
      <c r="SWE29" t="s">
        <v>836</v>
      </c>
      <c r="SWF29" t="s">
        <v>836</v>
      </c>
      <c r="SWG29" t="s">
        <v>836</v>
      </c>
      <c r="SWH29" t="s">
        <v>836</v>
      </c>
      <c r="SWI29" t="s">
        <v>836</v>
      </c>
      <c r="SWJ29" t="s">
        <v>836</v>
      </c>
      <c r="SWK29" t="s">
        <v>836</v>
      </c>
      <c r="SWL29" t="s">
        <v>836</v>
      </c>
      <c r="SWM29" t="s">
        <v>836</v>
      </c>
      <c r="SWN29" t="s">
        <v>836</v>
      </c>
      <c r="SWO29" t="s">
        <v>836</v>
      </c>
      <c r="SWP29" t="s">
        <v>836</v>
      </c>
      <c r="SWQ29" t="s">
        <v>836</v>
      </c>
      <c r="SWR29" t="s">
        <v>836</v>
      </c>
      <c r="SWS29" t="s">
        <v>836</v>
      </c>
      <c r="SWT29" t="s">
        <v>836</v>
      </c>
      <c r="SWU29" t="s">
        <v>836</v>
      </c>
      <c r="SWV29" t="s">
        <v>836</v>
      </c>
      <c r="SWW29" t="s">
        <v>836</v>
      </c>
      <c r="SWX29" t="s">
        <v>836</v>
      </c>
      <c r="SWY29" t="s">
        <v>836</v>
      </c>
      <c r="SWZ29" t="s">
        <v>836</v>
      </c>
      <c r="SXA29" t="s">
        <v>836</v>
      </c>
      <c r="SXB29" t="s">
        <v>836</v>
      </c>
      <c r="SXC29" t="s">
        <v>836</v>
      </c>
      <c r="SXD29" t="s">
        <v>836</v>
      </c>
      <c r="SXE29" t="s">
        <v>836</v>
      </c>
      <c r="SXF29" t="s">
        <v>836</v>
      </c>
      <c r="SXG29" t="s">
        <v>836</v>
      </c>
      <c r="SXH29" t="s">
        <v>836</v>
      </c>
      <c r="SXI29" t="s">
        <v>836</v>
      </c>
      <c r="SXJ29" t="s">
        <v>836</v>
      </c>
      <c r="SXK29" t="s">
        <v>836</v>
      </c>
      <c r="SXL29" t="s">
        <v>836</v>
      </c>
      <c r="SXM29" t="s">
        <v>836</v>
      </c>
      <c r="SXN29" t="s">
        <v>836</v>
      </c>
      <c r="SXO29" t="s">
        <v>836</v>
      </c>
      <c r="SXP29" t="s">
        <v>836</v>
      </c>
      <c r="SXQ29" t="s">
        <v>836</v>
      </c>
      <c r="SXR29" t="s">
        <v>836</v>
      </c>
      <c r="SXS29" t="s">
        <v>836</v>
      </c>
      <c r="SXT29" t="s">
        <v>836</v>
      </c>
      <c r="SXU29" t="s">
        <v>836</v>
      </c>
      <c r="SXV29" t="s">
        <v>836</v>
      </c>
      <c r="SXW29" t="s">
        <v>836</v>
      </c>
      <c r="SXX29" t="s">
        <v>836</v>
      </c>
      <c r="SXY29" t="s">
        <v>836</v>
      </c>
      <c r="SXZ29" t="s">
        <v>836</v>
      </c>
      <c r="SYA29" t="s">
        <v>836</v>
      </c>
      <c r="SYB29" t="s">
        <v>836</v>
      </c>
      <c r="SYC29" t="s">
        <v>836</v>
      </c>
      <c r="SYD29" t="s">
        <v>836</v>
      </c>
      <c r="SYE29" t="s">
        <v>836</v>
      </c>
      <c r="SYF29" t="s">
        <v>836</v>
      </c>
      <c r="SYG29" t="s">
        <v>836</v>
      </c>
      <c r="SYH29" t="s">
        <v>836</v>
      </c>
      <c r="SYI29" t="s">
        <v>836</v>
      </c>
      <c r="SYJ29" t="s">
        <v>836</v>
      </c>
      <c r="SYK29" t="s">
        <v>836</v>
      </c>
      <c r="SYL29" t="s">
        <v>836</v>
      </c>
      <c r="SYM29" t="s">
        <v>836</v>
      </c>
      <c r="SYN29" t="s">
        <v>836</v>
      </c>
      <c r="SYO29" t="s">
        <v>836</v>
      </c>
      <c r="SYP29" t="s">
        <v>836</v>
      </c>
      <c r="SYQ29" t="s">
        <v>836</v>
      </c>
      <c r="SYR29" t="s">
        <v>836</v>
      </c>
      <c r="SYS29" t="s">
        <v>836</v>
      </c>
      <c r="SYT29" t="s">
        <v>836</v>
      </c>
      <c r="SYU29" t="s">
        <v>836</v>
      </c>
      <c r="SYV29" t="s">
        <v>836</v>
      </c>
      <c r="SYW29" t="s">
        <v>836</v>
      </c>
      <c r="SYX29" t="s">
        <v>836</v>
      </c>
      <c r="SYY29" t="s">
        <v>836</v>
      </c>
      <c r="SYZ29" t="s">
        <v>836</v>
      </c>
      <c r="SZA29" t="s">
        <v>836</v>
      </c>
      <c r="SZB29" t="s">
        <v>836</v>
      </c>
      <c r="SZC29" t="s">
        <v>836</v>
      </c>
      <c r="SZD29" t="s">
        <v>836</v>
      </c>
      <c r="SZE29" t="s">
        <v>836</v>
      </c>
      <c r="SZF29" t="s">
        <v>836</v>
      </c>
      <c r="SZG29" t="s">
        <v>836</v>
      </c>
      <c r="SZH29" t="s">
        <v>836</v>
      </c>
      <c r="SZI29" t="s">
        <v>836</v>
      </c>
      <c r="SZJ29" t="s">
        <v>836</v>
      </c>
      <c r="SZK29" t="s">
        <v>836</v>
      </c>
      <c r="SZL29" t="s">
        <v>836</v>
      </c>
      <c r="SZM29" t="s">
        <v>836</v>
      </c>
      <c r="SZN29" t="s">
        <v>836</v>
      </c>
      <c r="SZO29" t="s">
        <v>836</v>
      </c>
      <c r="SZP29" t="s">
        <v>836</v>
      </c>
      <c r="SZQ29" t="s">
        <v>836</v>
      </c>
      <c r="SZR29" t="s">
        <v>836</v>
      </c>
      <c r="SZS29" t="s">
        <v>836</v>
      </c>
      <c r="SZT29" t="s">
        <v>836</v>
      </c>
      <c r="SZU29" t="s">
        <v>836</v>
      </c>
      <c r="SZV29" t="s">
        <v>836</v>
      </c>
      <c r="SZW29" t="s">
        <v>836</v>
      </c>
      <c r="SZX29" t="s">
        <v>836</v>
      </c>
      <c r="SZY29" t="s">
        <v>836</v>
      </c>
      <c r="SZZ29" t="s">
        <v>836</v>
      </c>
      <c r="TAA29" t="s">
        <v>836</v>
      </c>
      <c r="TAB29" t="s">
        <v>836</v>
      </c>
      <c r="TAC29" t="s">
        <v>836</v>
      </c>
      <c r="TAD29" t="s">
        <v>836</v>
      </c>
      <c r="TAE29" t="s">
        <v>836</v>
      </c>
      <c r="TAF29" t="s">
        <v>836</v>
      </c>
      <c r="TAG29" t="s">
        <v>836</v>
      </c>
      <c r="TAH29" t="s">
        <v>836</v>
      </c>
      <c r="TAI29" t="s">
        <v>836</v>
      </c>
      <c r="TAJ29" t="s">
        <v>836</v>
      </c>
      <c r="TAK29" t="s">
        <v>836</v>
      </c>
      <c r="TAL29" t="s">
        <v>836</v>
      </c>
      <c r="TAM29" t="s">
        <v>836</v>
      </c>
      <c r="TAN29" t="s">
        <v>836</v>
      </c>
      <c r="TAO29" t="s">
        <v>836</v>
      </c>
      <c r="TAP29" t="s">
        <v>836</v>
      </c>
      <c r="TAQ29" t="s">
        <v>836</v>
      </c>
      <c r="TAR29" t="s">
        <v>836</v>
      </c>
      <c r="TAS29" t="s">
        <v>836</v>
      </c>
      <c r="TAT29" t="s">
        <v>836</v>
      </c>
      <c r="TAU29" t="s">
        <v>836</v>
      </c>
      <c r="TAV29" t="s">
        <v>836</v>
      </c>
      <c r="TAW29" t="s">
        <v>836</v>
      </c>
      <c r="TAX29" t="s">
        <v>836</v>
      </c>
      <c r="TAY29" t="s">
        <v>836</v>
      </c>
      <c r="TAZ29" t="s">
        <v>836</v>
      </c>
      <c r="TBA29" t="s">
        <v>836</v>
      </c>
      <c r="TBB29" t="s">
        <v>836</v>
      </c>
      <c r="TBC29" t="s">
        <v>836</v>
      </c>
      <c r="TBD29" t="s">
        <v>836</v>
      </c>
      <c r="TBE29" t="s">
        <v>836</v>
      </c>
      <c r="TBF29" t="s">
        <v>836</v>
      </c>
      <c r="TBG29" t="s">
        <v>836</v>
      </c>
      <c r="TBH29" t="s">
        <v>836</v>
      </c>
      <c r="TBI29" t="s">
        <v>836</v>
      </c>
      <c r="TBJ29" t="s">
        <v>836</v>
      </c>
      <c r="TBK29" t="s">
        <v>836</v>
      </c>
      <c r="TBL29" t="s">
        <v>836</v>
      </c>
      <c r="TBM29" t="s">
        <v>836</v>
      </c>
      <c r="TBN29" t="s">
        <v>836</v>
      </c>
      <c r="TBO29" t="s">
        <v>836</v>
      </c>
      <c r="TBP29" t="s">
        <v>836</v>
      </c>
      <c r="TBQ29" t="s">
        <v>836</v>
      </c>
      <c r="TBR29" t="s">
        <v>836</v>
      </c>
      <c r="TBS29" t="s">
        <v>836</v>
      </c>
      <c r="TBT29" t="s">
        <v>836</v>
      </c>
      <c r="TBU29" t="s">
        <v>836</v>
      </c>
      <c r="TBV29" t="s">
        <v>836</v>
      </c>
      <c r="TBW29" t="s">
        <v>836</v>
      </c>
      <c r="TBX29" t="s">
        <v>836</v>
      </c>
      <c r="TBY29" t="s">
        <v>836</v>
      </c>
      <c r="TBZ29" t="s">
        <v>836</v>
      </c>
      <c r="TCA29" t="s">
        <v>836</v>
      </c>
      <c r="TCB29" t="s">
        <v>836</v>
      </c>
      <c r="TCC29" t="s">
        <v>836</v>
      </c>
      <c r="TCD29" t="s">
        <v>836</v>
      </c>
      <c r="TCE29" t="s">
        <v>836</v>
      </c>
      <c r="TCF29" t="s">
        <v>836</v>
      </c>
      <c r="TCG29" t="s">
        <v>836</v>
      </c>
      <c r="TCH29" t="s">
        <v>836</v>
      </c>
      <c r="TCI29" t="s">
        <v>836</v>
      </c>
      <c r="TCJ29" t="s">
        <v>836</v>
      </c>
      <c r="TCK29" t="s">
        <v>836</v>
      </c>
      <c r="TCL29" t="s">
        <v>836</v>
      </c>
      <c r="TCM29" t="s">
        <v>836</v>
      </c>
      <c r="TCN29" t="s">
        <v>836</v>
      </c>
      <c r="TCO29" t="s">
        <v>836</v>
      </c>
      <c r="TCP29" t="s">
        <v>836</v>
      </c>
      <c r="TCQ29" t="s">
        <v>836</v>
      </c>
      <c r="TCR29" t="s">
        <v>836</v>
      </c>
      <c r="TCS29" t="s">
        <v>836</v>
      </c>
      <c r="TCT29" t="s">
        <v>836</v>
      </c>
      <c r="TCU29" t="s">
        <v>836</v>
      </c>
      <c r="TCV29" t="s">
        <v>836</v>
      </c>
      <c r="TCW29" t="s">
        <v>836</v>
      </c>
      <c r="TCX29" t="s">
        <v>836</v>
      </c>
      <c r="TCY29" t="s">
        <v>836</v>
      </c>
      <c r="TCZ29" t="s">
        <v>836</v>
      </c>
      <c r="TDA29" t="s">
        <v>836</v>
      </c>
      <c r="TDB29" t="s">
        <v>836</v>
      </c>
      <c r="TDC29" t="s">
        <v>836</v>
      </c>
      <c r="TDD29" t="s">
        <v>836</v>
      </c>
      <c r="TDE29" t="s">
        <v>836</v>
      </c>
      <c r="TDF29" t="s">
        <v>836</v>
      </c>
      <c r="TDG29" t="s">
        <v>836</v>
      </c>
      <c r="TDH29" t="s">
        <v>836</v>
      </c>
      <c r="TDI29" t="s">
        <v>836</v>
      </c>
      <c r="TDJ29" t="s">
        <v>836</v>
      </c>
      <c r="TDK29" t="s">
        <v>836</v>
      </c>
      <c r="TDL29" t="s">
        <v>836</v>
      </c>
      <c r="TDM29" t="s">
        <v>836</v>
      </c>
      <c r="TDN29" t="s">
        <v>836</v>
      </c>
      <c r="TDO29" t="s">
        <v>836</v>
      </c>
      <c r="TDP29" t="s">
        <v>836</v>
      </c>
      <c r="TDQ29" t="s">
        <v>836</v>
      </c>
      <c r="TDR29" t="s">
        <v>836</v>
      </c>
      <c r="TDS29" t="s">
        <v>836</v>
      </c>
      <c r="TDT29" t="s">
        <v>836</v>
      </c>
      <c r="TDU29" t="s">
        <v>836</v>
      </c>
      <c r="TDV29" t="s">
        <v>836</v>
      </c>
      <c r="TDW29" t="s">
        <v>836</v>
      </c>
      <c r="TDX29" t="s">
        <v>836</v>
      </c>
      <c r="TDY29" t="s">
        <v>836</v>
      </c>
      <c r="TDZ29" t="s">
        <v>836</v>
      </c>
      <c r="TEA29" t="s">
        <v>836</v>
      </c>
      <c r="TEB29" t="s">
        <v>836</v>
      </c>
      <c r="TEC29" t="s">
        <v>836</v>
      </c>
      <c r="TED29" t="s">
        <v>836</v>
      </c>
      <c r="TEE29" t="s">
        <v>836</v>
      </c>
      <c r="TEF29" t="s">
        <v>836</v>
      </c>
      <c r="TEG29" t="s">
        <v>836</v>
      </c>
      <c r="TEH29" t="s">
        <v>836</v>
      </c>
      <c r="TEI29" t="s">
        <v>836</v>
      </c>
      <c r="TEJ29" t="s">
        <v>836</v>
      </c>
      <c r="TEK29" t="s">
        <v>836</v>
      </c>
      <c r="TEL29" t="s">
        <v>836</v>
      </c>
      <c r="TEM29" t="s">
        <v>836</v>
      </c>
      <c r="TEN29" t="s">
        <v>836</v>
      </c>
      <c r="TEO29" t="s">
        <v>836</v>
      </c>
      <c r="TEP29" t="s">
        <v>836</v>
      </c>
      <c r="TEQ29" t="s">
        <v>836</v>
      </c>
      <c r="TER29" t="s">
        <v>836</v>
      </c>
      <c r="TES29" t="s">
        <v>836</v>
      </c>
      <c r="TET29" t="s">
        <v>836</v>
      </c>
      <c r="TEU29" t="s">
        <v>836</v>
      </c>
      <c r="TEV29" t="s">
        <v>836</v>
      </c>
      <c r="TEW29" t="s">
        <v>836</v>
      </c>
      <c r="TEX29" t="s">
        <v>836</v>
      </c>
      <c r="TEY29" t="s">
        <v>836</v>
      </c>
      <c r="TEZ29" t="s">
        <v>836</v>
      </c>
      <c r="TFA29" t="s">
        <v>836</v>
      </c>
      <c r="TFB29" t="s">
        <v>836</v>
      </c>
      <c r="TFC29" t="s">
        <v>836</v>
      </c>
      <c r="TFD29" t="s">
        <v>836</v>
      </c>
      <c r="TFE29" t="s">
        <v>836</v>
      </c>
      <c r="TFF29" t="s">
        <v>836</v>
      </c>
      <c r="TFG29" t="s">
        <v>836</v>
      </c>
      <c r="TFH29" t="s">
        <v>836</v>
      </c>
      <c r="TFI29" t="s">
        <v>836</v>
      </c>
      <c r="TFJ29" t="s">
        <v>836</v>
      </c>
      <c r="TFK29" t="s">
        <v>836</v>
      </c>
      <c r="TFL29" t="s">
        <v>836</v>
      </c>
      <c r="TFM29" t="s">
        <v>836</v>
      </c>
      <c r="TFN29" t="s">
        <v>836</v>
      </c>
      <c r="TFO29" t="s">
        <v>836</v>
      </c>
      <c r="TFP29" t="s">
        <v>836</v>
      </c>
      <c r="TFQ29" t="s">
        <v>836</v>
      </c>
      <c r="TFR29" t="s">
        <v>836</v>
      </c>
      <c r="TFS29" t="s">
        <v>836</v>
      </c>
      <c r="TFT29" t="s">
        <v>836</v>
      </c>
      <c r="TFU29" t="s">
        <v>836</v>
      </c>
      <c r="TFV29" t="s">
        <v>836</v>
      </c>
      <c r="TFW29" t="s">
        <v>836</v>
      </c>
      <c r="TFX29" t="s">
        <v>836</v>
      </c>
      <c r="TFY29" t="s">
        <v>836</v>
      </c>
      <c r="TFZ29" t="s">
        <v>836</v>
      </c>
      <c r="TGA29" t="s">
        <v>836</v>
      </c>
      <c r="TGB29" t="s">
        <v>836</v>
      </c>
      <c r="TGC29" t="s">
        <v>836</v>
      </c>
      <c r="TGD29" t="s">
        <v>836</v>
      </c>
      <c r="TGE29" t="s">
        <v>836</v>
      </c>
      <c r="TGF29" t="s">
        <v>836</v>
      </c>
      <c r="TGG29" t="s">
        <v>836</v>
      </c>
      <c r="TGH29" t="s">
        <v>836</v>
      </c>
      <c r="TGI29" t="s">
        <v>836</v>
      </c>
      <c r="TGJ29" t="s">
        <v>836</v>
      </c>
      <c r="TGK29" t="s">
        <v>836</v>
      </c>
      <c r="TGL29" t="s">
        <v>836</v>
      </c>
      <c r="TGM29" t="s">
        <v>836</v>
      </c>
      <c r="TGN29" t="s">
        <v>836</v>
      </c>
      <c r="TGO29" t="s">
        <v>836</v>
      </c>
      <c r="TGP29" t="s">
        <v>836</v>
      </c>
      <c r="TGQ29" t="s">
        <v>836</v>
      </c>
      <c r="TGR29" t="s">
        <v>836</v>
      </c>
      <c r="TGS29" t="s">
        <v>836</v>
      </c>
      <c r="TGT29" t="s">
        <v>836</v>
      </c>
      <c r="TGU29" t="s">
        <v>836</v>
      </c>
      <c r="TGV29" t="s">
        <v>836</v>
      </c>
      <c r="TGW29" t="s">
        <v>836</v>
      </c>
      <c r="TGX29" t="s">
        <v>836</v>
      </c>
      <c r="TGY29" t="s">
        <v>836</v>
      </c>
      <c r="TGZ29" t="s">
        <v>836</v>
      </c>
      <c r="THA29" t="s">
        <v>836</v>
      </c>
      <c r="THB29" t="s">
        <v>836</v>
      </c>
      <c r="THC29" t="s">
        <v>836</v>
      </c>
      <c r="THD29" t="s">
        <v>836</v>
      </c>
      <c r="THE29" t="s">
        <v>836</v>
      </c>
      <c r="THF29" t="s">
        <v>836</v>
      </c>
      <c r="THG29" t="s">
        <v>836</v>
      </c>
      <c r="THH29" t="s">
        <v>836</v>
      </c>
      <c r="THI29" t="s">
        <v>836</v>
      </c>
      <c r="THJ29" t="s">
        <v>836</v>
      </c>
      <c r="THK29" t="s">
        <v>836</v>
      </c>
      <c r="THL29" t="s">
        <v>836</v>
      </c>
      <c r="THM29" t="s">
        <v>836</v>
      </c>
      <c r="THN29" t="s">
        <v>836</v>
      </c>
      <c r="THO29" t="s">
        <v>836</v>
      </c>
      <c r="THP29" t="s">
        <v>836</v>
      </c>
      <c r="THQ29" t="s">
        <v>836</v>
      </c>
      <c r="THR29" t="s">
        <v>836</v>
      </c>
      <c r="THS29" t="s">
        <v>836</v>
      </c>
      <c r="THT29" t="s">
        <v>836</v>
      </c>
      <c r="THU29" t="s">
        <v>836</v>
      </c>
      <c r="THV29" t="s">
        <v>836</v>
      </c>
      <c r="THW29" t="s">
        <v>836</v>
      </c>
      <c r="THX29" t="s">
        <v>836</v>
      </c>
      <c r="THY29" t="s">
        <v>836</v>
      </c>
      <c r="THZ29" t="s">
        <v>836</v>
      </c>
      <c r="TIA29" t="s">
        <v>836</v>
      </c>
      <c r="TIB29" t="s">
        <v>836</v>
      </c>
      <c r="TIC29" t="s">
        <v>836</v>
      </c>
      <c r="TID29" t="s">
        <v>836</v>
      </c>
      <c r="TIE29" t="s">
        <v>836</v>
      </c>
      <c r="TIF29" t="s">
        <v>836</v>
      </c>
      <c r="TIG29" t="s">
        <v>836</v>
      </c>
      <c r="TIH29" t="s">
        <v>836</v>
      </c>
      <c r="TII29" t="s">
        <v>836</v>
      </c>
      <c r="TIJ29" t="s">
        <v>836</v>
      </c>
      <c r="TIK29" t="s">
        <v>836</v>
      </c>
      <c r="TIL29" t="s">
        <v>836</v>
      </c>
      <c r="TIM29" t="s">
        <v>836</v>
      </c>
      <c r="TIN29" t="s">
        <v>836</v>
      </c>
      <c r="TIO29" t="s">
        <v>836</v>
      </c>
      <c r="TIP29" t="s">
        <v>836</v>
      </c>
      <c r="TIQ29" t="s">
        <v>836</v>
      </c>
      <c r="TIR29" t="s">
        <v>836</v>
      </c>
      <c r="TIS29" t="s">
        <v>836</v>
      </c>
      <c r="TIT29" t="s">
        <v>836</v>
      </c>
      <c r="TIU29" t="s">
        <v>836</v>
      </c>
      <c r="TIV29" t="s">
        <v>836</v>
      </c>
      <c r="TIW29" t="s">
        <v>836</v>
      </c>
      <c r="TIX29" t="s">
        <v>836</v>
      </c>
      <c r="TIY29" t="s">
        <v>836</v>
      </c>
      <c r="TIZ29" t="s">
        <v>836</v>
      </c>
      <c r="TJA29" t="s">
        <v>836</v>
      </c>
      <c r="TJB29" t="s">
        <v>836</v>
      </c>
      <c r="TJC29" t="s">
        <v>836</v>
      </c>
      <c r="TJD29" t="s">
        <v>836</v>
      </c>
      <c r="TJE29" t="s">
        <v>836</v>
      </c>
      <c r="TJF29" t="s">
        <v>836</v>
      </c>
      <c r="TJG29" t="s">
        <v>836</v>
      </c>
      <c r="TJH29" t="s">
        <v>836</v>
      </c>
      <c r="TJI29" t="s">
        <v>836</v>
      </c>
      <c r="TJJ29" t="s">
        <v>836</v>
      </c>
      <c r="TJK29" t="s">
        <v>836</v>
      </c>
      <c r="TJL29" t="s">
        <v>836</v>
      </c>
      <c r="TJM29" t="s">
        <v>836</v>
      </c>
      <c r="TJN29" t="s">
        <v>836</v>
      </c>
      <c r="TJO29" t="s">
        <v>836</v>
      </c>
      <c r="TJP29" t="s">
        <v>836</v>
      </c>
      <c r="TJQ29" t="s">
        <v>836</v>
      </c>
      <c r="TJR29" t="s">
        <v>836</v>
      </c>
      <c r="TJS29" t="s">
        <v>836</v>
      </c>
      <c r="TJT29" t="s">
        <v>836</v>
      </c>
      <c r="TJU29" t="s">
        <v>836</v>
      </c>
      <c r="TJV29" t="s">
        <v>836</v>
      </c>
      <c r="TJW29" t="s">
        <v>836</v>
      </c>
      <c r="TJX29" t="s">
        <v>836</v>
      </c>
      <c r="TJY29" t="s">
        <v>836</v>
      </c>
      <c r="TJZ29" t="s">
        <v>836</v>
      </c>
      <c r="TKA29" t="s">
        <v>836</v>
      </c>
      <c r="TKB29" t="s">
        <v>836</v>
      </c>
      <c r="TKC29" t="s">
        <v>836</v>
      </c>
      <c r="TKD29" t="s">
        <v>836</v>
      </c>
      <c r="TKE29" t="s">
        <v>836</v>
      </c>
      <c r="TKF29" t="s">
        <v>836</v>
      </c>
      <c r="TKG29" t="s">
        <v>836</v>
      </c>
      <c r="TKH29" t="s">
        <v>836</v>
      </c>
      <c r="TKI29" t="s">
        <v>836</v>
      </c>
      <c r="TKJ29" t="s">
        <v>836</v>
      </c>
      <c r="TKK29" t="s">
        <v>836</v>
      </c>
      <c r="TKL29" t="s">
        <v>836</v>
      </c>
      <c r="TKM29" t="s">
        <v>836</v>
      </c>
      <c r="TKN29" t="s">
        <v>836</v>
      </c>
      <c r="TKO29" t="s">
        <v>836</v>
      </c>
      <c r="TKP29" t="s">
        <v>836</v>
      </c>
      <c r="TKQ29" t="s">
        <v>836</v>
      </c>
      <c r="TKR29" t="s">
        <v>836</v>
      </c>
      <c r="TKS29" t="s">
        <v>836</v>
      </c>
      <c r="TKT29" t="s">
        <v>836</v>
      </c>
      <c r="TKU29" t="s">
        <v>836</v>
      </c>
      <c r="TKV29" t="s">
        <v>836</v>
      </c>
      <c r="TKW29" t="s">
        <v>836</v>
      </c>
      <c r="TKX29" t="s">
        <v>836</v>
      </c>
      <c r="TKY29" t="s">
        <v>836</v>
      </c>
      <c r="TKZ29" t="s">
        <v>836</v>
      </c>
      <c r="TLA29" t="s">
        <v>836</v>
      </c>
      <c r="TLB29" t="s">
        <v>836</v>
      </c>
      <c r="TLC29" t="s">
        <v>836</v>
      </c>
      <c r="TLD29" t="s">
        <v>836</v>
      </c>
      <c r="TLE29" t="s">
        <v>836</v>
      </c>
      <c r="TLF29" t="s">
        <v>836</v>
      </c>
      <c r="TLG29" t="s">
        <v>836</v>
      </c>
      <c r="TLH29" t="s">
        <v>836</v>
      </c>
      <c r="TLI29" t="s">
        <v>836</v>
      </c>
      <c r="TLJ29" t="s">
        <v>836</v>
      </c>
      <c r="TLK29" t="s">
        <v>836</v>
      </c>
      <c r="TLL29" t="s">
        <v>836</v>
      </c>
      <c r="TLM29" t="s">
        <v>836</v>
      </c>
      <c r="TLN29" t="s">
        <v>836</v>
      </c>
      <c r="TLO29" t="s">
        <v>836</v>
      </c>
      <c r="TLP29" t="s">
        <v>836</v>
      </c>
      <c r="TLQ29" t="s">
        <v>836</v>
      </c>
      <c r="TLR29" t="s">
        <v>836</v>
      </c>
      <c r="TLS29" t="s">
        <v>836</v>
      </c>
      <c r="TLT29" t="s">
        <v>836</v>
      </c>
      <c r="TLU29" t="s">
        <v>836</v>
      </c>
      <c r="TLV29" t="s">
        <v>836</v>
      </c>
      <c r="TLW29" t="s">
        <v>836</v>
      </c>
      <c r="TLX29" t="s">
        <v>836</v>
      </c>
      <c r="TLY29" t="s">
        <v>836</v>
      </c>
      <c r="TLZ29" t="s">
        <v>836</v>
      </c>
      <c r="TMA29" t="s">
        <v>836</v>
      </c>
      <c r="TMB29" t="s">
        <v>836</v>
      </c>
      <c r="TMC29" t="s">
        <v>836</v>
      </c>
      <c r="TMD29" t="s">
        <v>836</v>
      </c>
      <c r="TME29" t="s">
        <v>836</v>
      </c>
      <c r="TMF29" t="s">
        <v>836</v>
      </c>
      <c r="TMG29" t="s">
        <v>836</v>
      </c>
      <c r="TMH29" t="s">
        <v>836</v>
      </c>
      <c r="TMI29" t="s">
        <v>836</v>
      </c>
      <c r="TMJ29" t="s">
        <v>836</v>
      </c>
      <c r="TMK29" t="s">
        <v>836</v>
      </c>
      <c r="TML29" t="s">
        <v>836</v>
      </c>
      <c r="TMM29" t="s">
        <v>836</v>
      </c>
      <c r="TMN29" t="s">
        <v>836</v>
      </c>
      <c r="TMO29" t="s">
        <v>836</v>
      </c>
      <c r="TMP29" t="s">
        <v>836</v>
      </c>
      <c r="TMQ29" t="s">
        <v>836</v>
      </c>
      <c r="TMR29" t="s">
        <v>836</v>
      </c>
      <c r="TMS29" t="s">
        <v>836</v>
      </c>
      <c r="TMT29" t="s">
        <v>836</v>
      </c>
      <c r="TMU29" t="s">
        <v>836</v>
      </c>
      <c r="TMV29" t="s">
        <v>836</v>
      </c>
      <c r="TMW29" t="s">
        <v>836</v>
      </c>
      <c r="TMX29" t="s">
        <v>836</v>
      </c>
      <c r="TMY29" t="s">
        <v>836</v>
      </c>
      <c r="TMZ29" t="s">
        <v>836</v>
      </c>
      <c r="TNA29" t="s">
        <v>836</v>
      </c>
      <c r="TNB29" t="s">
        <v>836</v>
      </c>
      <c r="TNC29" t="s">
        <v>836</v>
      </c>
      <c r="TND29" t="s">
        <v>836</v>
      </c>
      <c r="TNE29" t="s">
        <v>836</v>
      </c>
      <c r="TNF29" t="s">
        <v>836</v>
      </c>
      <c r="TNG29" t="s">
        <v>836</v>
      </c>
      <c r="TNH29" t="s">
        <v>836</v>
      </c>
      <c r="TNI29" t="s">
        <v>836</v>
      </c>
      <c r="TNJ29" t="s">
        <v>836</v>
      </c>
      <c r="TNK29" t="s">
        <v>836</v>
      </c>
      <c r="TNL29" t="s">
        <v>836</v>
      </c>
      <c r="TNM29" t="s">
        <v>836</v>
      </c>
      <c r="TNN29" t="s">
        <v>836</v>
      </c>
      <c r="TNO29" t="s">
        <v>836</v>
      </c>
      <c r="TNP29" t="s">
        <v>836</v>
      </c>
      <c r="TNQ29" t="s">
        <v>836</v>
      </c>
      <c r="TNR29" t="s">
        <v>836</v>
      </c>
      <c r="TNS29" t="s">
        <v>836</v>
      </c>
      <c r="TNT29" t="s">
        <v>836</v>
      </c>
      <c r="TNU29" t="s">
        <v>836</v>
      </c>
      <c r="TNV29" t="s">
        <v>836</v>
      </c>
      <c r="TNW29" t="s">
        <v>836</v>
      </c>
      <c r="TNX29" t="s">
        <v>836</v>
      </c>
      <c r="TNY29" t="s">
        <v>836</v>
      </c>
      <c r="TNZ29" t="s">
        <v>836</v>
      </c>
      <c r="TOA29" t="s">
        <v>836</v>
      </c>
      <c r="TOB29" t="s">
        <v>836</v>
      </c>
      <c r="TOC29" t="s">
        <v>836</v>
      </c>
      <c r="TOD29" t="s">
        <v>836</v>
      </c>
      <c r="TOE29" t="s">
        <v>836</v>
      </c>
      <c r="TOF29" t="s">
        <v>836</v>
      </c>
      <c r="TOG29" t="s">
        <v>836</v>
      </c>
      <c r="TOH29" t="s">
        <v>836</v>
      </c>
      <c r="TOI29" t="s">
        <v>836</v>
      </c>
      <c r="TOJ29" t="s">
        <v>836</v>
      </c>
      <c r="TOK29" t="s">
        <v>836</v>
      </c>
      <c r="TOL29" t="s">
        <v>836</v>
      </c>
      <c r="TOM29" t="s">
        <v>836</v>
      </c>
      <c r="TON29" t="s">
        <v>836</v>
      </c>
      <c r="TOO29" t="s">
        <v>836</v>
      </c>
      <c r="TOP29" t="s">
        <v>836</v>
      </c>
      <c r="TOQ29" t="s">
        <v>836</v>
      </c>
      <c r="TOR29" t="s">
        <v>836</v>
      </c>
      <c r="TOS29" t="s">
        <v>836</v>
      </c>
      <c r="TOT29" t="s">
        <v>836</v>
      </c>
      <c r="TOU29" t="s">
        <v>836</v>
      </c>
      <c r="TOV29" t="s">
        <v>836</v>
      </c>
      <c r="TOW29" t="s">
        <v>836</v>
      </c>
      <c r="TOX29" t="s">
        <v>836</v>
      </c>
      <c r="TOY29" t="s">
        <v>836</v>
      </c>
      <c r="TOZ29" t="s">
        <v>836</v>
      </c>
      <c r="TPA29" t="s">
        <v>836</v>
      </c>
      <c r="TPB29" t="s">
        <v>836</v>
      </c>
      <c r="TPC29" t="s">
        <v>836</v>
      </c>
      <c r="TPD29" t="s">
        <v>836</v>
      </c>
      <c r="TPE29" t="s">
        <v>836</v>
      </c>
      <c r="TPF29" t="s">
        <v>836</v>
      </c>
      <c r="TPG29" t="s">
        <v>836</v>
      </c>
      <c r="TPH29" t="s">
        <v>836</v>
      </c>
      <c r="TPI29" t="s">
        <v>836</v>
      </c>
      <c r="TPJ29" t="s">
        <v>836</v>
      </c>
      <c r="TPK29" t="s">
        <v>836</v>
      </c>
      <c r="TPL29" t="s">
        <v>836</v>
      </c>
      <c r="TPM29" t="s">
        <v>836</v>
      </c>
      <c r="TPN29" t="s">
        <v>836</v>
      </c>
      <c r="TPO29" t="s">
        <v>836</v>
      </c>
      <c r="TPP29" t="s">
        <v>836</v>
      </c>
      <c r="TPQ29" t="s">
        <v>836</v>
      </c>
      <c r="TPR29" t="s">
        <v>836</v>
      </c>
      <c r="TPS29" t="s">
        <v>836</v>
      </c>
      <c r="TPT29" t="s">
        <v>836</v>
      </c>
      <c r="TPU29" t="s">
        <v>836</v>
      </c>
      <c r="TPV29" t="s">
        <v>836</v>
      </c>
      <c r="TPW29" t="s">
        <v>836</v>
      </c>
      <c r="TPX29" t="s">
        <v>836</v>
      </c>
      <c r="TPY29" t="s">
        <v>836</v>
      </c>
      <c r="TPZ29" t="s">
        <v>836</v>
      </c>
      <c r="TQA29" t="s">
        <v>836</v>
      </c>
      <c r="TQB29" t="s">
        <v>836</v>
      </c>
      <c r="TQC29" t="s">
        <v>836</v>
      </c>
      <c r="TQD29" t="s">
        <v>836</v>
      </c>
      <c r="TQE29" t="s">
        <v>836</v>
      </c>
      <c r="TQF29" t="s">
        <v>836</v>
      </c>
      <c r="TQG29" t="s">
        <v>836</v>
      </c>
      <c r="TQH29" t="s">
        <v>836</v>
      </c>
      <c r="TQI29" t="s">
        <v>836</v>
      </c>
      <c r="TQJ29" t="s">
        <v>836</v>
      </c>
      <c r="TQK29" t="s">
        <v>836</v>
      </c>
      <c r="TQL29" t="s">
        <v>836</v>
      </c>
      <c r="TQM29" t="s">
        <v>836</v>
      </c>
      <c r="TQN29" t="s">
        <v>836</v>
      </c>
      <c r="TQO29" t="s">
        <v>836</v>
      </c>
      <c r="TQP29" t="s">
        <v>836</v>
      </c>
      <c r="TQQ29" t="s">
        <v>836</v>
      </c>
      <c r="TQR29" t="s">
        <v>836</v>
      </c>
      <c r="TQS29" t="s">
        <v>836</v>
      </c>
      <c r="TQT29" t="s">
        <v>836</v>
      </c>
      <c r="TQU29" t="s">
        <v>836</v>
      </c>
      <c r="TQV29" t="s">
        <v>836</v>
      </c>
      <c r="TQW29" t="s">
        <v>836</v>
      </c>
      <c r="TQX29" t="s">
        <v>836</v>
      </c>
      <c r="TQY29" t="s">
        <v>836</v>
      </c>
      <c r="TQZ29" t="s">
        <v>836</v>
      </c>
      <c r="TRA29" t="s">
        <v>836</v>
      </c>
      <c r="TRB29" t="s">
        <v>836</v>
      </c>
      <c r="TRC29" t="s">
        <v>836</v>
      </c>
      <c r="TRD29" t="s">
        <v>836</v>
      </c>
      <c r="TRE29" t="s">
        <v>836</v>
      </c>
      <c r="TRF29" t="s">
        <v>836</v>
      </c>
      <c r="TRG29" t="s">
        <v>836</v>
      </c>
      <c r="TRH29" t="s">
        <v>836</v>
      </c>
      <c r="TRI29" t="s">
        <v>836</v>
      </c>
      <c r="TRJ29" t="s">
        <v>836</v>
      </c>
      <c r="TRK29" t="s">
        <v>836</v>
      </c>
      <c r="TRL29" t="s">
        <v>836</v>
      </c>
      <c r="TRM29" t="s">
        <v>836</v>
      </c>
      <c r="TRN29" t="s">
        <v>836</v>
      </c>
      <c r="TRO29" t="s">
        <v>836</v>
      </c>
      <c r="TRP29" t="s">
        <v>836</v>
      </c>
      <c r="TRQ29" t="s">
        <v>836</v>
      </c>
      <c r="TRR29" t="s">
        <v>836</v>
      </c>
      <c r="TRS29" t="s">
        <v>836</v>
      </c>
      <c r="TRT29" t="s">
        <v>836</v>
      </c>
      <c r="TRU29" t="s">
        <v>836</v>
      </c>
      <c r="TRV29" t="s">
        <v>836</v>
      </c>
      <c r="TRW29" t="s">
        <v>836</v>
      </c>
      <c r="TRX29" t="s">
        <v>836</v>
      </c>
      <c r="TRY29" t="s">
        <v>836</v>
      </c>
      <c r="TRZ29" t="s">
        <v>836</v>
      </c>
      <c r="TSA29" t="s">
        <v>836</v>
      </c>
      <c r="TSB29" t="s">
        <v>836</v>
      </c>
      <c r="TSC29" t="s">
        <v>836</v>
      </c>
      <c r="TSD29" t="s">
        <v>836</v>
      </c>
      <c r="TSE29" t="s">
        <v>836</v>
      </c>
      <c r="TSF29" t="s">
        <v>836</v>
      </c>
      <c r="TSG29" t="s">
        <v>836</v>
      </c>
      <c r="TSH29" t="s">
        <v>836</v>
      </c>
      <c r="TSI29" t="s">
        <v>836</v>
      </c>
      <c r="TSJ29" t="s">
        <v>836</v>
      </c>
      <c r="TSK29" t="s">
        <v>836</v>
      </c>
      <c r="TSL29" t="s">
        <v>836</v>
      </c>
      <c r="TSM29" t="s">
        <v>836</v>
      </c>
      <c r="TSN29" t="s">
        <v>836</v>
      </c>
      <c r="TSO29" t="s">
        <v>836</v>
      </c>
      <c r="TSP29" t="s">
        <v>836</v>
      </c>
      <c r="TSQ29" t="s">
        <v>836</v>
      </c>
      <c r="TSR29" t="s">
        <v>836</v>
      </c>
      <c r="TSS29" t="s">
        <v>836</v>
      </c>
      <c r="TST29" t="s">
        <v>836</v>
      </c>
      <c r="TSU29" t="s">
        <v>836</v>
      </c>
      <c r="TSV29" t="s">
        <v>836</v>
      </c>
      <c r="TSW29" t="s">
        <v>836</v>
      </c>
      <c r="TSX29" t="s">
        <v>836</v>
      </c>
      <c r="TSY29" t="s">
        <v>836</v>
      </c>
      <c r="TSZ29" t="s">
        <v>836</v>
      </c>
      <c r="TTA29" t="s">
        <v>836</v>
      </c>
      <c r="TTB29" t="s">
        <v>836</v>
      </c>
      <c r="TTC29" t="s">
        <v>836</v>
      </c>
      <c r="TTD29" t="s">
        <v>836</v>
      </c>
      <c r="TTE29" t="s">
        <v>836</v>
      </c>
      <c r="TTF29" t="s">
        <v>836</v>
      </c>
      <c r="TTG29" t="s">
        <v>836</v>
      </c>
      <c r="TTH29" t="s">
        <v>836</v>
      </c>
      <c r="TTI29" t="s">
        <v>836</v>
      </c>
      <c r="TTJ29" t="s">
        <v>836</v>
      </c>
      <c r="TTK29" t="s">
        <v>836</v>
      </c>
      <c r="TTL29" t="s">
        <v>836</v>
      </c>
      <c r="TTM29" t="s">
        <v>836</v>
      </c>
      <c r="TTN29" t="s">
        <v>836</v>
      </c>
      <c r="TTO29" t="s">
        <v>836</v>
      </c>
      <c r="TTP29" t="s">
        <v>836</v>
      </c>
      <c r="TTQ29" t="s">
        <v>836</v>
      </c>
      <c r="TTR29" t="s">
        <v>836</v>
      </c>
      <c r="TTS29" t="s">
        <v>836</v>
      </c>
      <c r="TTT29" t="s">
        <v>836</v>
      </c>
      <c r="TTU29" t="s">
        <v>836</v>
      </c>
      <c r="TTV29" t="s">
        <v>836</v>
      </c>
      <c r="TTW29" t="s">
        <v>836</v>
      </c>
      <c r="TTX29" t="s">
        <v>836</v>
      </c>
      <c r="TTY29" t="s">
        <v>836</v>
      </c>
      <c r="TTZ29" t="s">
        <v>836</v>
      </c>
      <c r="TUA29" t="s">
        <v>836</v>
      </c>
      <c r="TUB29" t="s">
        <v>836</v>
      </c>
      <c r="TUC29" t="s">
        <v>836</v>
      </c>
      <c r="TUD29" t="s">
        <v>836</v>
      </c>
      <c r="TUE29" t="s">
        <v>836</v>
      </c>
      <c r="TUF29" t="s">
        <v>836</v>
      </c>
      <c r="TUG29" t="s">
        <v>836</v>
      </c>
      <c r="TUH29" t="s">
        <v>836</v>
      </c>
      <c r="TUI29" t="s">
        <v>836</v>
      </c>
      <c r="TUJ29" t="s">
        <v>836</v>
      </c>
      <c r="TUK29" t="s">
        <v>836</v>
      </c>
      <c r="TUL29" t="s">
        <v>836</v>
      </c>
      <c r="TUM29" t="s">
        <v>836</v>
      </c>
      <c r="TUN29" t="s">
        <v>836</v>
      </c>
      <c r="TUO29" t="s">
        <v>836</v>
      </c>
      <c r="TUP29" t="s">
        <v>836</v>
      </c>
      <c r="TUQ29" t="s">
        <v>836</v>
      </c>
      <c r="TUR29" t="s">
        <v>836</v>
      </c>
      <c r="TUS29" t="s">
        <v>836</v>
      </c>
      <c r="TUT29" t="s">
        <v>836</v>
      </c>
      <c r="TUU29" t="s">
        <v>836</v>
      </c>
      <c r="TUV29" t="s">
        <v>836</v>
      </c>
      <c r="TUW29" t="s">
        <v>836</v>
      </c>
      <c r="TUX29" t="s">
        <v>836</v>
      </c>
      <c r="TUY29" t="s">
        <v>836</v>
      </c>
      <c r="TUZ29" t="s">
        <v>836</v>
      </c>
      <c r="TVA29" t="s">
        <v>836</v>
      </c>
      <c r="TVB29" t="s">
        <v>836</v>
      </c>
      <c r="TVC29" t="s">
        <v>836</v>
      </c>
      <c r="TVD29" t="s">
        <v>836</v>
      </c>
      <c r="TVE29" t="s">
        <v>836</v>
      </c>
      <c r="TVF29" t="s">
        <v>836</v>
      </c>
      <c r="TVG29" t="s">
        <v>836</v>
      </c>
      <c r="TVH29" t="s">
        <v>836</v>
      </c>
      <c r="TVI29" t="s">
        <v>836</v>
      </c>
      <c r="TVJ29" t="s">
        <v>836</v>
      </c>
      <c r="TVK29" t="s">
        <v>836</v>
      </c>
      <c r="TVL29" t="s">
        <v>836</v>
      </c>
      <c r="TVM29" t="s">
        <v>836</v>
      </c>
      <c r="TVN29" t="s">
        <v>836</v>
      </c>
      <c r="TVO29" t="s">
        <v>836</v>
      </c>
      <c r="TVP29" t="s">
        <v>836</v>
      </c>
      <c r="TVQ29" t="s">
        <v>836</v>
      </c>
      <c r="TVR29" t="s">
        <v>836</v>
      </c>
      <c r="TVS29" t="s">
        <v>836</v>
      </c>
      <c r="TVT29" t="s">
        <v>836</v>
      </c>
      <c r="TVU29" t="s">
        <v>836</v>
      </c>
      <c r="TVV29" t="s">
        <v>836</v>
      </c>
      <c r="TVW29" t="s">
        <v>836</v>
      </c>
      <c r="TVX29" t="s">
        <v>836</v>
      </c>
      <c r="TVY29" t="s">
        <v>836</v>
      </c>
      <c r="TVZ29" t="s">
        <v>836</v>
      </c>
      <c r="TWA29" t="s">
        <v>836</v>
      </c>
      <c r="TWB29" t="s">
        <v>836</v>
      </c>
      <c r="TWC29" t="s">
        <v>836</v>
      </c>
      <c r="TWD29" t="s">
        <v>836</v>
      </c>
      <c r="TWE29" t="s">
        <v>836</v>
      </c>
      <c r="TWF29" t="s">
        <v>836</v>
      </c>
      <c r="TWG29" t="s">
        <v>836</v>
      </c>
      <c r="TWH29" t="s">
        <v>836</v>
      </c>
      <c r="TWI29" t="s">
        <v>836</v>
      </c>
      <c r="TWJ29" t="s">
        <v>836</v>
      </c>
      <c r="TWK29" t="s">
        <v>836</v>
      </c>
      <c r="TWL29" t="s">
        <v>836</v>
      </c>
      <c r="TWM29" t="s">
        <v>836</v>
      </c>
      <c r="TWN29" t="s">
        <v>836</v>
      </c>
      <c r="TWO29" t="s">
        <v>836</v>
      </c>
      <c r="TWP29" t="s">
        <v>836</v>
      </c>
      <c r="TWQ29" t="s">
        <v>836</v>
      </c>
      <c r="TWR29" t="s">
        <v>836</v>
      </c>
      <c r="TWS29" t="s">
        <v>836</v>
      </c>
      <c r="TWT29" t="s">
        <v>836</v>
      </c>
      <c r="TWU29" t="s">
        <v>836</v>
      </c>
      <c r="TWV29" t="s">
        <v>836</v>
      </c>
      <c r="TWW29" t="s">
        <v>836</v>
      </c>
      <c r="TWX29" t="s">
        <v>836</v>
      </c>
      <c r="TWY29" t="s">
        <v>836</v>
      </c>
      <c r="TWZ29" t="s">
        <v>836</v>
      </c>
      <c r="TXA29" t="s">
        <v>836</v>
      </c>
      <c r="TXB29" t="s">
        <v>836</v>
      </c>
      <c r="TXC29" t="s">
        <v>836</v>
      </c>
      <c r="TXD29" t="s">
        <v>836</v>
      </c>
      <c r="TXE29" t="s">
        <v>836</v>
      </c>
      <c r="TXF29" t="s">
        <v>836</v>
      </c>
      <c r="TXG29" t="s">
        <v>836</v>
      </c>
      <c r="TXH29" t="s">
        <v>836</v>
      </c>
      <c r="TXI29" t="s">
        <v>836</v>
      </c>
      <c r="TXJ29" t="s">
        <v>836</v>
      </c>
      <c r="TXK29" t="s">
        <v>836</v>
      </c>
      <c r="TXL29" t="s">
        <v>836</v>
      </c>
      <c r="TXM29" t="s">
        <v>836</v>
      </c>
      <c r="TXN29" t="s">
        <v>836</v>
      </c>
      <c r="TXO29" t="s">
        <v>836</v>
      </c>
      <c r="TXP29" t="s">
        <v>836</v>
      </c>
      <c r="TXQ29" t="s">
        <v>836</v>
      </c>
      <c r="TXR29" t="s">
        <v>836</v>
      </c>
      <c r="TXS29" t="s">
        <v>836</v>
      </c>
      <c r="TXT29" t="s">
        <v>836</v>
      </c>
      <c r="TXU29" t="s">
        <v>836</v>
      </c>
      <c r="TXV29" t="s">
        <v>836</v>
      </c>
      <c r="TXW29" t="s">
        <v>836</v>
      </c>
      <c r="TXX29" t="s">
        <v>836</v>
      </c>
      <c r="TXY29" t="s">
        <v>836</v>
      </c>
      <c r="TXZ29" t="s">
        <v>836</v>
      </c>
      <c r="TYA29" t="s">
        <v>836</v>
      </c>
      <c r="TYB29" t="s">
        <v>836</v>
      </c>
      <c r="TYC29" t="s">
        <v>836</v>
      </c>
      <c r="TYD29" t="s">
        <v>836</v>
      </c>
      <c r="TYE29" t="s">
        <v>836</v>
      </c>
      <c r="TYF29" t="s">
        <v>836</v>
      </c>
      <c r="TYG29" t="s">
        <v>836</v>
      </c>
      <c r="TYH29" t="s">
        <v>836</v>
      </c>
      <c r="TYI29" t="s">
        <v>836</v>
      </c>
      <c r="TYJ29" t="s">
        <v>836</v>
      </c>
      <c r="TYK29" t="s">
        <v>836</v>
      </c>
      <c r="TYL29" t="s">
        <v>836</v>
      </c>
      <c r="TYM29" t="s">
        <v>836</v>
      </c>
      <c r="TYN29" t="s">
        <v>836</v>
      </c>
      <c r="TYO29" t="s">
        <v>836</v>
      </c>
      <c r="TYP29" t="s">
        <v>836</v>
      </c>
      <c r="TYQ29" t="s">
        <v>836</v>
      </c>
      <c r="TYR29" t="s">
        <v>836</v>
      </c>
      <c r="TYS29" t="s">
        <v>836</v>
      </c>
      <c r="TYT29" t="s">
        <v>836</v>
      </c>
      <c r="TYU29" t="s">
        <v>836</v>
      </c>
      <c r="TYV29" t="s">
        <v>836</v>
      </c>
      <c r="TYW29" t="s">
        <v>836</v>
      </c>
      <c r="TYX29" t="s">
        <v>836</v>
      </c>
      <c r="TYY29" t="s">
        <v>836</v>
      </c>
      <c r="TYZ29" t="s">
        <v>836</v>
      </c>
      <c r="TZA29" t="s">
        <v>836</v>
      </c>
      <c r="TZB29" t="s">
        <v>836</v>
      </c>
      <c r="TZC29" t="s">
        <v>836</v>
      </c>
      <c r="TZD29" t="s">
        <v>836</v>
      </c>
      <c r="TZE29" t="s">
        <v>836</v>
      </c>
      <c r="TZF29" t="s">
        <v>836</v>
      </c>
      <c r="TZG29" t="s">
        <v>836</v>
      </c>
      <c r="TZH29" t="s">
        <v>836</v>
      </c>
      <c r="TZI29" t="s">
        <v>836</v>
      </c>
      <c r="TZJ29" t="s">
        <v>836</v>
      </c>
      <c r="TZK29" t="s">
        <v>836</v>
      </c>
      <c r="TZL29" t="s">
        <v>836</v>
      </c>
      <c r="TZM29" t="s">
        <v>836</v>
      </c>
      <c r="TZN29" t="s">
        <v>836</v>
      </c>
      <c r="TZO29" t="s">
        <v>836</v>
      </c>
      <c r="TZP29" t="s">
        <v>836</v>
      </c>
      <c r="TZQ29" t="s">
        <v>836</v>
      </c>
      <c r="TZR29" t="s">
        <v>836</v>
      </c>
      <c r="TZS29" t="s">
        <v>836</v>
      </c>
      <c r="TZT29" t="s">
        <v>836</v>
      </c>
      <c r="TZU29" t="s">
        <v>836</v>
      </c>
      <c r="TZV29" t="s">
        <v>836</v>
      </c>
      <c r="TZW29" t="s">
        <v>836</v>
      </c>
      <c r="TZX29" t="s">
        <v>836</v>
      </c>
      <c r="TZY29" t="s">
        <v>836</v>
      </c>
      <c r="TZZ29" t="s">
        <v>836</v>
      </c>
      <c r="UAA29" t="s">
        <v>836</v>
      </c>
      <c r="UAB29" t="s">
        <v>836</v>
      </c>
      <c r="UAC29" t="s">
        <v>836</v>
      </c>
      <c r="UAD29" t="s">
        <v>836</v>
      </c>
      <c r="UAE29" t="s">
        <v>836</v>
      </c>
      <c r="UAF29" t="s">
        <v>836</v>
      </c>
      <c r="UAG29" t="s">
        <v>836</v>
      </c>
      <c r="UAH29" t="s">
        <v>836</v>
      </c>
      <c r="UAI29" t="s">
        <v>836</v>
      </c>
      <c r="UAJ29" t="s">
        <v>836</v>
      </c>
      <c r="UAK29" t="s">
        <v>836</v>
      </c>
      <c r="UAL29" t="s">
        <v>836</v>
      </c>
      <c r="UAM29" t="s">
        <v>836</v>
      </c>
      <c r="UAN29" t="s">
        <v>836</v>
      </c>
      <c r="UAO29" t="s">
        <v>836</v>
      </c>
      <c r="UAP29" t="s">
        <v>836</v>
      </c>
      <c r="UAQ29" t="s">
        <v>836</v>
      </c>
      <c r="UAR29" t="s">
        <v>836</v>
      </c>
      <c r="UAS29" t="s">
        <v>836</v>
      </c>
      <c r="UAT29" t="s">
        <v>836</v>
      </c>
      <c r="UAU29" t="s">
        <v>836</v>
      </c>
      <c r="UAV29" t="s">
        <v>836</v>
      </c>
      <c r="UAW29" t="s">
        <v>836</v>
      </c>
      <c r="UAX29" t="s">
        <v>836</v>
      </c>
      <c r="UAY29" t="s">
        <v>836</v>
      </c>
      <c r="UAZ29" t="s">
        <v>836</v>
      </c>
      <c r="UBA29" t="s">
        <v>836</v>
      </c>
      <c r="UBB29" t="s">
        <v>836</v>
      </c>
      <c r="UBC29" t="s">
        <v>836</v>
      </c>
      <c r="UBD29" t="s">
        <v>836</v>
      </c>
      <c r="UBE29" t="s">
        <v>836</v>
      </c>
      <c r="UBF29" t="s">
        <v>836</v>
      </c>
      <c r="UBG29" t="s">
        <v>836</v>
      </c>
      <c r="UBH29" t="s">
        <v>836</v>
      </c>
      <c r="UBI29" t="s">
        <v>836</v>
      </c>
      <c r="UBJ29" t="s">
        <v>836</v>
      </c>
      <c r="UBK29" t="s">
        <v>836</v>
      </c>
      <c r="UBL29" t="s">
        <v>836</v>
      </c>
      <c r="UBM29" t="s">
        <v>836</v>
      </c>
      <c r="UBN29" t="s">
        <v>836</v>
      </c>
      <c r="UBO29" t="s">
        <v>836</v>
      </c>
      <c r="UBP29" t="s">
        <v>836</v>
      </c>
      <c r="UBQ29" t="s">
        <v>836</v>
      </c>
      <c r="UBR29" t="s">
        <v>836</v>
      </c>
      <c r="UBS29" t="s">
        <v>836</v>
      </c>
      <c r="UBT29" t="s">
        <v>836</v>
      </c>
      <c r="UBU29" t="s">
        <v>836</v>
      </c>
      <c r="UBV29" t="s">
        <v>836</v>
      </c>
      <c r="UBW29" t="s">
        <v>836</v>
      </c>
      <c r="UBX29" t="s">
        <v>836</v>
      </c>
      <c r="UBY29" t="s">
        <v>836</v>
      </c>
      <c r="UBZ29" t="s">
        <v>836</v>
      </c>
      <c r="UCA29" t="s">
        <v>836</v>
      </c>
      <c r="UCB29" t="s">
        <v>836</v>
      </c>
      <c r="UCC29" t="s">
        <v>836</v>
      </c>
      <c r="UCD29" t="s">
        <v>836</v>
      </c>
      <c r="UCE29" t="s">
        <v>836</v>
      </c>
      <c r="UCF29" t="s">
        <v>836</v>
      </c>
      <c r="UCG29" t="s">
        <v>836</v>
      </c>
      <c r="UCH29" t="s">
        <v>836</v>
      </c>
      <c r="UCI29" t="s">
        <v>836</v>
      </c>
      <c r="UCJ29" t="s">
        <v>836</v>
      </c>
      <c r="UCK29" t="s">
        <v>836</v>
      </c>
      <c r="UCL29" t="s">
        <v>836</v>
      </c>
      <c r="UCM29" t="s">
        <v>836</v>
      </c>
      <c r="UCN29" t="s">
        <v>836</v>
      </c>
      <c r="UCO29" t="s">
        <v>836</v>
      </c>
      <c r="UCP29" t="s">
        <v>836</v>
      </c>
      <c r="UCQ29" t="s">
        <v>836</v>
      </c>
      <c r="UCR29" t="s">
        <v>836</v>
      </c>
      <c r="UCS29" t="s">
        <v>836</v>
      </c>
      <c r="UCT29" t="s">
        <v>836</v>
      </c>
      <c r="UCU29" t="s">
        <v>836</v>
      </c>
      <c r="UCV29" t="s">
        <v>836</v>
      </c>
      <c r="UCW29" t="s">
        <v>836</v>
      </c>
      <c r="UCX29" t="s">
        <v>836</v>
      </c>
      <c r="UCY29" t="s">
        <v>836</v>
      </c>
      <c r="UCZ29" t="s">
        <v>836</v>
      </c>
      <c r="UDA29" t="s">
        <v>836</v>
      </c>
      <c r="UDB29" t="s">
        <v>836</v>
      </c>
      <c r="UDC29" t="s">
        <v>836</v>
      </c>
      <c r="UDD29" t="s">
        <v>836</v>
      </c>
      <c r="UDE29" t="s">
        <v>836</v>
      </c>
      <c r="UDF29" t="s">
        <v>836</v>
      </c>
      <c r="UDG29" t="s">
        <v>836</v>
      </c>
      <c r="UDH29" t="s">
        <v>836</v>
      </c>
      <c r="UDI29" t="s">
        <v>836</v>
      </c>
      <c r="UDJ29" t="s">
        <v>836</v>
      </c>
      <c r="UDK29" t="s">
        <v>836</v>
      </c>
      <c r="UDL29" t="s">
        <v>836</v>
      </c>
      <c r="UDM29" t="s">
        <v>836</v>
      </c>
      <c r="UDN29" t="s">
        <v>836</v>
      </c>
      <c r="UDO29" t="s">
        <v>836</v>
      </c>
      <c r="UDP29" t="s">
        <v>836</v>
      </c>
      <c r="UDQ29" t="s">
        <v>836</v>
      </c>
      <c r="UDR29" t="s">
        <v>836</v>
      </c>
      <c r="UDS29" t="s">
        <v>836</v>
      </c>
      <c r="UDT29" t="s">
        <v>836</v>
      </c>
      <c r="UDU29" t="s">
        <v>836</v>
      </c>
      <c r="UDV29" t="s">
        <v>836</v>
      </c>
      <c r="UDW29" t="s">
        <v>836</v>
      </c>
      <c r="UDX29" t="s">
        <v>836</v>
      </c>
      <c r="UDY29" t="s">
        <v>836</v>
      </c>
      <c r="UDZ29" t="s">
        <v>836</v>
      </c>
      <c r="UEA29" t="s">
        <v>836</v>
      </c>
      <c r="UEB29" t="s">
        <v>836</v>
      </c>
      <c r="UEC29" t="s">
        <v>836</v>
      </c>
      <c r="UED29" t="s">
        <v>836</v>
      </c>
      <c r="UEE29" t="s">
        <v>836</v>
      </c>
      <c r="UEF29" t="s">
        <v>836</v>
      </c>
      <c r="UEG29" t="s">
        <v>836</v>
      </c>
      <c r="UEH29" t="s">
        <v>836</v>
      </c>
      <c r="UEI29" t="s">
        <v>836</v>
      </c>
      <c r="UEJ29" t="s">
        <v>836</v>
      </c>
      <c r="UEK29" t="s">
        <v>836</v>
      </c>
      <c r="UEL29" t="s">
        <v>836</v>
      </c>
      <c r="UEM29" t="s">
        <v>836</v>
      </c>
      <c r="UEN29" t="s">
        <v>836</v>
      </c>
      <c r="UEO29" t="s">
        <v>836</v>
      </c>
      <c r="UEP29" t="s">
        <v>836</v>
      </c>
      <c r="UEQ29" t="s">
        <v>836</v>
      </c>
      <c r="UER29" t="s">
        <v>836</v>
      </c>
      <c r="UES29" t="s">
        <v>836</v>
      </c>
      <c r="UET29" t="s">
        <v>836</v>
      </c>
      <c r="UEU29" t="s">
        <v>836</v>
      </c>
      <c r="UEV29" t="s">
        <v>836</v>
      </c>
      <c r="UEW29" t="s">
        <v>836</v>
      </c>
      <c r="UEX29" t="s">
        <v>836</v>
      </c>
      <c r="UEY29" t="s">
        <v>836</v>
      </c>
      <c r="UEZ29" t="s">
        <v>836</v>
      </c>
      <c r="UFA29" t="s">
        <v>836</v>
      </c>
      <c r="UFB29" t="s">
        <v>836</v>
      </c>
      <c r="UFC29" t="s">
        <v>836</v>
      </c>
      <c r="UFD29" t="s">
        <v>836</v>
      </c>
      <c r="UFE29" t="s">
        <v>836</v>
      </c>
      <c r="UFF29" t="s">
        <v>836</v>
      </c>
      <c r="UFG29" t="s">
        <v>836</v>
      </c>
      <c r="UFH29" t="s">
        <v>836</v>
      </c>
      <c r="UFI29" t="s">
        <v>836</v>
      </c>
      <c r="UFJ29" t="s">
        <v>836</v>
      </c>
      <c r="UFK29" t="s">
        <v>836</v>
      </c>
      <c r="UFL29" t="s">
        <v>836</v>
      </c>
      <c r="UFM29" t="s">
        <v>836</v>
      </c>
      <c r="UFN29" t="s">
        <v>836</v>
      </c>
      <c r="UFO29" t="s">
        <v>836</v>
      </c>
      <c r="UFP29" t="s">
        <v>836</v>
      </c>
      <c r="UFQ29" t="s">
        <v>836</v>
      </c>
      <c r="UFR29" t="s">
        <v>836</v>
      </c>
      <c r="UFS29" t="s">
        <v>836</v>
      </c>
      <c r="UFT29" t="s">
        <v>836</v>
      </c>
      <c r="UFU29" t="s">
        <v>836</v>
      </c>
      <c r="UFV29" t="s">
        <v>836</v>
      </c>
      <c r="UFW29" t="s">
        <v>836</v>
      </c>
      <c r="UFX29" t="s">
        <v>836</v>
      </c>
      <c r="UFY29" t="s">
        <v>836</v>
      </c>
      <c r="UFZ29" t="s">
        <v>836</v>
      </c>
      <c r="UGA29" t="s">
        <v>836</v>
      </c>
      <c r="UGB29" t="s">
        <v>836</v>
      </c>
      <c r="UGC29" t="s">
        <v>836</v>
      </c>
      <c r="UGD29" t="s">
        <v>836</v>
      </c>
      <c r="UGE29" t="s">
        <v>836</v>
      </c>
      <c r="UGF29" t="s">
        <v>836</v>
      </c>
      <c r="UGG29" t="s">
        <v>836</v>
      </c>
      <c r="UGH29" t="s">
        <v>836</v>
      </c>
      <c r="UGI29" t="s">
        <v>836</v>
      </c>
      <c r="UGJ29" t="s">
        <v>836</v>
      </c>
      <c r="UGK29" t="s">
        <v>836</v>
      </c>
      <c r="UGL29" t="s">
        <v>836</v>
      </c>
      <c r="UGM29" t="s">
        <v>836</v>
      </c>
      <c r="UGN29" t="s">
        <v>836</v>
      </c>
      <c r="UGO29" t="s">
        <v>836</v>
      </c>
      <c r="UGP29" t="s">
        <v>836</v>
      </c>
      <c r="UGQ29" t="s">
        <v>836</v>
      </c>
      <c r="UGR29" t="s">
        <v>836</v>
      </c>
      <c r="UGS29" t="s">
        <v>836</v>
      </c>
      <c r="UGT29" t="s">
        <v>836</v>
      </c>
      <c r="UGU29" t="s">
        <v>836</v>
      </c>
      <c r="UGV29" t="s">
        <v>836</v>
      </c>
      <c r="UGW29" t="s">
        <v>836</v>
      </c>
      <c r="UGX29" t="s">
        <v>836</v>
      </c>
      <c r="UGY29" t="s">
        <v>836</v>
      </c>
      <c r="UGZ29" t="s">
        <v>836</v>
      </c>
      <c r="UHA29" t="s">
        <v>836</v>
      </c>
      <c r="UHB29" t="s">
        <v>836</v>
      </c>
      <c r="UHC29" t="s">
        <v>836</v>
      </c>
      <c r="UHD29" t="s">
        <v>836</v>
      </c>
      <c r="UHE29" t="s">
        <v>836</v>
      </c>
      <c r="UHF29" t="s">
        <v>836</v>
      </c>
      <c r="UHG29" t="s">
        <v>836</v>
      </c>
      <c r="UHH29" t="s">
        <v>836</v>
      </c>
      <c r="UHI29" t="s">
        <v>836</v>
      </c>
      <c r="UHJ29" t="s">
        <v>836</v>
      </c>
      <c r="UHK29" t="s">
        <v>836</v>
      </c>
      <c r="UHL29" t="s">
        <v>836</v>
      </c>
      <c r="UHM29" t="s">
        <v>836</v>
      </c>
      <c r="UHN29" t="s">
        <v>836</v>
      </c>
      <c r="UHO29" t="s">
        <v>836</v>
      </c>
      <c r="UHP29" t="s">
        <v>836</v>
      </c>
      <c r="UHQ29" t="s">
        <v>836</v>
      </c>
      <c r="UHR29" t="s">
        <v>836</v>
      </c>
      <c r="UHS29" t="s">
        <v>836</v>
      </c>
      <c r="UHT29" t="s">
        <v>836</v>
      </c>
      <c r="UHU29" t="s">
        <v>836</v>
      </c>
      <c r="UHV29" t="s">
        <v>836</v>
      </c>
      <c r="UHW29" t="s">
        <v>836</v>
      </c>
      <c r="UHX29" t="s">
        <v>836</v>
      </c>
      <c r="UHY29" t="s">
        <v>836</v>
      </c>
      <c r="UHZ29" t="s">
        <v>836</v>
      </c>
      <c r="UIA29" t="s">
        <v>836</v>
      </c>
      <c r="UIB29" t="s">
        <v>836</v>
      </c>
      <c r="UIC29" t="s">
        <v>836</v>
      </c>
      <c r="UID29" t="s">
        <v>836</v>
      </c>
      <c r="UIE29" t="s">
        <v>836</v>
      </c>
      <c r="UIF29" t="s">
        <v>836</v>
      </c>
      <c r="UIG29" t="s">
        <v>836</v>
      </c>
      <c r="UIH29" t="s">
        <v>836</v>
      </c>
      <c r="UII29" t="s">
        <v>836</v>
      </c>
      <c r="UIJ29" t="s">
        <v>836</v>
      </c>
      <c r="UIK29" t="s">
        <v>836</v>
      </c>
      <c r="UIL29" t="s">
        <v>836</v>
      </c>
      <c r="UIM29" t="s">
        <v>836</v>
      </c>
      <c r="UIN29" t="s">
        <v>836</v>
      </c>
      <c r="UIO29" t="s">
        <v>836</v>
      </c>
      <c r="UIP29" t="s">
        <v>836</v>
      </c>
      <c r="UIQ29" t="s">
        <v>836</v>
      </c>
      <c r="UIR29" t="s">
        <v>836</v>
      </c>
      <c r="UIS29" t="s">
        <v>836</v>
      </c>
      <c r="UIT29" t="s">
        <v>836</v>
      </c>
      <c r="UIU29" t="s">
        <v>836</v>
      </c>
      <c r="UIV29" t="s">
        <v>836</v>
      </c>
      <c r="UIW29" t="s">
        <v>836</v>
      </c>
      <c r="UIX29" t="s">
        <v>836</v>
      </c>
      <c r="UIY29" t="s">
        <v>836</v>
      </c>
      <c r="UIZ29" t="s">
        <v>836</v>
      </c>
      <c r="UJA29" t="s">
        <v>836</v>
      </c>
      <c r="UJB29" t="s">
        <v>836</v>
      </c>
      <c r="UJC29" t="s">
        <v>836</v>
      </c>
      <c r="UJD29" t="s">
        <v>836</v>
      </c>
      <c r="UJE29" t="s">
        <v>836</v>
      </c>
      <c r="UJF29" t="s">
        <v>836</v>
      </c>
      <c r="UJG29" t="s">
        <v>836</v>
      </c>
      <c r="UJH29" t="s">
        <v>836</v>
      </c>
      <c r="UJI29" t="s">
        <v>836</v>
      </c>
      <c r="UJJ29" t="s">
        <v>836</v>
      </c>
      <c r="UJK29" t="s">
        <v>836</v>
      </c>
      <c r="UJL29" t="s">
        <v>836</v>
      </c>
      <c r="UJM29" t="s">
        <v>836</v>
      </c>
      <c r="UJN29" t="s">
        <v>836</v>
      </c>
      <c r="UJO29" t="s">
        <v>836</v>
      </c>
      <c r="UJP29" t="s">
        <v>836</v>
      </c>
      <c r="UJQ29" t="s">
        <v>836</v>
      </c>
      <c r="UJR29" t="s">
        <v>836</v>
      </c>
      <c r="UJS29" t="s">
        <v>836</v>
      </c>
      <c r="UJT29" t="s">
        <v>836</v>
      </c>
      <c r="UJU29" t="s">
        <v>836</v>
      </c>
      <c r="UJV29" t="s">
        <v>836</v>
      </c>
      <c r="UJW29" t="s">
        <v>836</v>
      </c>
      <c r="UJX29" t="s">
        <v>836</v>
      </c>
      <c r="UJY29" t="s">
        <v>836</v>
      </c>
      <c r="UJZ29" t="s">
        <v>836</v>
      </c>
      <c r="UKA29" t="s">
        <v>836</v>
      </c>
      <c r="UKB29" t="s">
        <v>836</v>
      </c>
      <c r="UKC29" t="s">
        <v>836</v>
      </c>
      <c r="UKD29" t="s">
        <v>836</v>
      </c>
      <c r="UKE29" t="s">
        <v>836</v>
      </c>
      <c r="UKF29" t="s">
        <v>836</v>
      </c>
      <c r="UKG29" t="s">
        <v>836</v>
      </c>
      <c r="UKH29" t="s">
        <v>836</v>
      </c>
      <c r="UKI29" t="s">
        <v>836</v>
      </c>
      <c r="UKJ29" t="s">
        <v>836</v>
      </c>
      <c r="UKK29" t="s">
        <v>836</v>
      </c>
      <c r="UKL29" t="s">
        <v>836</v>
      </c>
      <c r="UKM29" t="s">
        <v>836</v>
      </c>
      <c r="UKN29" t="s">
        <v>836</v>
      </c>
      <c r="UKO29" t="s">
        <v>836</v>
      </c>
      <c r="UKP29" t="s">
        <v>836</v>
      </c>
      <c r="UKQ29" t="s">
        <v>836</v>
      </c>
      <c r="UKR29" t="s">
        <v>836</v>
      </c>
      <c r="UKS29" t="s">
        <v>836</v>
      </c>
      <c r="UKT29" t="s">
        <v>836</v>
      </c>
      <c r="UKU29" t="s">
        <v>836</v>
      </c>
      <c r="UKV29" t="s">
        <v>836</v>
      </c>
      <c r="UKW29" t="s">
        <v>836</v>
      </c>
      <c r="UKX29" t="s">
        <v>836</v>
      </c>
      <c r="UKY29" t="s">
        <v>836</v>
      </c>
      <c r="UKZ29" t="s">
        <v>836</v>
      </c>
      <c r="ULA29" t="s">
        <v>836</v>
      </c>
      <c r="ULB29" t="s">
        <v>836</v>
      </c>
      <c r="ULC29" t="s">
        <v>836</v>
      </c>
      <c r="ULD29" t="s">
        <v>836</v>
      </c>
      <c r="ULE29" t="s">
        <v>836</v>
      </c>
      <c r="ULF29" t="s">
        <v>836</v>
      </c>
      <c r="ULG29" t="s">
        <v>836</v>
      </c>
      <c r="ULH29" t="s">
        <v>836</v>
      </c>
      <c r="ULI29" t="s">
        <v>836</v>
      </c>
      <c r="ULJ29" t="s">
        <v>836</v>
      </c>
      <c r="ULK29" t="s">
        <v>836</v>
      </c>
      <c r="ULL29" t="s">
        <v>836</v>
      </c>
      <c r="ULM29" t="s">
        <v>836</v>
      </c>
      <c r="ULN29" t="s">
        <v>836</v>
      </c>
      <c r="ULO29" t="s">
        <v>836</v>
      </c>
      <c r="ULP29" t="s">
        <v>836</v>
      </c>
      <c r="ULQ29" t="s">
        <v>836</v>
      </c>
      <c r="ULR29" t="s">
        <v>836</v>
      </c>
      <c r="ULS29" t="s">
        <v>836</v>
      </c>
      <c r="ULT29" t="s">
        <v>836</v>
      </c>
      <c r="ULU29" t="s">
        <v>836</v>
      </c>
      <c r="ULV29" t="s">
        <v>836</v>
      </c>
      <c r="ULW29" t="s">
        <v>836</v>
      </c>
      <c r="ULX29" t="s">
        <v>836</v>
      </c>
      <c r="ULY29" t="s">
        <v>836</v>
      </c>
      <c r="ULZ29" t="s">
        <v>836</v>
      </c>
      <c r="UMA29" t="s">
        <v>836</v>
      </c>
      <c r="UMB29" t="s">
        <v>836</v>
      </c>
      <c r="UMC29" t="s">
        <v>836</v>
      </c>
      <c r="UMD29" t="s">
        <v>836</v>
      </c>
      <c r="UME29" t="s">
        <v>836</v>
      </c>
      <c r="UMF29" t="s">
        <v>836</v>
      </c>
      <c r="UMG29" t="s">
        <v>836</v>
      </c>
      <c r="UMH29" t="s">
        <v>836</v>
      </c>
      <c r="UMI29" t="s">
        <v>836</v>
      </c>
      <c r="UMJ29" t="s">
        <v>836</v>
      </c>
      <c r="UMK29" t="s">
        <v>836</v>
      </c>
      <c r="UML29" t="s">
        <v>836</v>
      </c>
      <c r="UMM29" t="s">
        <v>836</v>
      </c>
      <c r="UMN29" t="s">
        <v>836</v>
      </c>
      <c r="UMO29" t="s">
        <v>836</v>
      </c>
      <c r="UMP29" t="s">
        <v>836</v>
      </c>
      <c r="UMQ29" t="s">
        <v>836</v>
      </c>
      <c r="UMR29" t="s">
        <v>836</v>
      </c>
      <c r="UMS29" t="s">
        <v>836</v>
      </c>
      <c r="UMT29" t="s">
        <v>836</v>
      </c>
      <c r="UMU29" t="s">
        <v>836</v>
      </c>
      <c r="UMV29" t="s">
        <v>836</v>
      </c>
      <c r="UMW29" t="s">
        <v>836</v>
      </c>
      <c r="UMX29" t="s">
        <v>836</v>
      </c>
      <c r="UMY29" t="s">
        <v>836</v>
      </c>
      <c r="UMZ29" t="s">
        <v>836</v>
      </c>
      <c r="UNA29" t="s">
        <v>836</v>
      </c>
      <c r="UNB29" t="s">
        <v>836</v>
      </c>
      <c r="UNC29" t="s">
        <v>836</v>
      </c>
      <c r="UND29" t="s">
        <v>836</v>
      </c>
      <c r="UNE29" t="s">
        <v>836</v>
      </c>
      <c r="UNF29" t="s">
        <v>836</v>
      </c>
      <c r="UNG29" t="s">
        <v>836</v>
      </c>
      <c r="UNH29" t="s">
        <v>836</v>
      </c>
      <c r="UNI29" t="s">
        <v>836</v>
      </c>
      <c r="UNJ29" t="s">
        <v>836</v>
      </c>
      <c r="UNK29" t="s">
        <v>836</v>
      </c>
      <c r="UNL29" t="s">
        <v>836</v>
      </c>
      <c r="UNM29" t="s">
        <v>836</v>
      </c>
      <c r="UNN29" t="s">
        <v>836</v>
      </c>
      <c r="UNO29" t="s">
        <v>836</v>
      </c>
      <c r="UNP29" t="s">
        <v>836</v>
      </c>
      <c r="UNQ29" t="s">
        <v>836</v>
      </c>
      <c r="UNR29" t="s">
        <v>836</v>
      </c>
      <c r="UNS29" t="s">
        <v>836</v>
      </c>
      <c r="UNT29" t="s">
        <v>836</v>
      </c>
      <c r="UNU29" t="s">
        <v>836</v>
      </c>
      <c r="UNV29" t="s">
        <v>836</v>
      </c>
      <c r="UNW29" t="s">
        <v>836</v>
      </c>
      <c r="UNX29" t="s">
        <v>836</v>
      </c>
      <c r="UNY29" t="s">
        <v>836</v>
      </c>
      <c r="UNZ29" t="s">
        <v>836</v>
      </c>
      <c r="UOA29" t="s">
        <v>836</v>
      </c>
      <c r="UOB29" t="s">
        <v>836</v>
      </c>
      <c r="UOC29" t="s">
        <v>836</v>
      </c>
      <c r="UOD29" t="s">
        <v>836</v>
      </c>
      <c r="UOE29" t="s">
        <v>836</v>
      </c>
      <c r="UOF29" t="s">
        <v>836</v>
      </c>
      <c r="UOG29" t="s">
        <v>836</v>
      </c>
      <c r="UOH29" t="s">
        <v>836</v>
      </c>
      <c r="UOI29" t="s">
        <v>836</v>
      </c>
      <c r="UOJ29" t="s">
        <v>836</v>
      </c>
      <c r="UOK29" t="s">
        <v>836</v>
      </c>
      <c r="UOL29" t="s">
        <v>836</v>
      </c>
      <c r="UOM29" t="s">
        <v>836</v>
      </c>
      <c r="UON29" t="s">
        <v>836</v>
      </c>
      <c r="UOO29" t="s">
        <v>836</v>
      </c>
      <c r="UOP29" t="s">
        <v>836</v>
      </c>
      <c r="UOQ29" t="s">
        <v>836</v>
      </c>
      <c r="UOR29" t="s">
        <v>836</v>
      </c>
      <c r="UOS29" t="s">
        <v>836</v>
      </c>
      <c r="UOT29" t="s">
        <v>836</v>
      </c>
      <c r="UOU29" t="s">
        <v>836</v>
      </c>
      <c r="UOV29" t="s">
        <v>836</v>
      </c>
      <c r="UOW29" t="s">
        <v>836</v>
      </c>
      <c r="UOX29" t="s">
        <v>836</v>
      </c>
      <c r="UOY29" t="s">
        <v>836</v>
      </c>
      <c r="UOZ29" t="s">
        <v>836</v>
      </c>
      <c r="UPA29" t="s">
        <v>836</v>
      </c>
      <c r="UPB29" t="s">
        <v>836</v>
      </c>
      <c r="UPC29" t="s">
        <v>836</v>
      </c>
      <c r="UPD29" t="s">
        <v>836</v>
      </c>
      <c r="UPE29" t="s">
        <v>836</v>
      </c>
      <c r="UPF29" t="s">
        <v>836</v>
      </c>
      <c r="UPG29" t="s">
        <v>836</v>
      </c>
      <c r="UPH29" t="s">
        <v>836</v>
      </c>
      <c r="UPI29" t="s">
        <v>836</v>
      </c>
      <c r="UPJ29" t="s">
        <v>836</v>
      </c>
      <c r="UPK29" t="s">
        <v>836</v>
      </c>
      <c r="UPL29" t="s">
        <v>836</v>
      </c>
      <c r="UPM29" t="s">
        <v>836</v>
      </c>
      <c r="UPN29" t="s">
        <v>836</v>
      </c>
      <c r="UPO29" t="s">
        <v>836</v>
      </c>
      <c r="UPP29" t="s">
        <v>836</v>
      </c>
      <c r="UPQ29" t="s">
        <v>836</v>
      </c>
      <c r="UPR29" t="s">
        <v>836</v>
      </c>
      <c r="UPS29" t="s">
        <v>836</v>
      </c>
      <c r="UPT29" t="s">
        <v>836</v>
      </c>
      <c r="UPU29" t="s">
        <v>836</v>
      </c>
      <c r="UPV29" t="s">
        <v>836</v>
      </c>
      <c r="UPW29" t="s">
        <v>836</v>
      </c>
      <c r="UPX29" t="s">
        <v>836</v>
      </c>
      <c r="UPY29" t="s">
        <v>836</v>
      </c>
      <c r="UPZ29" t="s">
        <v>836</v>
      </c>
      <c r="UQA29" t="s">
        <v>836</v>
      </c>
      <c r="UQB29" t="s">
        <v>836</v>
      </c>
      <c r="UQC29" t="s">
        <v>836</v>
      </c>
      <c r="UQD29" t="s">
        <v>836</v>
      </c>
      <c r="UQE29" t="s">
        <v>836</v>
      </c>
      <c r="UQF29" t="s">
        <v>836</v>
      </c>
      <c r="UQG29" t="s">
        <v>836</v>
      </c>
      <c r="UQH29" t="s">
        <v>836</v>
      </c>
      <c r="UQI29" t="s">
        <v>836</v>
      </c>
      <c r="UQJ29" t="s">
        <v>836</v>
      </c>
      <c r="UQK29" t="s">
        <v>836</v>
      </c>
      <c r="UQL29" t="s">
        <v>836</v>
      </c>
      <c r="UQM29" t="s">
        <v>836</v>
      </c>
      <c r="UQN29" t="s">
        <v>836</v>
      </c>
      <c r="UQO29" t="s">
        <v>836</v>
      </c>
      <c r="UQP29" t="s">
        <v>836</v>
      </c>
      <c r="UQQ29" t="s">
        <v>836</v>
      </c>
      <c r="UQR29" t="s">
        <v>836</v>
      </c>
      <c r="UQS29" t="s">
        <v>836</v>
      </c>
      <c r="UQT29" t="s">
        <v>836</v>
      </c>
      <c r="UQU29" t="s">
        <v>836</v>
      </c>
      <c r="UQV29" t="s">
        <v>836</v>
      </c>
      <c r="UQW29" t="s">
        <v>836</v>
      </c>
      <c r="UQX29" t="s">
        <v>836</v>
      </c>
      <c r="UQY29" t="s">
        <v>836</v>
      </c>
      <c r="UQZ29" t="s">
        <v>836</v>
      </c>
      <c r="URA29" t="s">
        <v>836</v>
      </c>
      <c r="URB29" t="s">
        <v>836</v>
      </c>
      <c r="URC29" t="s">
        <v>836</v>
      </c>
      <c r="URD29" t="s">
        <v>836</v>
      </c>
      <c r="URE29" t="s">
        <v>836</v>
      </c>
      <c r="URF29" t="s">
        <v>836</v>
      </c>
      <c r="URG29" t="s">
        <v>836</v>
      </c>
      <c r="URH29" t="s">
        <v>836</v>
      </c>
      <c r="URI29" t="s">
        <v>836</v>
      </c>
      <c r="URJ29" t="s">
        <v>836</v>
      </c>
      <c r="URK29" t="s">
        <v>836</v>
      </c>
      <c r="URL29" t="s">
        <v>836</v>
      </c>
      <c r="URM29" t="s">
        <v>836</v>
      </c>
      <c r="URN29" t="s">
        <v>836</v>
      </c>
      <c r="URO29" t="s">
        <v>836</v>
      </c>
      <c r="URP29" t="s">
        <v>836</v>
      </c>
      <c r="URQ29" t="s">
        <v>836</v>
      </c>
      <c r="URR29" t="s">
        <v>836</v>
      </c>
      <c r="URS29" t="s">
        <v>836</v>
      </c>
      <c r="URT29" t="s">
        <v>836</v>
      </c>
      <c r="URU29" t="s">
        <v>836</v>
      </c>
      <c r="URV29" t="s">
        <v>836</v>
      </c>
      <c r="URW29" t="s">
        <v>836</v>
      </c>
      <c r="URX29" t="s">
        <v>836</v>
      </c>
      <c r="URY29" t="s">
        <v>836</v>
      </c>
      <c r="URZ29" t="s">
        <v>836</v>
      </c>
      <c r="USA29" t="s">
        <v>836</v>
      </c>
      <c r="USB29" t="s">
        <v>836</v>
      </c>
      <c r="USC29" t="s">
        <v>836</v>
      </c>
      <c r="USD29" t="s">
        <v>836</v>
      </c>
      <c r="USE29" t="s">
        <v>836</v>
      </c>
      <c r="USF29" t="s">
        <v>836</v>
      </c>
      <c r="USG29" t="s">
        <v>836</v>
      </c>
      <c r="USH29" t="s">
        <v>836</v>
      </c>
      <c r="USI29" t="s">
        <v>836</v>
      </c>
      <c r="USJ29" t="s">
        <v>836</v>
      </c>
      <c r="USK29" t="s">
        <v>836</v>
      </c>
      <c r="USL29" t="s">
        <v>836</v>
      </c>
      <c r="USM29" t="s">
        <v>836</v>
      </c>
      <c r="USN29" t="s">
        <v>836</v>
      </c>
      <c r="USO29" t="s">
        <v>836</v>
      </c>
      <c r="USP29" t="s">
        <v>836</v>
      </c>
      <c r="USQ29" t="s">
        <v>836</v>
      </c>
      <c r="USR29" t="s">
        <v>836</v>
      </c>
      <c r="USS29" t="s">
        <v>836</v>
      </c>
      <c r="UST29" t="s">
        <v>836</v>
      </c>
      <c r="USU29" t="s">
        <v>836</v>
      </c>
      <c r="USV29" t="s">
        <v>836</v>
      </c>
      <c r="USW29" t="s">
        <v>836</v>
      </c>
      <c r="USX29" t="s">
        <v>836</v>
      </c>
      <c r="USY29" t="s">
        <v>836</v>
      </c>
      <c r="USZ29" t="s">
        <v>836</v>
      </c>
      <c r="UTA29" t="s">
        <v>836</v>
      </c>
      <c r="UTB29" t="s">
        <v>836</v>
      </c>
      <c r="UTC29" t="s">
        <v>836</v>
      </c>
      <c r="UTD29" t="s">
        <v>836</v>
      </c>
      <c r="UTE29" t="s">
        <v>836</v>
      </c>
      <c r="UTF29" t="s">
        <v>836</v>
      </c>
      <c r="UTG29" t="s">
        <v>836</v>
      </c>
      <c r="UTH29" t="s">
        <v>836</v>
      </c>
      <c r="UTI29" t="s">
        <v>836</v>
      </c>
      <c r="UTJ29" t="s">
        <v>836</v>
      </c>
      <c r="UTK29" t="s">
        <v>836</v>
      </c>
      <c r="UTL29" t="s">
        <v>836</v>
      </c>
      <c r="UTM29" t="s">
        <v>836</v>
      </c>
      <c r="UTN29" t="s">
        <v>836</v>
      </c>
      <c r="UTO29" t="s">
        <v>836</v>
      </c>
      <c r="UTP29" t="s">
        <v>836</v>
      </c>
      <c r="UTQ29" t="s">
        <v>836</v>
      </c>
      <c r="UTR29" t="s">
        <v>836</v>
      </c>
      <c r="UTS29" t="s">
        <v>836</v>
      </c>
      <c r="UTT29" t="s">
        <v>836</v>
      </c>
      <c r="UTU29" t="s">
        <v>836</v>
      </c>
      <c r="UTV29" t="s">
        <v>836</v>
      </c>
      <c r="UTW29" t="s">
        <v>836</v>
      </c>
      <c r="UTX29" t="s">
        <v>836</v>
      </c>
      <c r="UTY29" t="s">
        <v>836</v>
      </c>
      <c r="UTZ29" t="s">
        <v>836</v>
      </c>
      <c r="UUA29" t="s">
        <v>836</v>
      </c>
      <c r="UUB29" t="s">
        <v>836</v>
      </c>
      <c r="UUC29" t="s">
        <v>836</v>
      </c>
      <c r="UUD29" t="s">
        <v>836</v>
      </c>
      <c r="UUE29" t="s">
        <v>836</v>
      </c>
      <c r="UUF29" t="s">
        <v>836</v>
      </c>
      <c r="UUG29" t="s">
        <v>836</v>
      </c>
      <c r="UUH29" t="s">
        <v>836</v>
      </c>
      <c r="UUI29" t="s">
        <v>836</v>
      </c>
      <c r="UUJ29" t="s">
        <v>836</v>
      </c>
      <c r="UUK29" t="s">
        <v>836</v>
      </c>
      <c r="UUL29" t="s">
        <v>836</v>
      </c>
      <c r="UUM29" t="s">
        <v>836</v>
      </c>
      <c r="UUN29" t="s">
        <v>836</v>
      </c>
      <c r="UUO29" t="s">
        <v>836</v>
      </c>
      <c r="UUP29" t="s">
        <v>836</v>
      </c>
      <c r="UUQ29" t="s">
        <v>836</v>
      </c>
      <c r="UUR29" t="s">
        <v>836</v>
      </c>
      <c r="UUS29" t="s">
        <v>836</v>
      </c>
      <c r="UUT29" t="s">
        <v>836</v>
      </c>
      <c r="UUU29" t="s">
        <v>836</v>
      </c>
      <c r="UUV29" t="s">
        <v>836</v>
      </c>
      <c r="UUW29" t="s">
        <v>836</v>
      </c>
      <c r="UUX29" t="s">
        <v>836</v>
      </c>
      <c r="UUY29" t="s">
        <v>836</v>
      </c>
      <c r="UUZ29" t="s">
        <v>836</v>
      </c>
      <c r="UVA29" t="s">
        <v>836</v>
      </c>
      <c r="UVB29" t="s">
        <v>836</v>
      </c>
      <c r="UVC29" t="s">
        <v>836</v>
      </c>
      <c r="UVD29" t="s">
        <v>836</v>
      </c>
      <c r="UVE29" t="s">
        <v>836</v>
      </c>
      <c r="UVF29" t="s">
        <v>836</v>
      </c>
      <c r="UVG29" t="s">
        <v>836</v>
      </c>
      <c r="UVH29" t="s">
        <v>836</v>
      </c>
      <c r="UVI29" t="s">
        <v>836</v>
      </c>
      <c r="UVJ29" t="s">
        <v>836</v>
      </c>
      <c r="UVK29" t="s">
        <v>836</v>
      </c>
      <c r="UVL29" t="s">
        <v>836</v>
      </c>
      <c r="UVM29" t="s">
        <v>836</v>
      </c>
      <c r="UVN29" t="s">
        <v>836</v>
      </c>
      <c r="UVO29" t="s">
        <v>836</v>
      </c>
      <c r="UVP29" t="s">
        <v>836</v>
      </c>
      <c r="UVQ29" t="s">
        <v>836</v>
      </c>
      <c r="UVR29" t="s">
        <v>836</v>
      </c>
      <c r="UVS29" t="s">
        <v>836</v>
      </c>
      <c r="UVT29" t="s">
        <v>836</v>
      </c>
      <c r="UVU29" t="s">
        <v>836</v>
      </c>
      <c r="UVV29" t="s">
        <v>836</v>
      </c>
      <c r="UVW29" t="s">
        <v>836</v>
      </c>
      <c r="UVX29" t="s">
        <v>836</v>
      </c>
      <c r="UVY29" t="s">
        <v>836</v>
      </c>
      <c r="UVZ29" t="s">
        <v>836</v>
      </c>
      <c r="UWA29" t="s">
        <v>836</v>
      </c>
      <c r="UWB29" t="s">
        <v>836</v>
      </c>
      <c r="UWC29" t="s">
        <v>836</v>
      </c>
      <c r="UWD29" t="s">
        <v>836</v>
      </c>
      <c r="UWE29" t="s">
        <v>836</v>
      </c>
      <c r="UWF29" t="s">
        <v>836</v>
      </c>
      <c r="UWG29" t="s">
        <v>836</v>
      </c>
      <c r="UWH29" t="s">
        <v>836</v>
      </c>
      <c r="UWI29" t="s">
        <v>836</v>
      </c>
      <c r="UWJ29" t="s">
        <v>836</v>
      </c>
      <c r="UWK29" t="s">
        <v>836</v>
      </c>
      <c r="UWL29" t="s">
        <v>836</v>
      </c>
      <c r="UWM29" t="s">
        <v>836</v>
      </c>
      <c r="UWN29" t="s">
        <v>836</v>
      </c>
      <c r="UWO29" t="s">
        <v>836</v>
      </c>
      <c r="UWP29" t="s">
        <v>836</v>
      </c>
      <c r="UWQ29" t="s">
        <v>836</v>
      </c>
      <c r="UWR29" t="s">
        <v>836</v>
      </c>
      <c r="UWS29" t="s">
        <v>836</v>
      </c>
      <c r="UWT29" t="s">
        <v>836</v>
      </c>
      <c r="UWU29" t="s">
        <v>836</v>
      </c>
      <c r="UWV29" t="s">
        <v>836</v>
      </c>
      <c r="UWW29" t="s">
        <v>836</v>
      </c>
      <c r="UWX29" t="s">
        <v>836</v>
      </c>
      <c r="UWY29" t="s">
        <v>836</v>
      </c>
      <c r="UWZ29" t="s">
        <v>836</v>
      </c>
      <c r="UXA29" t="s">
        <v>836</v>
      </c>
      <c r="UXB29" t="s">
        <v>836</v>
      </c>
      <c r="UXC29" t="s">
        <v>836</v>
      </c>
      <c r="UXD29" t="s">
        <v>836</v>
      </c>
      <c r="UXE29" t="s">
        <v>836</v>
      </c>
      <c r="UXF29" t="s">
        <v>836</v>
      </c>
      <c r="UXG29" t="s">
        <v>836</v>
      </c>
      <c r="UXH29" t="s">
        <v>836</v>
      </c>
      <c r="UXI29" t="s">
        <v>836</v>
      </c>
      <c r="UXJ29" t="s">
        <v>836</v>
      </c>
      <c r="UXK29" t="s">
        <v>836</v>
      </c>
      <c r="UXL29" t="s">
        <v>836</v>
      </c>
      <c r="UXM29" t="s">
        <v>836</v>
      </c>
      <c r="UXN29" t="s">
        <v>836</v>
      </c>
      <c r="UXO29" t="s">
        <v>836</v>
      </c>
      <c r="UXP29" t="s">
        <v>836</v>
      </c>
      <c r="UXQ29" t="s">
        <v>836</v>
      </c>
      <c r="UXR29" t="s">
        <v>836</v>
      </c>
      <c r="UXS29" t="s">
        <v>836</v>
      </c>
      <c r="UXT29" t="s">
        <v>836</v>
      </c>
      <c r="UXU29" t="s">
        <v>836</v>
      </c>
      <c r="UXV29" t="s">
        <v>836</v>
      </c>
      <c r="UXW29" t="s">
        <v>836</v>
      </c>
      <c r="UXX29" t="s">
        <v>836</v>
      </c>
      <c r="UXY29" t="s">
        <v>836</v>
      </c>
      <c r="UXZ29" t="s">
        <v>836</v>
      </c>
      <c r="UYA29" t="s">
        <v>836</v>
      </c>
      <c r="UYB29" t="s">
        <v>836</v>
      </c>
      <c r="UYC29" t="s">
        <v>836</v>
      </c>
      <c r="UYD29" t="s">
        <v>836</v>
      </c>
      <c r="UYE29" t="s">
        <v>836</v>
      </c>
      <c r="UYF29" t="s">
        <v>836</v>
      </c>
      <c r="UYG29" t="s">
        <v>836</v>
      </c>
      <c r="UYH29" t="s">
        <v>836</v>
      </c>
      <c r="UYI29" t="s">
        <v>836</v>
      </c>
      <c r="UYJ29" t="s">
        <v>836</v>
      </c>
      <c r="UYK29" t="s">
        <v>836</v>
      </c>
      <c r="UYL29" t="s">
        <v>836</v>
      </c>
      <c r="UYM29" t="s">
        <v>836</v>
      </c>
      <c r="UYN29" t="s">
        <v>836</v>
      </c>
      <c r="UYO29" t="s">
        <v>836</v>
      </c>
      <c r="UYP29" t="s">
        <v>836</v>
      </c>
      <c r="UYQ29" t="s">
        <v>836</v>
      </c>
      <c r="UYR29" t="s">
        <v>836</v>
      </c>
      <c r="UYS29" t="s">
        <v>836</v>
      </c>
      <c r="UYT29" t="s">
        <v>836</v>
      </c>
      <c r="UYU29" t="s">
        <v>836</v>
      </c>
      <c r="UYV29" t="s">
        <v>836</v>
      </c>
      <c r="UYW29" t="s">
        <v>836</v>
      </c>
      <c r="UYX29" t="s">
        <v>836</v>
      </c>
      <c r="UYY29" t="s">
        <v>836</v>
      </c>
      <c r="UYZ29" t="s">
        <v>836</v>
      </c>
      <c r="UZA29" t="s">
        <v>836</v>
      </c>
      <c r="UZB29" t="s">
        <v>836</v>
      </c>
      <c r="UZC29" t="s">
        <v>836</v>
      </c>
      <c r="UZD29" t="s">
        <v>836</v>
      </c>
      <c r="UZE29" t="s">
        <v>836</v>
      </c>
      <c r="UZF29" t="s">
        <v>836</v>
      </c>
      <c r="UZG29" t="s">
        <v>836</v>
      </c>
      <c r="UZH29" t="s">
        <v>836</v>
      </c>
      <c r="UZI29" t="s">
        <v>836</v>
      </c>
      <c r="UZJ29" t="s">
        <v>836</v>
      </c>
      <c r="UZK29" t="s">
        <v>836</v>
      </c>
      <c r="UZL29" t="s">
        <v>836</v>
      </c>
      <c r="UZM29" t="s">
        <v>836</v>
      </c>
      <c r="UZN29" t="s">
        <v>836</v>
      </c>
      <c r="UZO29" t="s">
        <v>836</v>
      </c>
      <c r="UZP29" t="s">
        <v>836</v>
      </c>
      <c r="UZQ29" t="s">
        <v>836</v>
      </c>
      <c r="UZR29" t="s">
        <v>836</v>
      </c>
      <c r="UZS29" t="s">
        <v>836</v>
      </c>
      <c r="UZT29" t="s">
        <v>836</v>
      </c>
      <c r="UZU29" t="s">
        <v>836</v>
      </c>
      <c r="UZV29" t="s">
        <v>836</v>
      </c>
      <c r="UZW29" t="s">
        <v>836</v>
      </c>
      <c r="UZX29" t="s">
        <v>836</v>
      </c>
      <c r="UZY29" t="s">
        <v>836</v>
      </c>
      <c r="UZZ29" t="s">
        <v>836</v>
      </c>
      <c r="VAA29" t="s">
        <v>836</v>
      </c>
      <c r="VAB29" t="s">
        <v>836</v>
      </c>
      <c r="VAC29" t="s">
        <v>836</v>
      </c>
      <c r="VAD29" t="s">
        <v>836</v>
      </c>
      <c r="VAE29" t="s">
        <v>836</v>
      </c>
      <c r="VAF29" t="s">
        <v>836</v>
      </c>
      <c r="VAG29" t="s">
        <v>836</v>
      </c>
      <c r="VAH29" t="s">
        <v>836</v>
      </c>
      <c r="VAI29" t="s">
        <v>836</v>
      </c>
      <c r="VAJ29" t="s">
        <v>836</v>
      </c>
      <c r="VAK29" t="s">
        <v>836</v>
      </c>
      <c r="VAL29" t="s">
        <v>836</v>
      </c>
      <c r="VAM29" t="s">
        <v>836</v>
      </c>
      <c r="VAN29" t="s">
        <v>836</v>
      </c>
      <c r="VAO29" t="s">
        <v>836</v>
      </c>
      <c r="VAP29" t="s">
        <v>836</v>
      </c>
      <c r="VAQ29" t="s">
        <v>836</v>
      </c>
      <c r="VAR29" t="s">
        <v>836</v>
      </c>
      <c r="VAS29" t="s">
        <v>836</v>
      </c>
      <c r="VAT29" t="s">
        <v>836</v>
      </c>
      <c r="VAU29" t="s">
        <v>836</v>
      </c>
      <c r="VAV29" t="s">
        <v>836</v>
      </c>
      <c r="VAW29" t="s">
        <v>836</v>
      </c>
      <c r="VAX29" t="s">
        <v>836</v>
      </c>
      <c r="VAY29" t="s">
        <v>836</v>
      </c>
      <c r="VAZ29" t="s">
        <v>836</v>
      </c>
      <c r="VBA29" t="s">
        <v>836</v>
      </c>
      <c r="VBB29" t="s">
        <v>836</v>
      </c>
      <c r="VBC29" t="s">
        <v>836</v>
      </c>
      <c r="VBD29" t="s">
        <v>836</v>
      </c>
      <c r="VBE29" t="s">
        <v>836</v>
      </c>
      <c r="VBF29" t="s">
        <v>836</v>
      </c>
      <c r="VBG29" t="s">
        <v>836</v>
      </c>
      <c r="VBH29" t="s">
        <v>836</v>
      </c>
      <c r="VBI29" t="s">
        <v>836</v>
      </c>
      <c r="VBJ29" t="s">
        <v>836</v>
      </c>
      <c r="VBK29" t="s">
        <v>836</v>
      </c>
      <c r="VBL29" t="s">
        <v>836</v>
      </c>
      <c r="VBM29" t="s">
        <v>836</v>
      </c>
      <c r="VBN29" t="s">
        <v>836</v>
      </c>
      <c r="VBO29" t="s">
        <v>836</v>
      </c>
      <c r="VBP29" t="s">
        <v>836</v>
      </c>
      <c r="VBQ29" t="s">
        <v>836</v>
      </c>
      <c r="VBR29" t="s">
        <v>836</v>
      </c>
      <c r="VBS29" t="s">
        <v>836</v>
      </c>
      <c r="VBT29" t="s">
        <v>836</v>
      </c>
      <c r="VBU29" t="s">
        <v>836</v>
      </c>
      <c r="VBV29" t="s">
        <v>836</v>
      </c>
      <c r="VBW29" t="s">
        <v>836</v>
      </c>
      <c r="VBX29" t="s">
        <v>836</v>
      </c>
      <c r="VBY29" t="s">
        <v>836</v>
      </c>
      <c r="VBZ29" t="s">
        <v>836</v>
      </c>
      <c r="VCA29" t="s">
        <v>836</v>
      </c>
      <c r="VCB29" t="s">
        <v>836</v>
      </c>
      <c r="VCC29" t="s">
        <v>836</v>
      </c>
      <c r="VCD29" t="s">
        <v>836</v>
      </c>
      <c r="VCE29" t="s">
        <v>836</v>
      </c>
      <c r="VCF29" t="s">
        <v>836</v>
      </c>
      <c r="VCG29" t="s">
        <v>836</v>
      </c>
      <c r="VCH29" t="s">
        <v>836</v>
      </c>
      <c r="VCI29" t="s">
        <v>836</v>
      </c>
      <c r="VCJ29" t="s">
        <v>836</v>
      </c>
      <c r="VCK29" t="s">
        <v>836</v>
      </c>
      <c r="VCL29" t="s">
        <v>836</v>
      </c>
      <c r="VCM29" t="s">
        <v>836</v>
      </c>
      <c r="VCN29" t="s">
        <v>836</v>
      </c>
      <c r="VCO29" t="s">
        <v>836</v>
      </c>
      <c r="VCP29" t="s">
        <v>836</v>
      </c>
      <c r="VCQ29" t="s">
        <v>836</v>
      </c>
      <c r="VCR29" t="s">
        <v>836</v>
      </c>
      <c r="VCS29" t="s">
        <v>836</v>
      </c>
      <c r="VCT29" t="s">
        <v>836</v>
      </c>
      <c r="VCU29" t="s">
        <v>836</v>
      </c>
      <c r="VCV29" t="s">
        <v>836</v>
      </c>
      <c r="VCW29" t="s">
        <v>836</v>
      </c>
      <c r="VCX29" t="s">
        <v>836</v>
      </c>
      <c r="VCY29" t="s">
        <v>836</v>
      </c>
      <c r="VCZ29" t="s">
        <v>836</v>
      </c>
      <c r="VDA29" t="s">
        <v>836</v>
      </c>
      <c r="VDB29" t="s">
        <v>836</v>
      </c>
      <c r="VDC29" t="s">
        <v>836</v>
      </c>
      <c r="VDD29" t="s">
        <v>836</v>
      </c>
      <c r="VDE29" t="s">
        <v>836</v>
      </c>
      <c r="VDF29" t="s">
        <v>836</v>
      </c>
      <c r="VDG29" t="s">
        <v>836</v>
      </c>
      <c r="VDH29" t="s">
        <v>836</v>
      </c>
      <c r="VDI29" t="s">
        <v>836</v>
      </c>
      <c r="VDJ29" t="s">
        <v>836</v>
      </c>
      <c r="VDK29" t="s">
        <v>836</v>
      </c>
      <c r="VDL29" t="s">
        <v>836</v>
      </c>
      <c r="VDM29" t="s">
        <v>836</v>
      </c>
      <c r="VDN29" t="s">
        <v>836</v>
      </c>
      <c r="VDO29" t="s">
        <v>836</v>
      </c>
      <c r="VDP29" t="s">
        <v>836</v>
      </c>
      <c r="VDQ29" t="s">
        <v>836</v>
      </c>
      <c r="VDR29" t="s">
        <v>836</v>
      </c>
      <c r="VDS29" t="s">
        <v>836</v>
      </c>
      <c r="VDT29" t="s">
        <v>836</v>
      </c>
      <c r="VDU29" t="s">
        <v>836</v>
      </c>
      <c r="VDV29" t="s">
        <v>836</v>
      </c>
      <c r="VDW29" t="s">
        <v>836</v>
      </c>
      <c r="VDX29" t="s">
        <v>836</v>
      </c>
      <c r="VDY29" t="s">
        <v>836</v>
      </c>
      <c r="VDZ29" t="s">
        <v>836</v>
      </c>
      <c r="VEA29" t="s">
        <v>836</v>
      </c>
      <c r="VEB29" t="s">
        <v>836</v>
      </c>
      <c r="VEC29" t="s">
        <v>836</v>
      </c>
      <c r="VED29" t="s">
        <v>836</v>
      </c>
      <c r="VEE29" t="s">
        <v>836</v>
      </c>
      <c r="VEF29" t="s">
        <v>836</v>
      </c>
      <c r="VEG29" t="s">
        <v>836</v>
      </c>
      <c r="VEH29" t="s">
        <v>836</v>
      </c>
      <c r="VEI29" t="s">
        <v>836</v>
      </c>
      <c r="VEJ29" t="s">
        <v>836</v>
      </c>
      <c r="VEK29" t="s">
        <v>836</v>
      </c>
      <c r="VEL29" t="s">
        <v>836</v>
      </c>
      <c r="VEM29" t="s">
        <v>836</v>
      </c>
      <c r="VEN29" t="s">
        <v>836</v>
      </c>
      <c r="VEO29" t="s">
        <v>836</v>
      </c>
      <c r="VEP29" t="s">
        <v>836</v>
      </c>
      <c r="VEQ29" t="s">
        <v>836</v>
      </c>
      <c r="VER29" t="s">
        <v>836</v>
      </c>
      <c r="VES29" t="s">
        <v>836</v>
      </c>
      <c r="VET29" t="s">
        <v>836</v>
      </c>
      <c r="VEU29" t="s">
        <v>836</v>
      </c>
      <c r="VEV29" t="s">
        <v>836</v>
      </c>
      <c r="VEW29" t="s">
        <v>836</v>
      </c>
      <c r="VEX29" t="s">
        <v>836</v>
      </c>
      <c r="VEY29" t="s">
        <v>836</v>
      </c>
      <c r="VEZ29" t="s">
        <v>836</v>
      </c>
      <c r="VFA29" t="s">
        <v>836</v>
      </c>
      <c r="VFB29" t="s">
        <v>836</v>
      </c>
      <c r="VFC29" t="s">
        <v>836</v>
      </c>
      <c r="VFD29" t="s">
        <v>836</v>
      </c>
      <c r="VFE29" t="s">
        <v>836</v>
      </c>
      <c r="VFF29" t="s">
        <v>836</v>
      </c>
      <c r="VFG29" t="s">
        <v>836</v>
      </c>
      <c r="VFH29" t="s">
        <v>836</v>
      </c>
      <c r="VFI29" t="s">
        <v>836</v>
      </c>
      <c r="VFJ29" t="s">
        <v>836</v>
      </c>
      <c r="VFK29" t="s">
        <v>836</v>
      </c>
      <c r="VFL29" t="s">
        <v>836</v>
      </c>
      <c r="VFM29" t="s">
        <v>836</v>
      </c>
      <c r="VFN29" t="s">
        <v>836</v>
      </c>
      <c r="VFO29" t="s">
        <v>836</v>
      </c>
      <c r="VFP29" t="s">
        <v>836</v>
      </c>
      <c r="VFQ29" t="s">
        <v>836</v>
      </c>
      <c r="VFR29" t="s">
        <v>836</v>
      </c>
      <c r="VFS29" t="s">
        <v>836</v>
      </c>
      <c r="VFT29" t="s">
        <v>836</v>
      </c>
      <c r="VFU29" t="s">
        <v>836</v>
      </c>
      <c r="VFV29" t="s">
        <v>836</v>
      </c>
      <c r="VFW29" t="s">
        <v>836</v>
      </c>
      <c r="VFX29" t="s">
        <v>836</v>
      </c>
      <c r="VFY29" t="s">
        <v>836</v>
      </c>
      <c r="VFZ29" t="s">
        <v>836</v>
      </c>
      <c r="VGA29" t="s">
        <v>836</v>
      </c>
      <c r="VGB29" t="s">
        <v>836</v>
      </c>
      <c r="VGC29" t="s">
        <v>836</v>
      </c>
      <c r="VGD29" t="s">
        <v>836</v>
      </c>
      <c r="VGE29" t="s">
        <v>836</v>
      </c>
      <c r="VGF29" t="s">
        <v>836</v>
      </c>
      <c r="VGG29" t="s">
        <v>836</v>
      </c>
      <c r="VGH29" t="s">
        <v>836</v>
      </c>
      <c r="VGI29" t="s">
        <v>836</v>
      </c>
      <c r="VGJ29" t="s">
        <v>836</v>
      </c>
      <c r="VGK29" t="s">
        <v>836</v>
      </c>
      <c r="VGL29" t="s">
        <v>836</v>
      </c>
      <c r="VGM29" t="s">
        <v>836</v>
      </c>
      <c r="VGN29" t="s">
        <v>836</v>
      </c>
      <c r="VGO29" t="s">
        <v>836</v>
      </c>
      <c r="VGP29" t="s">
        <v>836</v>
      </c>
      <c r="VGQ29" t="s">
        <v>836</v>
      </c>
      <c r="VGR29" t="s">
        <v>836</v>
      </c>
      <c r="VGS29" t="s">
        <v>836</v>
      </c>
      <c r="VGT29" t="s">
        <v>836</v>
      </c>
      <c r="VGU29" t="s">
        <v>836</v>
      </c>
      <c r="VGV29" t="s">
        <v>836</v>
      </c>
      <c r="VGW29" t="s">
        <v>836</v>
      </c>
      <c r="VGX29" t="s">
        <v>836</v>
      </c>
      <c r="VGY29" t="s">
        <v>836</v>
      </c>
      <c r="VGZ29" t="s">
        <v>836</v>
      </c>
      <c r="VHA29" t="s">
        <v>836</v>
      </c>
      <c r="VHB29" t="s">
        <v>836</v>
      </c>
      <c r="VHC29" t="s">
        <v>836</v>
      </c>
      <c r="VHD29" t="s">
        <v>836</v>
      </c>
      <c r="VHE29" t="s">
        <v>836</v>
      </c>
      <c r="VHF29" t="s">
        <v>836</v>
      </c>
      <c r="VHG29" t="s">
        <v>836</v>
      </c>
      <c r="VHH29" t="s">
        <v>836</v>
      </c>
      <c r="VHI29" t="s">
        <v>836</v>
      </c>
      <c r="VHJ29" t="s">
        <v>836</v>
      </c>
      <c r="VHK29" t="s">
        <v>836</v>
      </c>
      <c r="VHL29" t="s">
        <v>836</v>
      </c>
      <c r="VHM29" t="s">
        <v>836</v>
      </c>
      <c r="VHN29" t="s">
        <v>836</v>
      </c>
      <c r="VHO29" t="s">
        <v>836</v>
      </c>
      <c r="VHP29" t="s">
        <v>836</v>
      </c>
      <c r="VHQ29" t="s">
        <v>836</v>
      </c>
      <c r="VHR29" t="s">
        <v>836</v>
      </c>
      <c r="VHS29" t="s">
        <v>836</v>
      </c>
      <c r="VHT29" t="s">
        <v>836</v>
      </c>
      <c r="VHU29" t="s">
        <v>836</v>
      </c>
      <c r="VHV29" t="s">
        <v>836</v>
      </c>
      <c r="VHW29" t="s">
        <v>836</v>
      </c>
      <c r="VHX29" t="s">
        <v>836</v>
      </c>
      <c r="VHY29" t="s">
        <v>836</v>
      </c>
      <c r="VHZ29" t="s">
        <v>836</v>
      </c>
      <c r="VIA29" t="s">
        <v>836</v>
      </c>
      <c r="VIB29" t="s">
        <v>836</v>
      </c>
      <c r="VIC29" t="s">
        <v>836</v>
      </c>
      <c r="VID29" t="s">
        <v>836</v>
      </c>
      <c r="VIE29" t="s">
        <v>836</v>
      </c>
      <c r="VIF29" t="s">
        <v>836</v>
      </c>
      <c r="VIG29" t="s">
        <v>836</v>
      </c>
      <c r="VIH29" t="s">
        <v>836</v>
      </c>
      <c r="VII29" t="s">
        <v>836</v>
      </c>
      <c r="VIJ29" t="s">
        <v>836</v>
      </c>
      <c r="VIK29" t="s">
        <v>836</v>
      </c>
      <c r="VIL29" t="s">
        <v>836</v>
      </c>
      <c r="VIM29" t="s">
        <v>836</v>
      </c>
      <c r="VIN29" t="s">
        <v>836</v>
      </c>
      <c r="VIO29" t="s">
        <v>836</v>
      </c>
      <c r="VIP29" t="s">
        <v>836</v>
      </c>
      <c r="VIQ29" t="s">
        <v>836</v>
      </c>
      <c r="VIR29" t="s">
        <v>836</v>
      </c>
      <c r="VIS29" t="s">
        <v>836</v>
      </c>
      <c r="VIT29" t="s">
        <v>836</v>
      </c>
      <c r="VIU29" t="s">
        <v>836</v>
      </c>
      <c r="VIV29" t="s">
        <v>836</v>
      </c>
      <c r="VIW29" t="s">
        <v>836</v>
      </c>
      <c r="VIX29" t="s">
        <v>836</v>
      </c>
      <c r="VIY29" t="s">
        <v>836</v>
      </c>
      <c r="VIZ29" t="s">
        <v>836</v>
      </c>
      <c r="VJA29" t="s">
        <v>836</v>
      </c>
      <c r="VJB29" t="s">
        <v>836</v>
      </c>
      <c r="VJC29" t="s">
        <v>836</v>
      </c>
      <c r="VJD29" t="s">
        <v>836</v>
      </c>
      <c r="VJE29" t="s">
        <v>836</v>
      </c>
      <c r="VJF29" t="s">
        <v>836</v>
      </c>
      <c r="VJG29" t="s">
        <v>836</v>
      </c>
      <c r="VJH29" t="s">
        <v>836</v>
      </c>
      <c r="VJI29" t="s">
        <v>836</v>
      </c>
      <c r="VJJ29" t="s">
        <v>836</v>
      </c>
      <c r="VJK29" t="s">
        <v>836</v>
      </c>
      <c r="VJL29" t="s">
        <v>836</v>
      </c>
      <c r="VJM29" t="s">
        <v>836</v>
      </c>
      <c r="VJN29" t="s">
        <v>836</v>
      </c>
      <c r="VJO29" t="s">
        <v>836</v>
      </c>
      <c r="VJP29" t="s">
        <v>836</v>
      </c>
      <c r="VJQ29" t="s">
        <v>836</v>
      </c>
      <c r="VJR29" t="s">
        <v>836</v>
      </c>
      <c r="VJS29" t="s">
        <v>836</v>
      </c>
      <c r="VJT29" t="s">
        <v>836</v>
      </c>
      <c r="VJU29" t="s">
        <v>836</v>
      </c>
      <c r="VJV29" t="s">
        <v>836</v>
      </c>
      <c r="VJW29" t="s">
        <v>836</v>
      </c>
      <c r="VJX29" t="s">
        <v>836</v>
      </c>
      <c r="VJY29" t="s">
        <v>836</v>
      </c>
      <c r="VJZ29" t="s">
        <v>836</v>
      </c>
      <c r="VKA29" t="s">
        <v>836</v>
      </c>
      <c r="VKB29" t="s">
        <v>836</v>
      </c>
      <c r="VKC29" t="s">
        <v>836</v>
      </c>
      <c r="VKD29" t="s">
        <v>836</v>
      </c>
      <c r="VKE29" t="s">
        <v>836</v>
      </c>
      <c r="VKF29" t="s">
        <v>836</v>
      </c>
      <c r="VKG29" t="s">
        <v>836</v>
      </c>
      <c r="VKH29" t="s">
        <v>836</v>
      </c>
      <c r="VKI29" t="s">
        <v>836</v>
      </c>
      <c r="VKJ29" t="s">
        <v>836</v>
      </c>
      <c r="VKK29" t="s">
        <v>836</v>
      </c>
      <c r="VKL29" t="s">
        <v>836</v>
      </c>
      <c r="VKM29" t="s">
        <v>836</v>
      </c>
      <c r="VKN29" t="s">
        <v>836</v>
      </c>
      <c r="VKO29" t="s">
        <v>836</v>
      </c>
      <c r="VKP29" t="s">
        <v>836</v>
      </c>
      <c r="VKQ29" t="s">
        <v>836</v>
      </c>
      <c r="VKR29" t="s">
        <v>836</v>
      </c>
      <c r="VKS29" t="s">
        <v>836</v>
      </c>
      <c r="VKT29" t="s">
        <v>836</v>
      </c>
      <c r="VKU29" t="s">
        <v>836</v>
      </c>
      <c r="VKV29" t="s">
        <v>836</v>
      </c>
      <c r="VKW29" t="s">
        <v>836</v>
      </c>
      <c r="VKX29" t="s">
        <v>836</v>
      </c>
      <c r="VKY29" t="s">
        <v>836</v>
      </c>
      <c r="VKZ29" t="s">
        <v>836</v>
      </c>
      <c r="VLA29" t="s">
        <v>836</v>
      </c>
      <c r="VLB29" t="s">
        <v>836</v>
      </c>
      <c r="VLC29" t="s">
        <v>836</v>
      </c>
      <c r="VLD29" t="s">
        <v>836</v>
      </c>
      <c r="VLE29" t="s">
        <v>836</v>
      </c>
      <c r="VLF29" t="s">
        <v>836</v>
      </c>
      <c r="VLG29" t="s">
        <v>836</v>
      </c>
      <c r="VLH29" t="s">
        <v>836</v>
      </c>
      <c r="VLI29" t="s">
        <v>836</v>
      </c>
      <c r="VLJ29" t="s">
        <v>836</v>
      </c>
      <c r="VLK29" t="s">
        <v>836</v>
      </c>
      <c r="VLL29" t="s">
        <v>836</v>
      </c>
      <c r="VLM29" t="s">
        <v>836</v>
      </c>
      <c r="VLN29" t="s">
        <v>836</v>
      </c>
      <c r="VLO29" t="s">
        <v>836</v>
      </c>
      <c r="VLP29" t="s">
        <v>836</v>
      </c>
      <c r="VLQ29" t="s">
        <v>836</v>
      </c>
      <c r="VLR29" t="s">
        <v>836</v>
      </c>
      <c r="VLS29" t="s">
        <v>836</v>
      </c>
      <c r="VLT29" t="s">
        <v>836</v>
      </c>
      <c r="VLU29" t="s">
        <v>836</v>
      </c>
      <c r="VLV29" t="s">
        <v>836</v>
      </c>
      <c r="VLW29" t="s">
        <v>836</v>
      </c>
      <c r="VLX29" t="s">
        <v>836</v>
      </c>
      <c r="VLY29" t="s">
        <v>836</v>
      </c>
      <c r="VLZ29" t="s">
        <v>836</v>
      </c>
      <c r="VMA29" t="s">
        <v>836</v>
      </c>
      <c r="VMB29" t="s">
        <v>836</v>
      </c>
      <c r="VMC29" t="s">
        <v>836</v>
      </c>
      <c r="VMD29" t="s">
        <v>836</v>
      </c>
      <c r="VME29" t="s">
        <v>836</v>
      </c>
      <c r="VMF29" t="s">
        <v>836</v>
      </c>
      <c r="VMG29" t="s">
        <v>836</v>
      </c>
      <c r="VMH29" t="s">
        <v>836</v>
      </c>
      <c r="VMI29" t="s">
        <v>836</v>
      </c>
      <c r="VMJ29" t="s">
        <v>836</v>
      </c>
      <c r="VMK29" t="s">
        <v>836</v>
      </c>
      <c r="VML29" t="s">
        <v>836</v>
      </c>
      <c r="VMM29" t="s">
        <v>836</v>
      </c>
      <c r="VMN29" t="s">
        <v>836</v>
      </c>
      <c r="VMO29" t="s">
        <v>836</v>
      </c>
      <c r="VMP29" t="s">
        <v>836</v>
      </c>
      <c r="VMQ29" t="s">
        <v>836</v>
      </c>
      <c r="VMR29" t="s">
        <v>836</v>
      </c>
      <c r="VMS29" t="s">
        <v>836</v>
      </c>
      <c r="VMT29" t="s">
        <v>836</v>
      </c>
      <c r="VMU29" t="s">
        <v>836</v>
      </c>
      <c r="VMV29" t="s">
        <v>836</v>
      </c>
      <c r="VMW29" t="s">
        <v>836</v>
      </c>
      <c r="VMX29" t="s">
        <v>836</v>
      </c>
      <c r="VMY29" t="s">
        <v>836</v>
      </c>
      <c r="VMZ29" t="s">
        <v>836</v>
      </c>
      <c r="VNA29" t="s">
        <v>836</v>
      </c>
      <c r="VNB29" t="s">
        <v>836</v>
      </c>
      <c r="VNC29" t="s">
        <v>836</v>
      </c>
      <c r="VND29" t="s">
        <v>836</v>
      </c>
      <c r="VNE29" t="s">
        <v>836</v>
      </c>
      <c r="VNF29" t="s">
        <v>836</v>
      </c>
      <c r="VNG29" t="s">
        <v>836</v>
      </c>
      <c r="VNH29" t="s">
        <v>836</v>
      </c>
      <c r="VNI29" t="s">
        <v>836</v>
      </c>
      <c r="VNJ29" t="s">
        <v>836</v>
      </c>
      <c r="VNK29" t="s">
        <v>836</v>
      </c>
      <c r="VNL29" t="s">
        <v>836</v>
      </c>
      <c r="VNM29" t="s">
        <v>836</v>
      </c>
      <c r="VNN29" t="s">
        <v>836</v>
      </c>
      <c r="VNO29" t="s">
        <v>836</v>
      </c>
      <c r="VNP29" t="s">
        <v>836</v>
      </c>
      <c r="VNQ29" t="s">
        <v>836</v>
      </c>
      <c r="VNR29" t="s">
        <v>836</v>
      </c>
      <c r="VNS29" t="s">
        <v>836</v>
      </c>
      <c r="VNT29" t="s">
        <v>836</v>
      </c>
      <c r="VNU29" t="s">
        <v>836</v>
      </c>
      <c r="VNV29" t="s">
        <v>836</v>
      </c>
      <c r="VNW29" t="s">
        <v>836</v>
      </c>
      <c r="VNX29" t="s">
        <v>836</v>
      </c>
      <c r="VNY29" t="s">
        <v>836</v>
      </c>
      <c r="VNZ29" t="s">
        <v>836</v>
      </c>
      <c r="VOA29" t="s">
        <v>836</v>
      </c>
      <c r="VOB29" t="s">
        <v>836</v>
      </c>
      <c r="VOC29" t="s">
        <v>836</v>
      </c>
      <c r="VOD29" t="s">
        <v>836</v>
      </c>
      <c r="VOE29" t="s">
        <v>836</v>
      </c>
      <c r="VOF29" t="s">
        <v>836</v>
      </c>
      <c r="VOG29" t="s">
        <v>836</v>
      </c>
      <c r="VOH29" t="s">
        <v>836</v>
      </c>
      <c r="VOI29" t="s">
        <v>836</v>
      </c>
      <c r="VOJ29" t="s">
        <v>836</v>
      </c>
      <c r="VOK29" t="s">
        <v>836</v>
      </c>
      <c r="VOL29" t="s">
        <v>836</v>
      </c>
      <c r="VOM29" t="s">
        <v>836</v>
      </c>
      <c r="VON29" t="s">
        <v>836</v>
      </c>
      <c r="VOO29" t="s">
        <v>836</v>
      </c>
      <c r="VOP29" t="s">
        <v>836</v>
      </c>
      <c r="VOQ29" t="s">
        <v>836</v>
      </c>
      <c r="VOR29" t="s">
        <v>836</v>
      </c>
      <c r="VOS29" t="s">
        <v>836</v>
      </c>
      <c r="VOT29" t="s">
        <v>836</v>
      </c>
      <c r="VOU29" t="s">
        <v>836</v>
      </c>
      <c r="VOV29" t="s">
        <v>836</v>
      </c>
      <c r="VOW29" t="s">
        <v>836</v>
      </c>
      <c r="VOX29" t="s">
        <v>836</v>
      </c>
      <c r="VOY29" t="s">
        <v>836</v>
      </c>
      <c r="VOZ29" t="s">
        <v>836</v>
      </c>
      <c r="VPA29" t="s">
        <v>836</v>
      </c>
      <c r="VPB29" t="s">
        <v>836</v>
      </c>
      <c r="VPC29" t="s">
        <v>836</v>
      </c>
      <c r="VPD29" t="s">
        <v>836</v>
      </c>
      <c r="VPE29" t="s">
        <v>836</v>
      </c>
      <c r="VPF29" t="s">
        <v>836</v>
      </c>
      <c r="VPG29" t="s">
        <v>836</v>
      </c>
      <c r="VPH29" t="s">
        <v>836</v>
      </c>
      <c r="VPI29" t="s">
        <v>836</v>
      </c>
      <c r="VPJ29" t="s">
        <v>836</v>
      </c>
      <c r="VPK29" t="s">
        <v>836</v>
      </c>
      <c r="VPL29" t="s">
        <v>836</v>
      </c>
      <c r="VPM29" t="s">
        <v>836</v>
      </c>
      <c r="VPN29" t="s">
        <v>836</v>
      </c>
      <c r="VPO29" t="s">
        <v>836</v>
      </c>
      <c r="VPP29" t="s">
        <v>836</v>
      </c>
      <c r="VPQ29" t="s">
        <v>836</v>
      </c>
      <c r="VPR29" t="s">
        <v>836</v>
      </c>
      <c r="VPS29" t="s">
        <v>836</v>
      </c>
      <c r="VPT29" t="s">
        <v>836</v>
      </c>
      <c r="VPU29" t="s">
        <v>836</v>
      </c>
      <c r="VPV29" t="s">
        <v>836</v>
      </c>
      <c r="VPW29" t="s">
        <v>836</v>
      </c>
      <c r="VPX29" t="s">
        <v>836</v>
      </c>
      <c r="VPY29" t="s">
        <v>836</v>
      </c>
      <c r="VPZ29" t="s">
        <v>836</v>
      </c>
      <c r="VQA29" t="s">
        <v>836</v>
      </c>
      <c r="VQB29" t="s">
        <v>836</v>
      </c>
      <c r="VQC29" t="s">
        <v>836</v>
      </c>
      <c r="VQD29" t="s">
        <v>836</v>
      </c>
      <c r="VQE29" t="s">
        <v>836</v>
      </c>
      <c r="VQF29" t="s">
        <v>836</v>
      </c>
      <c r="VQG29" t="s">
        <v>836</v>
      </c>
      <c r="VQH29" t="s">
        <v>836</v>
      </c>
      <c r="VQI29" t="s">
        <v>836</v>
      </c>
      <c r="VQJ29" t="s">
        <v>836</v>
      </c>
      <c r="VQK29" t="s">
        <v>836</v>
      </c>
      <c r="VQL29" t="s">
        <v>836</v>
      </c>
      <c r="VQM29" t="s">
        <v>836</v>
      </c>
      <c r="VQN29" t="s">
        <v>836</v>
      </c>
      <c r="VQO29" t="s">
        <v>836</v>
      </c>
      <c r="VQP29" t="s">
        <v>836</v>
      </c>
      <c r="VQQ29" t="s">
        <v>836</v>
      </c>
      <c r="VQR29" t="s">
        <v>836</v>
      </c>
      <c r="VQS29" t="s">
        <v>836</v>
      </c>
      <c r="VQT29" t="s">
        <v>836</v>
      </c>
      <c r="VQU29" t="s">
        <v>836</v>
      </c>
      <c r="VQV29" t="s">
        <v>836</v>
      </c>
      <c r="VQW29" t="s">
        <v>836</v>
      </c>
      <c r="VQX29" t="s">
        <v>836</v>
      </c>
      <c r="VQY29" t="s">
        <v>836</v>
      </c>
      <c r="VQZ29" t="s">
        <v>836</v>
      </c>
      <c r="VRA29" t="s">
        <v>836</v>
      </c>
      <c r="VRB29" t="s">
        <v>836</v>
      </c>
      <c r="VRC29" t="s">
        <v>836</v>
      </c>
      <c r="VRD29" t="s">
        <v>836</v>
      </c>
      <c r="VRE29" t="s">
        <v>836</v>
      </c>
      <c r="VRF29" t="s">
        <v>836</v>
      </c>
      <c r="VRG29" t="s">
        <v>836</v>
      </c>
      <c r="VRH29" t="s">
        <v>836</v>
      </c>
      <c r="VRI29" t="s">
        <v>836</v>
      </c>
      <c r="VRJ29" t="s">
        <v>836</v>
      </c>
      <c r="VRK29" t="s">
        <v>836</v>
      </c>
      <c r="VRL29" t="s">
        <v>836</v>
      </c>
      <c r="VRM29" t="s">
        <v>836</v>
      </c>
      <c r="VRN29" t="s">
        <v>836</v>
      </c>
      <c r="VRO29" t="s">
        <v>836</v>
      </c>
      <c r="VRP29" t="s">
        <v>836</v>
      </c>
      <c r="VRQ29" t="s">
        <v>836</v>
      </c>
      <c r="VRR29" t="s">
        <v>836</v>
      </c>
      <c r="VRS29" t="s">
        <v>836</v>
      </c>
      <c r="VRT29" t="s">
        <v>836</v>
      </c>
      <c r="VRU29" t="s">
        <v>836</v>
      </c>
      <c r="VRV29" t="s">
        <v>836</v>
      </c>
      <c r="VRW29" t="s">
        <v>836</v>
      </c>
      <c r="VRX29" t="s">
        <v>836</v>
      </c>
      <c r="VRY29" t="s">
        <v>836</v>
      </c>
      <c r="VRZ29" t="s">
        <v>836</v>
      </c>
      <c r="VSA29" t="s">
        <v>836</v>
      </c>
      <c r="VSB29" t="s">
        <v>836</v>
      </c>
      <c r="VSC29" t="s">
        <v>836</v>
      </c>
      <c r="VSD29" t="s">
        <v>836</v>
      </c>
      <c r="VSE29" t="s">
        <v>836</v>
      </c>
      <c r="VSF29" t="s">
        <v>836</v>
      </c>
      <c r="VSG29" t="s">
        <v>836</v>
      </c>
      <c r="VSH29" t="s">
        <v>836</v>
      </c>
      <c r="VSI29" t="s">
        <v>836</v>
      </c>
      <c r="VSJ29" t="s">
        <v>836</v>
      </c>
      <c r="VSK29" t="s">
        <v>836</v>
      </c>
      <c r="VSL29" t="s">
        <v>836</v>
      </c>
      <c r="VSM29" t="s">
        <v>836</v>
      </c>
      <c r="VSN29" t="s">
        <v>836</v>
      </c>
      <c r="VSO29" t="s">
        <v>836</v>
      </c>
      <c r="VSP29" t="s">
        <v>836</v>
      </c>
      <c r="VSQ29" t="s">
        <v>836</v>
      </c>
      <c r="VSR29" t="s">
        <v>836</v>
      </c>
      <c r="VSS29" t="s">
        <v>836</v>
      </c>
      <c r="VST29" t="s">
        <v>836</v>
      </c>
      <c r="VSU29" t="s">
        <v>836</v>
      </c>
      <c r="VSV29" t="s">
        <v>836</v>
      </c>
      <c r="VSW29" t="s">
        <v>836</v>
      </c>
      <c r="VSX29" t="s">
        <v>836</v>
      </c>
      <c r="VSY29" t="s">
        <v>836</v>
      </c>
      <c r="VSZ29" t="s">
        <v>836</v>
      </c>
      <c r="VTA29" t="s">
        <v>836</v>
      </c>
      <c r="VTB29" t="s">
        <v>836</v>
      </c>
      <c r="VTC29" t="s">
        <v>836</v>
      </c>
      <c r="VTD29" t="s">
        <v>836</v>
      </c>
      <c r="VTE29" t="s">
        <v>836</v>
      </c>
      <c r="VTF29" t="s">
        <v>836</v>
      </c>
      <c r="VTG29" t="s">
        <v>836</v>
      </c>
      <c r="VTH29" t="s">
        <v>836</v>
      </c>
      <c r="VTI29" t="s">
        <v>836</v>
      </c>
      <c r="VTJ29" t="s">
        <v>836</v>
      </c>
      <c r="VTK29" t="s">
        <v>836</v>
      </c>
      <c r="VTL29" t="s">
        <v>836</v>
      </c>
      <c r="VTM29" t="s">
        <v>836</v>
      </c>
      <c r="VTN29" t="s">
        <v>836</v>
      </c>
      <c r="VTO29" t="s">
        <v>836</v>
      </c>
      <c r="VTP29" t="s">
        <v>836</v>
      </c>
      <c r="VTQ29" t="s">
        <v>836</v>
      </c>
      <c r="VTR29" t="s">
        <v>836</v>
      </c>
      <c r="VTS29" t="s">
        <v>836</v>
      </c>
      <c r="VTT29" t="s">
        <v>836</v>
      </c>
      <c r="VTU29" t="s">
        <v>836</v>
      </c>
      <c r="VTV29" t="s">
        <v>836</v>
      </c>
      <c r="VTW29" t="s">
        <v>836</v>
      </c>
      <c r="VTX29" t="s">
        <v>836</v>
      </c>
      <c r="VTY29" t="s">
        <v>836</v>
      </c>
      <c r="VTZ29" t="s">
        <v>836</v>
      </c>
      <c r="VUA29" t="s">
        <v>836</v>
      </c>
      <c r="VUB29" t="s">
        <v>836</v>
      </c>
      <c r="VUC29" t="s">
        <v>836</v>
      </c>
      <c r="VUD29" t="s">
        <v>836</v>
      </c>
      <c r="VUE29" t="s">
        <v>836</v>
      </c>
      <c r="VUF29" t="s">
        <v>836</v>
      </c>
      <c r="VUG29" t="s">
        <v>836</v>
      </c>
      <c r="VUH29" t="s">
        <v>836</v>
      </c>
      <c r="VUI29" t="s">
        <v>836</v>
      </c>
      <c r="VUJ29" t="s">
        <v>836</v>
      </c>
      <c r="VUK29" t="s">
        <v>836</v>
      </c>
      <c r="VUL29" t="s">
        <v>836</v>
      </c>
      <c r="VUM29" t="s">
        <v>836</v>
      </c>
      <c r="VUN29" t="s">
        <v>836</v>
      </c>
      <c r="VUO29" t="s">
        <v>836</v>
      </c>
      <c r="VUP29" t="s">
        <v>836</v>
      </c>
      <c r="VUQ29" t="s">
        <v>836</v>
      </c>
      <c r="VUR29" t="s">
        <v>836</v>
      </c>
      <c r="VUS29" t="s">
        <v>836</v>
      </c>
      <c r="VUT29" t="s">
        <v>836</v>
      </c>
      <c r="VUU29" t="s">
        <v>836</v>
      </c>
      <c r="VUV29" t="s">
        <v>836</v>
      </c>
      <c r="VUW29" t="s">
        <v>836</v>
      </c>
      <c r="VUX29" t="s">
        <v>836</v>
      </c>
      <c r="VUY29" t="s">
        <v>836</v>
      </c>
      <c r="VUZ29" t="s">
        <v>836</v>
      </c>
      <c r="VVA29" t="s">
        <v>836</v>
      </c>
      <c r="VVB29" t="s">
        <v>836</v>
      </c>
      <c r="VVC29" t="s">
        <v>836</v>
      </c>
      <c r="VVD29" t="s">
        <v>836</v>
      </c>
      <c r="VVE29" t="s">
        <v>836</v>
      </c>
      <c r="VVF29" t="s">
        <v>836</v>
      </c>
      <c r="VVG29" t="s">
        <v>836</v>
      </c>
      <c r="VVH29" t="s">
        <v>836</v>
      </c>
      <c r="VVI29" t="s">
        <v>836</v>
      </c>
      <c r="VVJ29" t="s">
        <v>836</v>
      </c>
      <c r="VVK29" t="s">
        <v>836</v>
      </c>
      <c r="VVL29" t="s">
        <v>836</v>
      </c>
      <c r="VVM29" t="s">
        <v>836</v>
      </c>
      <c r="VVN29" t="s">
        <v>836</v>
      </c>
      <c r="VVO29" t="s">
        <v>836</v>
      </c>
      <c r="VVP29" t="s">
        <v>836</v>
      </c>
      <c r="VVQ29" t="s">
        <v>836</v>
      </c>
      <c r="VVR29" t="s">
        <v>836</v>
      </c>
      <c r="VVS29" t="s">
        <v>836</v>
      </c>
      <c r="VVT29" t="s">
        <v>836</v>
      </c>
      <c r="VVU29" t="s">
        <v>836</v>
      </c>
      <c r="VVV29" t="s">
        <v>836</v>
      </c>
      <c r="VVW29" t="s">
        <v>836</v>
      </c>
      <c r="VVX29" t="s">
        <v>836</v>
      </c>
      <c r="VVY29" t="s">
        <v>836</v>
      </c>
      <c r="VVZ29" t="s">
        <v>836</v>
      </c>
      <c r="VWA29" t="s">
        <v>836</v>
      </c>
      <c r="VWB29" t="s">
        <v>836</v>
      </c>
      <c r="VWC29" t="s">
        <v>836</v>
      </c>
      <c r="VWD29" t="s">
        <v>836</v>
      </c>
      <c r="VWE29" t="s">
        <v>836</v>
      </c>
      <c r="VWF29" t="s">
        <v>836</v>
      </c>
      <c r="VWG29" t="s">
        <v>836</v>
      </c>
      <c r="VWH29" t="s">
        <v>836</v>
      </c>
      <c r="VWI29" t="s">
        <v>836</v>
      </c>
      <c r="VWJ29" t="s">
        <v>836</v>
      </c>
      <c r="VWK29" t="s">
        <v>836</v>
      </c>
      <c r="VWL29" t="s">
        <v>836</v>
      </c>
      <c r="VWM29" t="s">
        <v>836</v>
      </c>
      <c r="VWN29" t="s">
        <v>836</v>
      </c>
      <c r="VWO29" t="s">
        <v>836</v>
      </c>
      <c r="VWP29" t="s">
        <v>836</v>
      </c>
      <c r="VWQ29" t="s">
        <v>836</v>
      </c>
      <c r="VWR29" t="s">
        <v>836</v>
      </c>
      <c r="VWS29" t="s">
        <v>836</v>
      </c>
      <c r="VWT29" t="s">
        <v>836</v>
      </c>
      <c r="VWU29" t="s">
        <v>836</v>
      </c>
      <c r="VWV29" t="s">
        <v>836</v>
      </c>
      <c r="VWW29" t="s">
        <v>836</v>
      </c>
      <c r="VWX29" t="s">
        <v>836</v>
      </c>
      <c r="VWY29" t="s">
        <v>836</v>
      </c>
      <c r="VWZ29" t="s">
        <v>836</v>
      </c>
      <c r="VXA29" t="s">
        <v>836</v>
      </c>
      <c r="VXB29" t="s">
        <v>836</v>
      </c>
      <c r="VXC29" t="s">
        <v>836</v>
      </c>
      <c r="VXD29" t="s">
        <v>836</v>
      </c>
      <c r="VXE29" t="s">
        <v>836</v>
      </c>
      <c r="VXF29" t="s">
        <v>836</v>
      </c>
      <c r="VXG29" t="s">
        <v>836</v>
      </c>
      <c r="VXH29" t="s">
        <v>836</v>
      </c>
      <c r="VXI29" t="s">
        <v>836</v>
      </c>
      <c r="VXJ29" t="s">
        <v>836</v>
      </c>
      <c r="VXK29" t="s">
        <v>836</v>
      </c>
      <c r="VXL29" t="s">
        <v>836</v>
      </c>
      <c r="VXM29" t="s">
        <v>836</v>
      </c>
      <c r="VXN29" t="s">
        <v>836</v>
      </c>
      <c r="VXO29" t="s">
        <v>836</v>
      </c>
      <c r="VXP29" t="s">
        <v>836</v>
      </c>
      <c r="VXQ29" t="s">
        <v>836</v>
      </c>
      <c r="VXR29" t="s">
        <v>836</v>
      </c>
      <c r="VXS29" t="s">
        <v>836</v>
      </c>
      <c r="VXT29" t="s">
        <v>836</v>
      </c>
      <c r="VXU29" t="s">
        <v>836</v>
      </c>
      <c r="VXV29" t="s">
        <v>836</v>
      </c>
      <c r="VXW29" t="s">
        <v>836</v>
      </c>
      <c r="VXX29" t="s">
        <v>836</v>
      </c>
      <c r="VXY29" t="s">
        <v>836</v>
      </c>
      <c r="VXZ29" t="s">
        <v>836</v>
      </c>
      <c r="VYA29" t="s">
        <v>836</v>
      </c>
      <c r="VYB29" t="s">
        <v>836</v>
      </c>
      <c r="VYC29" t="s">
        <v>836</v>
      </c>
      <c r="VYD29" t="s">
        <v>836</v>
      </c>
      <c r="VYE29" t="s">
        <v>836</v>
      </c>
      <c r="VYF29" t="s">
        <v>836</v>
      </c>
      <c r="VYG29" t="s">
        <v>836</v>
      </c>
      <c r="VYH29" t="s">
        <v>836</v>
      </c>
      <c r="VYI29" t="s">
        <v>836</v>
      </c>
      <c r="VYJ29" t="s">
        <v>836</v>
      </c>
      <c r="VYK29" t="s">
        <v>836</v>
      </c>
      <c r="VYL29" t="s">
        <v>836</v>
      </c>
      <c r="VYM29" t="s">
        <v>836</v>
      </c>
      <c r="VYN29" t="s">
        <v>836</v>
      </c>
      <c r="VYO29" t="s">
        <v>836</v>
      </c>
      <c r="VYP29" t="s">
        <v>836</v>
      </c>
      <c r="VYQ29" t="s">
        <v>836</v>
      </c>
      <c r="VYR29" t="s">
        <v>836</v>
      </c>
      <c r="VYS29" t="s">
        <v>836</v>
      </c>
      <c r="VYT29" t="s">
        <v>836</v>
      </c>
      <c r="VYU29" t="s">
        <v>836</v>
      </c>
      <c r="VYV29" t="s">
        <v>836</v>
      </c>
      <c r="VYW29" t="s">
        <v>836</v>
      </c>
      <c r="VYX29" t="s">
        <v>836</v>
      </c>
      <c r="VYY29" t="s">
        <v>836</v>
      </c>
      <c r="VYZ29" t="s">
        <v>836</v>
      </c>
      <c r="VZA29" t="s">
        <v>836</v>
      </c>
      <c r="VZB29" t="s">
        <v>836</v>
      </c>
      <c r="VZC29" t="s">
        <v>836</v>
      </c>
      <c r="VZD29" t="s">
        <v>836</v>
      </c>
      <c r="VZE29" t="s">
        <v>836</v>
      </c>
      <c r="VZF29" t="s">
        <v>836</v>
      </c>
      <c r="VZG29" t="s">
        <v>836</v>
      </c>
      <c r="VZH29" t="s">
        <v>836</v>
      </c>
      <c r="VZI29" t="s">
        <v>836</v>
      </c>
      <c r="VZJ29" t="s">
        <v>836</v>
      </c>
      <c r="VZK29" t="s">
        <v>836</v>
      </c>
      <c r="VZL29" t="s">
        <v>836</v>
      </c>
      <c r="VZM29" t="s">
        <v>836</v>
      </c>
      <c r="VZN29" t="s">
        <v>836</v>
      </c>
      <c r="VZO29" t="s">
        <v>836</v>
      </c>
      <c r="VZP29" t="s">
        <v>836</v>
      </c>
      <c r="VZQ29" t="s">
        <v>836</v>
      </c>
      <c r="VZR29" t="s">
        <v>836</v>
      </c>
      <c r="VZS29" t="s">
        <v>836</v>
      </c>
      <c r="VZT29" t="s">
        <v>836</v>
      </c>
      <c r="VZU29" t="s">
        <v>836</v>
      </c>
      <c r="VZV29" t="s">
        <v>836</v>
      </c>
      <c r="VZW29" t="s">
        <v>836</v>
      </c>
      <c r="VZX29" t="s">
        <v>836</v>
      </c>
      <c r="VZY29" t="s">
        <v>836</v>
      </c>
      <c r="VZZ29" t="s">
        <v>836</v>
      </c>
      <c r="WAA29" t="s">
        <v>836</v>
      </c>
      <c r="WAB29" t="s">
        <v>836</v>
      </c>
      <c r="WAC29" t="s">
        <v>836</v>
      </c>
      <c r="WAD29" t="s">
        <v>836</v>
      </c>
      <c r="WAE29" t="s">
        <v>836</v>
      </c>
      <c r="WAF29" t="s">
        <v>836</v>
      </c>
      <c r="WAG29" t="s">
        <v>836</v>
      </c>
      <c r="WAH29" t="s">
        <v>836</v>
      </c>
      <c r="WAI29" t="s">
        <v>836</v>
      </c>
      <c r="WAJ29" t="s">
        <v>836</v>
      </c>
      <c r="WAK29" t="s">
        <v>836</v>
      </c>
      <c r="WAL29" t="s">
        <v>836</v>
      </c>
      <c r="WAM29" t="s">
        <v>836</v>
      </c>
      <c r="WAN29" t="s">
        <v>836</v>
      </c>
      <c r="WAO29" t="s">
        <v>836</v>
      </c>
      <c r="WAP29" t="s">
        <v>836</v>
      </c>
      <c r="WAQ29" t="s">
        <v>836</v>
      </c>
      <c r="WAR29" t="s">
        <v>836</v>
      </c>
      <c r="WAS29" t="s">
        <v>836</v>
      </c>
      <c r="WAT29" t="s">
        <v>836</v>
      </c>
      <c r="WAU29" t="s">
        <v>836</v>
      </c>
      <c r="WAV29" t="s">
        <v>836</v>
      </c>
      <c r="WAW29" t="s">
        <v>836</v>
      </c>
      <c r="WAX29" t="s">
        <v>836</v>
      </c>
      <c r="WAY29" t="s">
        <v>836</v>
      </c>
      <c r="WAZ29" t="s">
        <v>836</v>
      </c>
      <c r="WBA29" t="s">
        <v>836</v>
      </c>
      <c r="WBB29" t="s">
        <v>836</v>
      </c>
      <c r="WBC29" t="s">
        <v>836</v>
      </c>
      <c r="WBD29" t="s">
        <v>836</v>
      </c>
      <c r="WBE29" t="s">
        <v>836</v>
      </c>
      <c r="WBF29" t="s">
        <v>836</v>
      </c>
      <c r="WBG29" t="s">
        <v>836</v>
      </c>
      <c r="WBH29" t="s">
        <v>836</v>
      </c>
      <c r="WBI29" t="s">
        <v>836</v>
      </c>
      <c r="WBJ29" t="s">
        <v>836</v>
      </c>
      <c r="WBK29" t="s">
        <v>836</v>
      </c>
      <c r="WBL29" t="s">
        <v>836</v>
      </c>
      <c r="WBM29" t="s">
        <v>836</v>
      </c>
      <c r="WBN29" t="s">
        <v>836</v>
      </c>
      <c r="WBO29" t="s">
        <v>836</v>
      </c>
      <c r="WBP29" t="s">
        <v>836</v>
      </c>
      <c r="WBQ29" t="s">
        <v>836</v>
      </c>
      <c r="WBR29" t="s">
        <v>836</v>
      </c>
      <c r="WBS29" t="s">
        <v>836</v>
      </c>
      <c r="WBT29" t="s">
        <v>836</v>
      </c>
      <c r="WBU29" t="s">
        <v>836</v>
      </c>
      <c r="WBV29" t="s">
        <v>836</v>
      </c>
      <c r="WBW29" t="s">
        <v>836</v>
      </c>
      <c r="WBX29" t="s">
        <v>836</v>
      </c>
      <c r="WBY29" t="s">
        <v>836</v>
      </c>
      <c r="WBZ29" t="s">
        <v>836</v>
      </c>
      <c r="WCA29" t="s">
        <v>836</v>
      </c>
      <c r="WCB29" t="s">
        <v>836</v>
      </c>
      <c r="WCC29" t="s">
        <v>836</v>
      </c>
      <c r="WCD29" t="s">
        <v>836</v>
      </c>
      <c r="WCE29" t="s">
        <v>836</v>
      </c>
      <c r="WCF29" t="s">
        <v>836</v>
      </c>
      <c r="WCG29" t="s">
        <v>836</v>
      </c>
      <c r="WCH29" t="s">
        <v>836</v>
      </c>
      <c r="WCI29" t="s">
        <v>836</v>
      </c>
      <c r="WCJ29" t="s">
        <v>836</v>
      </c>
      <c r="WCK29" t="s">
        <v>836</v>
      </c>
      <c r="WCL29" t="s">
        <v>836</v>
      </c>
      <c r="WCM29" t="s">
        <v>836</v>
      </c>
      <c r="WCN29" t="s">
        <v>836</v>
      </c>
      <c r="WCO29" t="s">
        <v>836</v>
      </c>
      <c r="WCP29" t="s">
        <v>836</v>
      </c>
      <c r="WCQ29" t="s">
        <v>836</v>
      </c>
      <c r="WCR29" t="s">
        <v>836</v>
      </c>
      <c r="WCS29" t="s">
        <v>836</v>
      </c>
      <c r="WCT29" t="s">
        <v>836</v>
      </c>
      <c r="WCU29" t="s">
        <v>836</v>
      </c>
      <c r="WCV29" t="s">
        <v>836</v>
      </c>
      <c r="WCW29" t="s">
        <v>836</v>
      </c>
      <c r="WCX29" t="s">
        <v>836</v>
      </c>
      <c r="WCY29" t="s">
        <v>836</v>
      </c>
      <c r="WCZ29" t="s">
        <v>836</v>
      </c>
      <c r="WDA29" t="s">
        <v>836</v>
      </c>
      <c r="WDB29" t="s">
        <v>836</v>
      </c>
      <c r="WDC29" t="s">
        <v>836</v>
      </c>
      <c r="WDD29" t="s">
        <v>836</v>
      </c>
      <c r="WDE29" t="s">
        <v>836</v>
      </c>
      <c r="WDF29" t="s">
        <v>836</v>
      </c>
      <c r="WDG29" t="s">
        <v>836</v>
      </c>
      <c r="WDH29" t="s">
        <v>836</v>
      </c>
      <c r="WDI29" t="s">
        <v>836</v>
      </c>
      <c r="WDJ29" t="s">
        <v>836</v>
      </c>
      <c r="WDK29" t="s">
        <v>836</v>
      </c>
      <c r="WDL29" t="s">
        <v>836</v>
      </c>
      <c r="WDM29" t="s">
        <v>836</v>
      </c>
      <c r="WDN29" t="s">
        <v>836</v>
      </c>
      <c r="WDO29" t="s">
        <v>836</v>
      </c>
      <c r="WDP29" t="s">
        <v>836</v>
      </c>
      <c r="WDQ29" t="s">
        <v>836</v>
      </c>
      <c r="WDR29" t="s">
        <v>836</v>
      </c>
      <c r="WDS29" t="s">
        <v>836</v>
      </c>
      <c r="WDT29" t="s">
        <v>836</v>
      </c>
      <c r="WDU29" t="s">
        <v>836</v>
      </c>
      <c r="WDV29" t="s">
        <v>836</v>
      </c>
      <c r="WDW29" t="s">
        <v>836</v>
      </c>
      <c r="WDX29" t="s">
        <v>836</v>
      </c>
      <c r="WDY29" t="s">
        <v>836</v>
      </c>
      <c r="WDZ29" t="s">
        <v>836</v>
      </c>
      <c r="WEA29" t="s">
        <v>836</v>
      </c>
      <c r="WEB29" t="s">
        <v>836</v>
      </c>
      <c r="WEC29" t="s">
        <v>836</v>
      </c>
      <c r="WED29" t="s">
        <v>836</v>
      </c>
      <c r="WEE29" t="s">
        <v>836</v>
      </c>
      <c r="WEF29" t="s">
        <v>836</v>
      </c>
      <c r="WEG29" t="s">
        <v>836</v>
      </c>
      <c r="WEH29" t="s">
        <v>836</v>
      </c>
      <c r="WEI29" t="s">
        <v>836</v>
      </c>
      <c r="WEJ29" t="s">
        <v>836</v>
      </c>
      <c r="WEK29" t="s">
        <v>836</v>
      </c>
      <c r="WEL29" t="s">
        <v>836</v>
      </c>
      <c r="WEM29" t="s">
        <v>836</v>
      </c>
      <c r="WEN29" t="s">
        <v>836</v>
      </c>
      <c r="WEO29" t="s">
        <v>836</v>
      </c>
      <c r="WEP29" t="s">
        <v>836</v>
      </c>
      <c r="WEQ29" t="s">
        <v>836</v>
      </c>
      <c r="WER29" t="s">
        <v>836</v>
      </c>
      <c r="WES29" t="s">
        <v>836</v>
      </c>
      <c r="WET29" t="s">
        <v>836</v>
      </c>
      <c r="WEU29" t="s">
        <v>836</v>
      </c>
      <c r="WEV29" t="s">
        <v>836</v>
      </c>
      <c r="WEW29" t="s">
        <v>836</v>
      </c>
      <c r="WEX29" t="s">
        <v>836</v>
      </c>
      <c r="WEY29" t="s">
        <v>836</v>
      </c>
      <c r="WEZ29" t="s">
        <v>836</v>
      </c>
      <c r="WFA29" t="s">
        <v>836</v>
      </c>
      <c r="WFB29" t="s">
        <v>836</v>
      </c>
      <c r="WFC29" t="s">
        <v>836</v>
      </c>
      <c r="WFD29" t="s">
        <v>836</v>
      </c>
      <c r="WFE29" t="s">
        <v>836</v>
      </c>
      <c r="WFF29" t="s">
        <v>836</v>
      </c>
      <c r="WFG29" t="s">
        <v>836</v>
      </c>
      <c r="WFH29" t="s">
        <v>836</v>
      </c>
      <c r="WFI29" t="s">
        <v>836</v>
      </c>
      <c r="WFJ29" t="s">
        <v>836</v>
      </c>
      <c r="WFK29" t="s">
        <v>836</v>
      </c>
      <c r="WFL29" t="s">
        <v>836</v>
      </c>
      <c r="WFM29" t="s">
        <v>836</v>
      </c>
      <c r="WFN29" t="s">
        <v>836</v>
      </c>
      <c r="WFO29" t="s">
        <v>836</v>
      </c>
      <c r="WFP29" t="s">
        <v>836</v>
      </c>
      <c r="WFQ29" t="s">
        <v>836</v>
      </c>
      <c r="WFR29" t="s">
        <v>836</v>
      </c>
      <c r="WFS29" t="s">
        <v>836</v>
      </c>
      <c r="WFT29" t="s">
        <v>836</v>
      </c>
      <c r="WFU29" t="s">
        <v>836</v>
      </c>
      <c r="WFV29" t="s">
        <v>836</v>
      </c>
      <c r="WFW29" t="s">
        <v>836</v>
      </c>
      <c r="WFX29" t="s">
        <v>836</v>
      </c>
      <c r="WFY29" t="s">
        <v>836</v>
      </c>
      <c r="WFZ29" t="s">
        <v>836</v>
      </c>
      <c r="WGA29" t="s">
        <v>836</v>
      </c>
      <c r="WGB29" t="s">
        <v>836</v>
      </c>
      <c r="WGC29" t="s">
        <v>836</v>
      </c>
      <c r="WGD29" t="s">
        <v>836</v>
      </c>
      <c r="WGE29" t="s">
        <v>836</v>
      </c>
      <c r="WGF29" t="s">
        <v>836</v>
      </c>
      <c r="WGG29" t="s">
        <v>836</v>
      </c>
      <c r="WGH29" t="s">
        <v>836</v>
      </c>
      <c r="WGI29" t="s">
        <v>836</v>
      </c>
      <c r="WGJ29" t="s">
        <v>836</v>
      </c>
      <c r="WGK29" t="s">
        <v>836</v>
      </c>
      <c r="WGL29" t="s">
        <v>836</v>
      </c>
      <c r="WGM29" t="s">
        <v>836</v>
      </c>
      <c r="WGN29" t="s">
        <v>836</v>
      </c>
      <c r="WGO29" t="s">
        <v>836</v>
      </c>
      <c r="WGP29" t="s">
        <v>836</v>
      </c>
      <c r="WGQ29" t="s">
        <v>836</v>
      </c>
      <c r="WGR29" t="s">
        <v>836</v>
      </c>
      <c r="WGS29" t="s">
        <v>836</v>
      </c>
      <c r="WGT29" t="s">
        <v>836</v>
      </c>
      <c r="WGU29" t="s">
        <v>836</v>
      </c>
      <c r="WGV29" t="s">
        <v>836</v>
      </c>
      <c r="WGW29" t="s">
        <v>836</v>
      </c>
      <c r="WGX29" t="s">
        <v>836</v>
      </c>
      <c r="WGY29" t="s">
        <v>836</v>
      </c>
      <c r="WGZ29" t="s">
        <v>836</v>
      </c>
      <c r="WHA29" t="s">
        <v>836</v>
      </c>
      <c r="WHB29" t="s">
        <v>836</v>
      </c>
      <c r="WHC29" t="s">
        <v>836</v>
      </c>
      <c r="WHD29" t="s">
        <v>836</v>
      </c>
      <c r="WHE29" t="s">
        <v>836</v>
      </c>
      <c r="WHF29" t="s">
        <v>836</v>
      </c>
      <c r="WHG29" t="s">
        <v>836</v>
      </c>
      <c r="WHH29" t="s">
        <v>836</v>
      </c>
      <c r="WHI29" t="s">
        <v>836</v>
      </c>
      <c r="WHJ29" t="s">
        <v>836</v>
      </c>
      <c r="WHK29" t="s">
        <v>836</v>
      </c>
      <c r="WHL29" t="s">
        <v>836</v>
      </c>
      <c r="WHM29" t="s">
        <v>836</v>
      </c>
      <c r="WHN29" t="s">
        <v>836</v>
      </c>
      <c r="WHO29" t="s">
        <v>836</v>
      </c>
      <c r="WHP29" t="s">
        <v>836</v>
      </c>
      <c r="WHQ29" t="s">
        <v>836</v>
      </c>
      <c r="WHR29" t="s">
        <v>836</v>
      </c>
      <c r="WHS29" t="s">
        <v>836</v>
      </c>
      <c r="WHT29" t="s">
        <v>836</v>
      </c>
      <c r="WHU29" t="s">
        <v>836</v>
      </c>
      <c r="WHV29" t="s">
        <v>836</v>
      </c>
      <c r="WHW29" t="s">
        <v>836</v>
      </c>
      <c r="WHX29" t="s">
        <v>836</v>
      </c>
      <c r="WHY29" t="s">
        <v>836</v>
      </c>
      <c r="WHZ29" t="s">
        <v>836</v>
      </c>
      <c r="WIA29" t="s">
        <v>836</v>
      </c>
      <c r="WIB29" t="s">
        <v>836</v>
      </c>
      <c r="WIC29" t="s">
        <v>836</v>
      </c>
      <c r="WID29" t="s">
        <v>836</v>
      </c>
      <c r="WIE29" t="s">
        <v>836</v>
      </c>
      <c r="WIF29" t="s">
        <v>836</v>
      </c>
      <c r="WIG29" t="s">
        <v>836</v>
      </c>
      <c r="WIH29" t="s">
        <v>836</v>
      </c>
      <c r="WII29" t="s">
        <v>836</v>
      </c>
      <c r="WIJ29" t="s">
        <v>836</v>
      </c>
      <c r="WIK29" t="s">
        <v>836</v>
      </c>
      <c r="WIL29" t="s">
        <v>836</v>
      </c>
      <c r="WIM29" t="s">
        <v>836</v>
      </c>
      <c r="WIN29" t="s">
        <v>836</v>
      </c>
      <c r="WIO29" t="s">
        <v>836</v>
      </c>
      <c r="WIP29" t="s">
        <v>836</v>
      </c>
      <c r="WIQ29" t="s">
        <v>836</v>
      </c>
      <c r="WIR29" t="s">
        <v>836</v>
      </c>
      <c r="WIS29" t="s">
        <v>836</v>
      </c>
      <c r="WIT29" t="s">
        <v>836</v>
      </c>
      <c r="WIU29" t="s">
        <v>836</v>
      </c>
      <c r="WIV29" t="s">
        <v>836</v>
      </c>
      <c r="WIW29" t="s">
        <v>836</v>
      </c>
      <c r="WIX29" t="s">
        <v>836</v>
      </c>
      <c r="WIY29" t="s">
        <v>836</v>
      </c>
      <c r="WIZ29" t="s">
        <v>836</v>
      </c>
      <c r="WJA29" t="s">
        <v>836</v>
      </c>
      <c r="WJB29" t="s">
        <v>836</v>
      </c>
      <c r="WJC29" t="s">
        <v>836</v>
      </c>
      <c r="WJD29" t="s">
        <v>836</v>
      </c>
      <c r="WJE29" t="s">
        <v>836</v>
      </c>
      <c r="WJF29" t="s">
        <v>836</v>
      </c>
      <c r="WJG29" t="s">
        <v>836</v>
      </c>
      <c r="WJH29" t="s">
        <v>836</v>
      </c>
      <c r="WJI29" t="s">
        <v>836</v>
      </c>
      <c r="WJJ29" t="s">
        <v>836</v>
      </c>
      <c r="WJK29" t="s">
        <v>836</v>
      </c>
      <c r="WJL29" t="s">
        <v>836</v>
      </c>
      <c r="WJM29" t="s">
        <v>836</v>
      </c>
      <c r="WJN29" t="s">
        <v>836</v>
      </c>
      <c r="WJO29" t="s">
        <v>836</v>
      </c>
      <c r="WJP29" t="s">
        <v>836</v>
      </c>
      <c r="WJQ29" t="s">
        <v>836</v>
      </c>
      <c r="WJR29" t="s">
        <v>836</v>
      </c>
      <c r="WJS29" t="s">
        <v>836</v>
      </c>
      <c r="WJT29" t="s">
        <v>836</v>
      </c>
      <c r="WJU29" t="s">
        <v>836</v>
      </c>
      <c r="WJV29" t="s">
        <v>836</v>
      </c>
      <c r="WJW29" t="s">
        <v>836</v>
      </c>
      <c r="WJX29" t="s">
        <v>836</v>
      </c>
      <c r="WJY29" t="s">
        <v>836</v>
      </c>
      <c r="WJZ29" t="s">
        <v>836</v>
      </c>
      <c r="WKA29" t="s">
        <v>836</v>
      </c>
      <c r="WKB29" t="s">
        <v>836</v>
      </c>
      <c r="WKC29" t="s">
        <v>836</v>
      </c>
      <c r="WKD29" t="s">
        <v>836</v>
      </c>
      <c r="WKE29" t="s">
        <v>836</v>
      </c>
      <c r="WKF29" t="s">
        <v>836</v>
      </c>
      <c r="WKG29" t="s">
        <v>836</v>
      </c>
      <c r="WKH29" t="s">
        <v>836</v>
      </c>
      <c r="WKI29" t="s">
        <v>836</v>
      </c>
      <c r="WKJ29" t="s">
        <v>836</v>
      </c>
      <c r="WKK29" t="s">
        <v>836</v>
      </c>
      <c r="WKL29" t="s">
        <v>836</v>
      </c>
      <c r="WKM29" t="s">
        <v>836</v>
      </c>
      <c r="WKN29" t="s">
        <v>836</v>
      </c>
      <c r="WKO29" t="s">
        <v>836</v>
      </c>
      <c r="WKP29" t="s">
        <v>836</v>
      </c>
      <c r="WKQ29" t="s">
        <v>836</v>
      </c>
      <c r="WKR29" t="s">
        <v>836</v>
      </c>
      <c r="WKS29" t="s">
        <v>836</v>
      </c>
      <c r="WKT29" t="s">
        <v>836</v>
      </c>
      <c r="WKU29" t="s">
        <v>836</v>
      </c>
      <c r="WKV29" t="s">
        <v>836</v>
      </c>
      <c r="WKW29" t="s">
        <v>836</v>
      </c>
      <c r="WKX29" t="s">
        <v>836</v>
      </c>
      <c r="WKY29" t="s">
        <v>836</v>
      </c>
      <c r="WKZ29" t="s">
        <v>836</v>
      </c>
      <c r="WLA29" t="s">
        <v>836</v>
      </c>
      <c r="WLB29" t="s">
        <v>836</v>
      </c>
      <c r="WLC29" t="s">
        <v>836</v>
      </c>
      <c r="WLD29" t="s">
        <v>836</v>
      </c>
      <c r="WLE29" t="s">
        <v>836</v>
      </c>
      <c r="WLF29" t="s">
        <v>836</v>
      </c>
      <c r="WLG29" t="s">
        <v>836</v>
      </c>
      <c r="WLH29" t="s">
        <v>836</v>
      </c>
      <c r="WLI29" t="s">
        <v>836</v>
      </c>
      <c r="WLJ29" t="s">
        <v>836</v>
      </c>
      <c r="WLK29" t="s">
        <v>836</v>
      </c>
      <c r="WLL29" t="s">
        <v>836</v>
      </c>
      <c r="WLM29" t="s">
        <v>836</v>
      </c>
      <c r="WLN29" t="s">
        <v>836</v>
      </c>
      <c r="WLO29" t="s">
        <v>836</v>
      </c>
      <c r="WLP29" t="s">
        <v>836</v>
      </c>
      <c r="WLQ29" t="s">
        <v>836</v>
      </c>
      <c r="WLR29" t="s">
        <v>836</v>
      </c>
      <c r="WLS29" t="s">
        <v>836</v>
      </c>
      <c r="WLT29" t="s">
        <v>836</v>
      </c>
      <c r="WLU29" t="s">
        <v>836</v>
      </c>
      <c r="WLV29" t="s">
        <v>836</v>
      </c>
      <c r="WLW29" t="s">
        <v>836</v>
      </c>
      <c r="WLX29" t="s">
        <v>836</v>
      </c>
      <c r="WLY29" t="s">
        <v>836</v>
      </c>
      <c r="WLZ29" t="s">
        <v>836</v>
      </c>
      <c r="WMA29" t="s">
        <v>836</v>
      </c>
      <c r="WMB29" t="s">
        <v>836</v>
      </c>
      <c r="WMC29" t="s">
        <v>836</v>
      </c>
      <c r="WMD29" t="s">
        <v>836</v>
      </c>
      <c r="WME29" t="s">
        <v>836</v>
      </c>
      <c r="WMF29" t="s">
        <v>836</v>
      </c>
      <c r="WMG29" t="s">
        <v>836</v>
      </c>
      <c r="WMH29" t="s">
        <v>836</v>
      </c>
      <c r="WMI29" t="s">
        <v>836</v>
      </c>
      <c r="WMJ29" t="s">
        <v>836</v>
      </c>
      <c r="WMK29" t="s">
        <v>836</v>
      </c>
      <c r="WML29" t="s">
        <v>836</v>
      </c>
      <c r="WMM29" t="s">
        <v>836</v>
      </c>
      <c r="WMN29" t="s">
        <v>836</v>
      </c>
      <c r="WMO29" t="s">
        <v>836</v>
      </c>
      <c r="WMP29" t="s">
        <v>836</v>
      </c>
      <c r="WMQ29" t="s">
        <v>836</v>
      </c>
      <c r="WMR29" t="s">
        <v>836</v>
      </c>
      <c r="WMS29" t="s">
        <v>836</v>
      </c>
      <c r="WMT29" t="s">
        <v>836</v>
      </c>
      <c r="WMU29" t="s">
        <v>836</v>
      </c>
      <c r="WMV29" t="s">
        <v>836</v>
      </c>
      <c r="WMW29" t="s">
        <v>836</v>
      </c>
      <c r="WMX29" t="s">
        <v>836</v>
      </c>
      <c r="WMY29" t="s">
        <v>836</v>
      </c>
      <c r="WMZ29" t="s">
        <v>836</v>
      </c>
      <c r="WNA29" t="s">
        <v>836</v>
      </c>
      <c r="WNB29" t="s">
        <v>836</v>
      </c>
      <c r="WNC29" t="s">
        <v>836</v>
      </c>
      <c r="WND29" t="s">
        <v>836</v>
      </c>
      <c r="WNE29" t="s">
        <v>836</v>
      </c>
      <c r="WNF29" t="s">
        <v>836</v>
      </c>
      <c r="WNG29" t="s">
        <v>836</v>
      </c>
      <c r="WNH29" t="s">
        <v>836</v>
      </c>
      <c r="WNI29" t="s">
        <v>836</v>
      </c>
      <c r="WNJ29" t="s">
        <v>836</v>
      </c>
      <c r="WNK29" t="s">
        <v>836</v>
      </c>
      <c r="WNL29" t="s">
        <v>836</v>
      </c>
      <c r="WNM29" t="s">
        <v>836</v>
      </c>
      <c r="WNN29" t="s">
        <v>836</v>
      </c>
      <c r="WNO29" t="s">
        <v>836</v>
      </c>
      <c r="WNP29" t="s">
        <v>836</v>
      </c>
      <c r="WNQ29" t="s">
        <v>836</v>
      </c>
      <c r="WNR29" t="s">
        <v>836</v>
      </c>
      <c r="WNS29" t="s">
        <v>836</v>
      </c>
      <c r="WNT29" t="s">
        <v>836</v>
      </c>
      <c r="WNU29" t="s">
        <v>836</v>
      </c>
      <c r="WNV29" t="s">
        <v>836</v>
      </c>
      <c r="WNW29" t="s">
        <v>836</v>
      </c>
      <c r="WNX29" t="s">
        <v>836</v>
      </c>
      <c r="WNY29" t="s">
        <v>836</v>
      </c>
      <c r="WNZ29" t="s">
        <v>836</v>
      </c>
      <c r="WOA29" t="s">
        <v>836</v>
      </c>
      <c r="WOB29" t="s">
        <v>836</v>
      </c>
      <c r="WOC29" t="s">
        <v>836</v>
      </c>
      <c r="WOD29" t="s">
        <v>836</v>
      </c>
      <c r="WOE29" t="s">
        <v>836</v>
      </c>
      <c r="WOF29" t="s">
        <v>836</v>
      </c>
      <c r="WOG29" t="s">
        <v>836</v>
      </c>
      <c r="WOH29" t="s">
        <v>836</v>
      </c>
      <c r="WOI29" t="s">
        <v>836</v>
      </c>
      <c r="WOJ29" t="s">
        <v>836</v>
      </c>
      <c r="WOK29" t="s">
        <v>836</v>
      </c>
      <c r="WOL29" t="s">
        <v>836</v>
      </c>
      <c r="WOM29" t="s">
        <v>836</v>
      </c>
      <c r="WON29" t="s">
        <v>836</v>
      </c>
      <c r="WOO29" t="s">
        <v>836</v>
      </c>
      <c r="WOP29" t="s">
        <v>836</v>
      </c>
      <c r="WOQ29" t="s">
        <v>836</v>
      </c>
      <c r="WOR29" t="s">
        <v>836</v>
      </c>
      <c r="WOS29" t="s">
        <v>836</v>
      </c>
      <c r="WOT29" t="s">
        <v>836</v>
      </c>
      <c r="WOU29" t="s">
        <v>836</v>
      </c>
      <c r="WOV29" t="s">
        <v>836</v>
      </c>
      <c r="WOW29" t="s">
        <v>836</v>
      </c>
      <c r="WOX29" t="s">
        <v>836</v>
      </c>
      <c r="WOY29" t="s">
        <v>836</v>
      </c>
      <c r="WOZ29" t="s">
        <v>836</v>
      </c>
      <c r="WPA29" t="s">
        <v>836</v>
      </c>
      <c r="WPB29" t="s">
        <v>836</v>
      </c>
      <c r="WPC29" t="s">
        <v>836</v>
      </c>
      <c r="WPD29" t="s">
        <v>836</v>
      </c>
      <c r="WPE29" t="s">
        <v>836</v>
      </c>
      <c r="WPF29" t="s">
        <v>836</v>
      </c>
      <c r="WPG29" t="s">
        <v>836</v>
      </c>
      <c r="WPH29" t="s">
        <v>836</v>
      </c>
      <c r="WPI29" t="s">
        <v>836</v>
      </c>
      <c r="WPJ29" t="s">
        <v>836</v>
      </c>
      <c r="WPK29" t="s">
        <v>836</v>
      </c>
      <c r="WPL29" t="s">
        <v>836</v>
      </c>
      <c r="WPM29" t="s">
        <v>836</v>
      </c>
      <c r="WPN29" t="s">
        <v>836</v>
      </c>
      <c r="WPO29" t="s">
        <v>836</v>
      </c>
      <c r="WPP29" t="s">
        <v>836</v>
      </c>
      <c r="WPQ29" t="s">
        <v>836</v>
      </c>
      <c r="WPR29" t="s">
        <v>836</v>
      </c>
      <c r="WPS29" t="s">
        <v>836</v>
      </c>
      <c r="WPT29" t="s">
        <v>836</v>
      </c>
      <c r="WPU29" t="s">
        <v>836</v>
      </c>
      <c r="WPV29" t="s">
        <v>836</v>
      </c>
      <c r="WPW29" t="s">
        <v>836</v>
      </c>
      <c r="WPX29" t="s">
        <v>836</v>
      </c>
      <c r="WPY29" t="s">
        <v>836</v>
      </c>
      <c r="WPZ29" t="s">
        <v>836</v>
      </c>
      <c r="WQA29" t="s">
        <v>836</v>
      </c>
      <c r="WQB29" t="s">
        <v>836</v>
      </c>
      <c r="WQC29" t="s">
        <v>836</v>
      </c>
      <c r="WQD29" t="s">
        <v>836</v>
      </c>
      <c r="WQE29" t="s">
        <v>836</v>
      </c>
      <c r="WQF29" t="s">
        <v>836</v>
      </c>
      <c r="WQG29" t="s">
        <v>836</v>
      </c>
      <c r="WQH29" t="s">
        <v>836</v>
      </c>
      <c r="WQI29" t="s">
        <v>836</v>
      </c>
      <c r="WQJ29" t="s">
        <v>836</v>
      </c>
      <c r="WQK29" t="s">
        <v>836</v>
      </c>
      <c r="WQL29" t="s">
        <v>836</v>
      </c>
      <c r="WQM29" t="s">
        <v>836</v>
      </c>
      <c r="WQN29" t="s">
        <v>836</v>
      </c>
      <c r="WQO29" t="s">
        <v>836</v>
      </c>
      <c r="WQP29" t="s">
        <v>836</v>
      </c>
      <c r="WQQ29" t="s">
        <v>836</v>
      </c>
      <c r="WQR29" t="s">
        <v>836</v>
      </c>
      <c r="WQS29" t="s">
        <v>836</v>
      </c>
      <c r="WQT29" t="s">
        <v>836</v>
      </c>
      <c r="WQU29" t="s">
        <v>836</v>
      </c>
      <c r="WQV29" t="s">
        <v>836</v>
      </c>
      <c r="WQW29" t="s">
        <v>836</v>
      </c>
      <c r="WQX29" t="s">
        <v>836</v>
      </c>
      <c r="WQY29" t="s">
        <v>836</v>
      </c>
      <c r="WQZ29" t="s">
        <v>836</v>
      </c>
      <c r="WRA29" t="s">
        <v>836</v>
      </c>
      <c r="WRB29" t="s">
        <v>836</v>
      </c>
      <c r="WRC29" t="s">
        <v>836</v>
      </c>
      <c r="WRD29" t="s">
        <v>836</v>
      </c>
      <c r="WRE29" t="s">
        <v>836</v>
      </c>
      <c r="WRF29" t="s">
        <v>836</v>
      </c>
      <c r="WRG29" t="s">
        <v>836</v>
      </c>
      <c r="WRH29" t="s">
        <v>836</v>
      </c>
      <c r="WRI29" t="s">
        <v>836</v>
      </c>
      <c r="WRJ29" t="s">
        <v>836</v>
      </c>
      <c r="WRK29" t="s">
        <v>836</v>
      </c>
      <c r="WRL29" t="s">
        <v>836</v>
      </c>
      <c r="WRM29" t="s">
        <v>836</v>
      </c>
      <c r="WRN29" t="s">
        <v>836</v>
      </c>
      <c r="WRO29" t="s">
        <v>836</v>
      </c>
      <c r="WRP29" t="s">
        <v>836</v>
      </c>
      <c r="WRQ29" t="s">
        <v>836</v>
      </c>
      <c r="WRR29" t="s">
        <v>836</v>
      </c>
      <c r="WRS29" t="s">
        <v>836</v>
      </c>
      <c r="WRT29" t="s">
        <v>836</v>
      </c>
      <c r="WRU29" t="s">
        <v>836</v>
      </c>
      <c r="WRV29" t="s">
        <v>836</v>
      </c>
      <c r="WRW29" t="s">
        <v>836</v>
      </c>
      <c r="WRX29" t="s">
        <v>836</v>
      </c>
      <c r="WRY29" t="s">
        <v>836</v>
      </c>
      <c r="WRZ29" t="s">
        <v>836</v>
      </c>
      <c r="WSA29" t="s">
        <v>836</v>
      </c>
      <c r="WSB29" t="s">
        <v>836</v>
      </c>
      <c r="WSC29" t="s">
        <v>836</v>
      </c>
      <c r="WSD29" t="s">
        <v>836</v>
      </c>
      <c r="WSE29" t="s">
        <v>836</v>
      </c>
      <c r="WSF29" t="s">
        <v>836</v>
      </c>
      <c r="WSG29" t="s">
        <v>836</v>
      </c>
      <c r="WSH29" t="s">
        <v>836</v>
      </c>
      <c r="WSI29" t="s">
        <v>836</v>
      </c>
      <c r="WSJ29" t="s">
        <v>836</v>
      </c>
      <c r="WSK29" t="s">
        <v>836</v>
      </c>
      <c r="WSL29" t="s">
        <v>836</v>
      </c>
      <c r="WSM29" t="s">
        <v>836</v>
      </c>
      <c r="WSN29" t="s">
        <v>836</v>
      </c>
      <c r="WSO29" t="s">
        <v>836</v>
      </c>
      <c r="WSP29" t="s">
        <v>836</v>
      </c>
      <c r="WSQ29" t="s">
        <v>836</v>
      </c>
      <c r="WSR29" t="s">
        <v>836</v>
      </c>
      <c r="WSS29" t="s">
        <v>836</v>
      </c>
      <c r="WST29" t="s">
        <v>836</v>
      </c>
      <c r="WSU29" t="s">
        <v>836</v>
      </c>
      <c r="WSV29" t="s">
        <v>836</v>
      </c>
      <c r="WSW29" t="s">
        <v>836</v>
      </c>
      <c r="WSX29" t="s">
        <v>836</v>
      </c>
      <c r="WSY29" t="s">
        <v>836</v>
      </c>
      <c r="WSZ29" t="s">
        <v>836</v>
      </c>
      <c r="WTA29" t="s">
        <v>836</v>
      </c>
      <c r="WTB29" t="s">
        <v>836</v>
      </c>
      <c r="WTC29" t="s">
        <v>836</v>
      </c>
      <c r="WTD29" t="s">
        <v>836</v>
      </c>
      <c r="WTE29" t="s">
        <v>836</v>
      </c>
      <c r="WTF29" t="s">
        <v>836</v>
      </c>
      <c r="WTG29" t="s">
        <v>836</v>
      </c>
      <c r="WTH29" t="s">
        <v>836</v>
      </c>
      <c r="WTI29" t="s">
        <v>836</v>
      </c>
      <c r="WTJ29" t="s">
        <v>836</v>
      </c>
      <c r="WTK29" t="s">
        <v>836</v>
      </c>
      <c r="WTL29" t="s">
        <v>836</v>
      </c>
      <c r="WTM29" t="s">
        <v>836</v>
      </c>
      <c r="WTN29" t="s">
        <v>836</v>
      </c>
      <c r="WTO29" t="s">
        <v>836</v>
      </c>
      <c r="WTP29" t="s">
        <v>836</v>
      </c>
      <c r="WTQ29" t="s">
        <v>836</v>
      </c>
      <c r="WTR29" t="s">
        <v>836</v>
      </c>
      <c r="WTS29" t="s">
        <v>836</v>
      </c>
      <c r="WTT29" t="s">
        <v>836</v>
      </c>
      <c r="WTU29" t="s">
        <v>836</v>
      </c>
      <c r="WTV29" t="s">
        <v>836</v>
      </c>
      <c r="WTW29" t="s">
        <v>836</v>
      </c>
      <c r="WTX29" t="s">
        <v>836</v>
      </c>
      <c r="WTY29" t="s">
        <v>836</v>
      </c>
      <c r="WTZ29" t="s">
        <v>836</v>
      </c>
      <c r="WUA29" t="s">
        <v>836</v>
      </c>
      <c r="WUB29" t="s">
        <v>836</v>
      </c>
      <c r="WUC29" t="s">
        <v>836</v>
      </c>
      <c r="WUD29" t="s">
        <v>836</v>
      </c>
      <c r="WUE29" t="s">
        <v>836</v>
      </c>
      <c r="WUF29" t="s">
        <v>836</v>
      </c>
      <c r="WUG29" t="s">
        <v>836</v>
      </c>
      <c r="WUH29" t="s">
        <v>836</v>
      </c>
      <c r="WUI29" t="s">
        <v>836</v>
      </c>
      <c r="WUJ29" t="s">
        <v>836</v>
      </c>
      <c r="WUK29" t="s">
        <v>836</v>
      </c>
      <c r="WUL29" t="s">
        <v>836</v>
      </c>
      <c r="WUM29" t="s">
        <v>836</v>
      </c>
      <c r="WUN29" t="s">
        <v>836</v>
      </c>
      <c r="WUO29" t="s">
        <v>836</v>
      </c>
      <c r="WUP29" t="s">
        <v>836</v>
      </c>
      <c r="WUQ29" t="s">
        <v>836</v>
      </c>
      <c r="WUR29" t="s">
        <v>836</v>
      </c>
      <c r="WUS29" t="s">
        <v>836</v>
      </c>
      <c r="WUT29" t="s">
        <v>836</v>
      </c>
      <c r="WUU29" t="s">
        <v>836</v>
      </c>
      <c r="WUV29" t="s">
        <v>836</v>
      </c>
      <c r="WUW29" t="s">
        <v>836</v>
      </c>
      <c r="WUX29" t="s">
        <v>836</v>
      </c>
      <c r="WUY29" t="s">
        <v>836</v>
      </c>
      <c r="WUZ29" t="s">
        <v>836</v>
      </c>
      <c r="WVA29" t="s">
        <v>836</v>
      </c>
      <c r="WVB29" t="s">
        <v>836</v>
      </c>
      <c r="WVC29" t="s">
        <v>836</v>
      </c>
      <c r="WVD29" t="s">
        <v>836</v>
      </c>
      <c r="WVE29" t="s">
        <v>836</v>
      </c>
      <c r="WVF29" t="s">
        <v>836</v>
      </c>
      <c r="WVG29" t="s">
        <v>836</v>
      </c>
      <c r="WVH29" t="s">
        <v>836</v>
      </c>
      <c r="WVI29" t="s">
        <v>836</v>
      </c>
      <c r="WVJ29" t="s">
        <v>836</v>
      </c>
      <c r="WVK29" t="s">
        <v>836</v>
      </c>
      <c r="WVL29" t="s">
        <v>836</v>
      </c>
      <c r="WVM29" t="s">
        <v>836</v>
      </c>
      <c r="WVN29" t="s">
        <v>836</v>
      </c>
      <c r="WVO29" t="s">
        <v>836</v>
      </c>
      <c r="WVP29" t="s">
        <v>836</v>
      </c>
      <c r="WVQ29" t="s">
        <v>836</v>
      </c>
      <c r="WVR29" t="s">
        <v>836</v>
      </c>
      <c r="WVS29" t="s">
        <v>836</v>
      </c>
      <c r="WVT29" t="s">
        <v>836</v>
      </c>
      <c r="WVU29" t="s">
        <v>836</v>
      </c>
      <c r="WVV29" t="s">
        <v>836</v>
      </c>
      <c r="WVW29" t="s">
        <v>836</v>
      </c>
      <c r="WVX29" t="s">
        <v>836</v>
      </c>
      <c r="WVY29" t="s">
        <v>836</v>
      </c>
      <c r="WVZ29" t="s">
        <v>836</v>
      </c>
      <c r="WWA29" t="s">
        <v>836</v>
      </c>
      <c r="WWB29" t="s">
        <v>836</v>
      </c>
      <c r="WWC29" t="s">
        <v>836</v>
      </c>
      <c r="WWD29" t="s">
        <v>836</v>
      </c>
      <c r="WWE29" t="s">
        <v>836</v>
      </c>
      <c r="WWF29" t="s">
        <v>836</v>
      </c>
      <c r="WWG29" t="s">
        <v>836</v>
      </c>
      <c r="WWH29" t="s">
        <v>836</v>
      </c>
      <c r="WWI29" t="s">
        <v>836</v>
      </c>
      <c r="WWJ29" t="s">
        <v>836</v>
      </c>
      <c r="WWK29" t="s">
        <v>836</v>
      </c>
      <c r="WWL29" t="s">
        <v>836</v>
      </c>
      <c r="WWM29" t="s">
        <v>836</v>
      </c>
      <c r="WWN29" t="s">
        <v>836</v>
      </c>
      <c r="WWO29" t="s">
        <v>836</v>
      </c>
      <c r="WWP29" t="s">
        <v>836</v>
      </c>
      <c r="WWQ29" t="s">
        <v>836</v>
      </c>
      <c r="WWR29" t="s">
        <v>836</v>
      </c>
      <c r="WWS29" t="s">
        <v>836</v>
      </c>
      <c r="WWT29" t="s">
        <v>836</v>
      </c>
      <c r="WWU29" t="s">
        <v>836</v>
      </c>
      <c r="WWV29" t="s">
        <v>836</v>
      </c>
      <c r="WWW29" t="s">
        <v>836</v>
      </c>
      <c r="WWX29" t="s">
        <v>836</v>
      </c>
      <c r="WWY29" t="s">
        <v>836</v>
      </c>
      <c r="WWZ29" t="s">
        <v>836</v>
      </c>
      <c r="WXA29" t="s">
        <v>836</v>
      </c>
      <c r="WXB29" t="s">
        <v>836</v>
      </c>
      <c r="WXC29" t="s">
        <v>836</v>
      </c>
      <c r="WXD29" t="s">
        <v>836</v>
      </c>
      <c r="WXE29" t="s">
        <v>836</v>
      </c>
      <c r="WXF29" t="s">
        <v>836</v>
      </c>
      <c r="WXG29" t="s">
        <v>836</v>
      </c>
      <c r="WXH29" t="s">
        <v>836</v>
      </c>
      <c r="WXI29" t="s">
        <v>836</v>
      </c>
      <c r="WXJ29" t="s">
        <v>836</v>
      </c>
      <c r="WXK29" t="s">
        <v>836</v>
      </c>
      <c r="WXL29" t="s">
        <v>836</v>
      </c>
      <c r="WXM29" t="s">
        <v>836</v>
      </c>
      <c r="WXN29" t="s">
        <v>836</v>
      </c>
      <c r="WXO29" t="s">
        <v>836</v>
      </c>
      <c r="WXP29" t="s">
        <v>836</v>
      </c>
      <c r="WXQ29" t="s">
        <v>836</v>
      </c>
      <c r="WXR29" t="s">
        <v>836</v>
      </c>
      <c r="WXS29" t="s">
        <v>836</v>
      </c>
      <c r="WXT29" t="s">
        <v>836</v>
      </c>
      <c r="WXU29" t="s">
        <v>836</v>
      </c>
      <c r="WXV29" t="s">
        <v>836</v>
      </c>
      <c r="WXW29" t="s">
        <v>836</v>
      </c>
      <c r="WXX29" t="s">
        <v>836</v>
      </c>
      <c r="WXY29" t="s">
        <v>836</v>
      </c>
      <c r="WXZ29" t="s">
        <v>836</v>
      </c>
      <c r="WYA29" t="s">
        <v>836</v>
      </c>
      <c r="WYB29" t="s">
        <v>836</v>
      </c>
      <c r="WYC29" t="s">
        <v>836</v>
      </c>
      <c r="WYD29" t="s">
        <v>836</v>
      </c>
      <c r="WYE29" t="s">
        <v>836</v>
      </c>
      <c r="WYF29" t="s">
        <v>836</v>
      </c>
      <c r="WYG29" t="s">
        <v>836</v>
      </c>
      <c r="WYH29" t="s">
        <v>836</v>
      </c>
      <c r="WYI29" t="s">
        <v>836</v>
      </c>
      <c r="WYJ29" t="s">
        <v>836</v>
      </c>
      <c r="WYK29" t="s">
        <v>836</v>
      </c>
      <c r="WYL29" t="s">
        <v>836</v>
      </c>
      <c r="WYM29" t="s">
        <v>836</v>
      </c>
      <c r="WYN29" t="s">
        <v>836</v>
      </c>
      <c r="WYO29" t="s">
        <v>836</v>
      </c>
      <c r="WYP29" t="s">
        <v>836</v>
      </c>
      <c r="WYQ29" t="s">
        <v>836</v>
      </c>
      <c r="WYR29" t="s">
        <v>836</v>
      </c>
      <c r="WYS29" t="s">
        <v>836</v>
      </c>
      <c r="WYT29" t="s">
        <v>836</v>
      </c>
      <c r="WYU29" t="s">
        <v>836</v>
      </c>
      <c r="WYV29" t="s">
        <v>836</v>
      </c>
      <c r="WYW29" t="s">
        <v>836</v>
      </c>
      <c r="WYX29" t="s">
        <v>836</v>
      </c>
      <c r="WYY29" t="s">
        <v>836</v>
      </c>
      <c r="WYZ29" t="s">
        <v>836</v>
      </c>
      <c r="WZA29" t="s">
        <v>836</v>
      </c>
      <c r="WZB29" t="s">
        <v>836</v>
      </c>
      <c r="WZC29" t="s">
        <v>836</v>
      </c>
      <c r="WZD29" t="s">
        <v>836</v>
      </c>
      <c r="WZE29" t="s">
        <v>836</v>
      </c>
      <c r="WZF29" t="s">
        <v>836</v>
      </c>
      <c r="WZG29" t="s">
        <v>836</v>
      </c>
      <c r="WZH29" t="s">
        <v>836</v>
      </c>
      <c r="WZI29" t="s">
        <v>836</v>
      </c>
      <c r="WZJ29" t="s">
        <v>836</v>
      </c>
      <c r="WZK29" t="s">
        <v>836</v>
      </c>
      <c r="WZL29" t="s">
        <v>836</v>
      </c>
      <c r="WZM29" t="s">
        <v>836</v>
      </c>
      <c r="WZN29" t="s">
        <v>836</v>
      </c>
      <c r="WZO29" t="s">
        <v>836</v>
      </c>
      <c r="WZP29" t="s">
        <v>836</v>
      </c>
      <c r="WZQ29" t="s">
        <v>836</v>
      </c>
      <c r="WZR29" t="s">
        <v>836</v>
      </c>
      <c r="WZS29" t="s">
        <v>836</v>
      </c>
      <c r="WZT29" t="s">
        <v>836</v>
      </c>
      <c r="WZU29" t="s">
        <v>836</v>
      </c>
      <c r="WZV29" t="s">
        <v>836</v>
      </c>
      <c r="WZW29" t="s">
        <v>836</v>
      </c>
      <c r="WZX29" t="s">
        <v>836</v>
      </c>
      <c r="WZY29" t="s">
        <v>836</v>
      </c>
      <c r="WZZ29" t="s">
        <v>836</v>
      </c>
      <c r="XAA29" t="s">
        <v>836</v>
      </c>
      <c r="XAB29" t="s">
        <v>836</v>
      </c>
      <c r="XAC29" t="s">
        <v>836</v>
      </c>
      <c r="XAD29" t="s">
        <v>836</v>
      </c>
      <c r="XAE29" t="s">
        <v>836</v>
      </c>
      <c r="XAF29" t="s">
        <v>836</v>
      </c>
      <c r="XAG29" t="s">
        <v>836</v>
      </c>
      <c r="XAH29" t="s">
        <v>836</v>
      </c>
      <c r="XAI29" t="s">
        <v>836</v>
      </c>
      <c r="XAJ29" t="s">
        <v>836</v>
      </c>
      <c r="XAK29" t="s">
        <v>836</v>
      </c>
      <c r="XAL29" t="s">
        <v>836</v>
      </c>
      <c r="XAM29" t="s">
        <v>836</v>
      </c>
      <c r="XAN29" t="s">
        <v>836</v>
      </c>
      <c r="XAO29" t="s">
        <v>836</v>
      </c>
      <c r="XAP29" t="s">
        <v>836</v>
      </c>
      <c r="XAQ29" t="s">
        <v>836</v>
      </c>
      <c r="XAR29" t="s">
        <v>836</v>
      </c>
      <c r="XAS29" t="s">
        <v>836</v>
      </c>
      <c r="XAT29" t="s">
        <v>836</v>
      </c>
      <c r="XAU29" t="s">
        <v>836</v>
      </c>
      <c r="XAV29" t="s">
        <v>836</v>
      </c>
      <c r="XAW29" t="s">
        <v>836</v>
      </c>
      <c r="XAX29" t="s">
        <v>836</v>
      </c>
      <c r="XAY29" t="s">
        <v>836</v>
      </c>
      <c r="XAZ29" t="s">
        <v>836</v>
      </c>
      <c r="XBA29" t="s">
        <v>836</v>
      </c>
      <c r="XBB29" t="s">
        <v>836</v>
      </c>
      <c r="XBC29" t="s">
        <v>836</v>
      </c>
      <c r="XBD29" t="s">
        <v>836</v>
      </c>
      <c r="XBE29" t="s">
        <v>836</v>
      </c>
      <c r="XBF29" t="s">
        <v>836</v>
      </c>
      <c r="XBG29" t="s">
        <v>836</v>
      </c>
      <c r="XBH29" t="s">
        <v>836</v>
      </c>
      <c r="XBI29" t="s">
        <v>836</v>
      </c>
      <c r="XBJ29" t="s">
        <v>836</v>
      </c>
      <c r="XBK29" t="s">
        <v>836</v>
      </c>
      <c r="XBL29" t="s">
        <v>836</v>
      </c>
      <c r="XBM29" t="s">
        <v>836</v>
      </c>
      <c r="XBN29" t="s">
        <v>836</v>
      </c>
      <c r="XBO29" t="s">
        <v>836</v>
      </c>
      <c r="XBP29" t="s">
        <v>836</v>
      </c>
      <c r="XBQ29" t="s">
        <v>836</v>
      </c>
      <c r="XBR29" t="s">
        <v>836</v>
      </c>
      <c r="XBS29" t="s">
        <v>836</v>
      </c>
      <c r="XBT29" t="s">
        <v>836</v>
      </c>
      <c r="XBU29" t="s">
        <v>836</v>
      </c>
      <c r="XBV29" t="s">
        <v>836</v>
      </c>
      <c r="XBW29" t="s">
        <v>836</v>
      </c>
      <c r="XBX29" t="s">
        <v>836</v>
      </c>
      <c r="XBY29" t="s">
        <v>836</v>
      </c>
      <c r="XBZ29" t="s">
        <v>836</v>
      </c>
      <c r="XCA29" t="s">
        <v>836</v>
      </c>
      <c r="XCB29" t="s">
        <v>836</v>
      </c>
      <c r="XCC29" t="s">
        <v>836</v>
      </c>
      <c r="XCD29" t="s">
        <v>836</v>
      </c>
      <c r="XCE29" t="s">
        <v>836</v>
      </c>
      <c r="XCF29" t="s">
        <v>836</v>
      </c>
      <c r="XCG29" t="s">
        <v>836</v>
      </c>
      <c r="XCH29" t="s">
        <v>836</v>
      </c>
      <c r="XCI29" t="s">
        <v>836</v>
      </c>
      <c r="XCJ29" t="s">
        <v>836</v>
      </c>
      <c r="XCK29" t="s">
        <v>836</v>
      </c>
      <c r="XCL29" t="s">
        <v>836</v>
      </c>
      <c r="XCM29" t="s">
        <v>836</v>
      </c>
      <c r="XCN29" t="s">
        <v>836</v>
      </c>
      <c r="XCO29" t="s">
        <v>836</v>
      </c>
      <c r="XCP29" t="s">
        <v>836</v>
      </c>
      <c r="XCQ29" t="s">
        <v>836</v>
      </c>
      <c r="XCR29" t="s">
        <v>836</v>
      </c>
      <c r="XCS29" t="s">
        <v>836</v>
      </c>
      <c r="XCT29" t="s">
        <v>836</v>
      </c>
      <c r="XCU29" t="s">
        <v>836</v>
      </c>
      <c r="XCV29" t="s">
        <v>836</v>
      </c>
      <c r="XCW29" t="s">
        <v>836</v>
      </c>
      <c r="XCX29" t="s">
        <v>836</v>
      </c>
      <c r="XCY29" t="s">
        <v>836</v>
      </c>
      <c r="XCZ29" t="s">
        <v>836</v>
      </c>
      <c r="XDA29" t="s">
        <v>836</v>
      </c>
      <c r="XDB29" t="s">
        <v>836</v>
      </c>
      <c r="XDC29" t="s">
        <v>836</v>
      </c>
      <c r="XDD29" t="s">
        <v>836</v>
      </c>
      <c r="XDE29" t="s">
        <v>836</v>
      </c>
      <c r="XDF29" t="s">
        <v>836</v>
      </c>
      <c r="XDG29" t="s">
        <v>836</v>
      </c>
      <c r="XDH29" t="s">
        <v>836</v>
      </c>
      <c r="XDI29" t="s">
        <v>836</v>
      </c>
      <c r="XDJ29" t="s">
        <v>836</v>
      </c>
      <c r="XDK29" t="s">
        <v>836</v>
      </c>
      <c r="XDL29" t="s">
        <v>836</v>
      </c>
      <c r="XDM29" t="s">
        <v>836</v>
      </c>
      <c r="XDN29" t="s">
        <v>836</v>
      </c>
      <c r="XDO29" t="s">
        <v>836</v>
      </c>
      <c r="XDP29" t="s">
        <v>836</v>
      </c>
      <c r="XDQ29" t="s">
        <v>836</v>
      </c>
      <c r="XDR29" t="s">
        <v>836</v>
      </c>
      <c r="XDS29" t="s">
        <v>836</v>
      </c>
      <c r="XDT29" t="s">
        <v>836</v>
      </c>
      <c r="XDU29" t="s">
        <v>836</v>
      </c>
      <c r="XDV29" t="s">
        <v>836</v>
      </c>
      <c r="XDW29" t="s">
        <v>836</v>
      </c>
      <c r="XDX29" t="s">
        <v>836</v>
      </c>
      <c r="XDY29" t="s">
        <v>836</v>
      </c>
      <c r="XDZ29" t="s">
        <v>836</v>
      </c>
      <c r="XEA29" t="s">
        <v>836</v>
      </c>
      <c r="XEB29" t="s">
        <v>836</v>
      </c>
      <c r="XEC29" t="s">
        <v>836</v>
      </c>
      <c r="XED29" t="s">
        <v>836</v>
      </c>
      <c r="XEE29" t="s">
        <v>836</v>
      </c>
      <c r="XEF29" t="s">
        <v>836</v>
      </c>
      <c r="XEG29" t="s">
        <v>836</v>
      </c>
      <c r="XEH29" t="s">
        <v>836</v>
      </c>
      <c r="XEI29" t="s">
        <v>836</v>
      </c>
      <c r="XEJ29" t="s">
        <v>836</v>
      </c>
      <c r="XEK29" t="s">
        <v>836</v>
      </c>
      <c r="XEL29" t="s">
        <v>836</v>
      </c>
      <c r="XEM29" t="s">
        <v>836</v>
      </c>
      <c r="XEN29" t="s">
        <v>836</v>
      </c>
      <c r="XEO29" t="s">
        <v>836</v>
      </c>
      <c r="XEP29" t="s">
        <v>836</v>
      </c>
      <c r="XEQ29" t="s">
        <v>836</v>
      </c>
      <c r="XER29" t="s">
        <v>836</v>
      </c>
      <c r="XES29" t="s">
        <v>836</v>
      </c>
      <c r="XET29" t="s">
        <v>836</v>
      </c>
      <c r="XEU29" t="s">
        <v>836</v>
      </c>
      <c r="XEV29" t="s">
        <v>836</v>
      </c>
      <c r="XEW29" t="s">
        <v>836</v>
      </c>
      <c r="XEX29" t="s">
        <v>836</v>
      </c>
      <c r="XEY29" t="s">
        <v>836</v>
      </c>
      <c r="XEZ29" t="s">
        <v>836</v>
      </c>
      <c r="XFA29" t="s">
        <v>836</v>
      </c>
      <c r="XFB29" t="s">
        <v>836</v>
      </c>
      <c r="XFC29" t="s">
        <v>836</v>
      </c>
      <c r="XFD29" t="s">
        <v>836</v>
      </c>
    </row>
    <row r="30" spans="2:16384" x14ac:dyDescent="0.3">
      <c r="B30" s="15" t="s">
        <v>796</v>
      </c>
      <c r="C30" s="130" t="s">
        <v>637</v>
      </c>
    </row>
    <row r="31" spans="2:16384" x14ac:dyDescent="0.3">
      <c r="B31" s="15" t="s">
        <v>796</v>
      </c>
      <c r="C31" s="130" t="s">
        <v>636</v>
      </c>
    </row>
    <row r="32" spans="2:16384" x14ac:dyDescent="0.3">
      <c r="B32" s="15" t="s">
        <v>824</v>
      </c>
      <c r="C32" s="130" t="s">
        <v>876</v>
      </c>
    </row>
    <row r="33" spans="2:3" x14ac:dyDescent="0.3">
      <c r="B33" s="15" t="s">
        <v>800</v>
      </c>
      <c r="C33" s="130" t="s">
        <v>425</v>
      </c>
    </row>
    <row r="34" spans="2:3" x14ac:dyDescent="0.3">
      <c r="B34" s="15" t="s">
        <v>825</v>
      </c>
      <c r="C34" s="130" t="s">
        <v>452</v>
      </c>
    </row>
    <row r="35" spans="2:3" x14ac:dyDescent="0.3">
      <c r="B35" s="15" t="s">
        <v>806</v>
      </c>
      <c r="C35" s="130" t="s">
        <v>574</v>
      </c>
    </row>
    <row r="36" spans="2:3" x14ac:dyDescent="0.3">
      <c r="B36" s="15" t="s">
        <v>840</v>
      </c>
      <c r="C36" s="130" t="s">
        <v>526</v>
      </c>
    </row>
    <row r="37" spans="2:3" x14ac:dyDescent="0.3">
      <c r="B37" s="15" t="s">
        <v>843</v>
      </c>
      <c r="C37" s="130" t="s">
        <v>527</v>
      </c>
    </row>
    <row r="38" spans="2:3" x14ac:dyDescent="0.3">
      <c r="B38" s="15" t="s">
        <v>842</v>
      </c>
      <c r="C38" t="s">
        <v>841</v>
      </c>
    </row>
    <row r="39" spans="2:3" x14ac:dyDescent="0.3">
      <c r="B39" s="15" t="s">
        <v>843</v>
      </c>
      <c r="C39" s="140" t="s">
        <v>851</v>
      </c>
    </row>
    <row r="40" spans="2:3" x14ac:dyDescent="0.3">
      <c r="B40" s="15" t="s">
        <v>852</v>
      </c>
      <c r="C40" t="s">
        <v>755</v>
      </c>
    </row>
    <row r="41" spans="2:3" x14ac:dyDescent="0.3">
      <c r="B41" s="15" t="s">
        <v>863</v>
      </c>
      <c r="C41" s="130" t="s">
        <v>846</v>
      </c>
    </row>
    <row r="42" spans="2:3" x14ac:dyDescent="0.3">
      <c r="B42" s="15" t="s">
        <v>853</v>
      </c>
      <c r="C42" t="s">
        <v>744</v>
      </c>
    </row>
    <row r="43" spans="2:3" x14ac:dyDescent="0.3">
      <c r="B43" s="15" t="s">
        <v>856</v>
      </c>
      <c r="C43" s="130" t="s">
        <v>590</v>
      </c>
    </row>
    <row r="44" spans="2:3" x14ac:dyDescent="0.3">
      <c r="B44" s="15" t="s">
        <v>858</v>
      </c>
      <c r="C44" s="130" t="s">
        <v>857</v>
      </c>
    </row>
    <row r="45" spans="2:3" x14ac:dyDescent="0.3">
      <c r="B45" s="15" t="s">
        <v>863</v>
      </c>
      <c r="C45" s="130" t="s">
        <v>865</v>
      </c>
    </row>
    <row r="46" spans="2:3" x14ac:dyDescent="0.3">
      <c r="B46" s="15" t="s">
        <v>866</v>
      </c>
      <c r="C46" s="130" t="s">
        <v>828</v>
      </c>
    </row>
    <row r="47" spans="2:3" x14ac:dyDescent="0.3">
      <c r="B47" s="15" t="s">
        <v>869</v>
      </c>
      <c r="C47" s="130" t="s">
        <v>868</v>
      </c>
    </row>
    <row r="48" spans="2:3" x14ac:dyDescent="0.3">
      <c r="B48" s="15" t="s">
        <v>870</v>
      </c>
      <c r="C48" s="130" t="s">
        <v>456</v>
      </c>
    </row>
    <row r="49" spans="2:3" x14ac:dyDescent="0.3">
      <c r="B49" s="15" t="s">
        <v>872</v>
      </c>
      <c r="C49" s="130" t="s">
        <v>871</v>
      </c>
    </row>
  </sheetData>
  <hyperlinks>
    <hyperlink ref="C39" r:id="rId1" xr:uid="{68F2048C-F648-4A0E-8DAF-9426C213A2AA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BCD0-5F52-46FE-B9F4-429121255A69}">
  <dimension ref="A1:AS61"/>
  <sheetViews>
    <sheetView topLeftCell="A21" workbookViewId="0">
      <selection activeCell="I52" sqref="I52"/>
    </sheetView>
  </sheetViews>
  <sheetFormatPr defaultColWidth="9.109375" defaultRowHeight="14.4" x14ac:dyDescent="0.3"/>
  <cols>
    <col min="1" max="2" width="9.109375" style="3"/>
    <col min="3" max="3" width="9.88671875" style="3" customWidth="1"/>
    <col min="4" max="16384" width="9.109375" style="3"/>
  </cols>
  <sheetData>
    <row r="1" spans="1:45" customFormat="1" ht="18" x14ac:dyDescent="0.35">
      <c r="A1" s="64" t="s">
        <v>503</v>
      </c>
    </row>
    <row r="2" spans="1:45" customFormat="1" x14ac:dyDescent="0.3">
      <c r="A2" s="55"/>
      <c r="B2" s="55"/>
      <c r="C2" s="56">
        <v>2020</v>
      </c>
      <c r="D2" s="56">
        <v>2021</v>
      </c>
      <c r="E2" s="56">
        <v>2022</v>
      </c>
      <c r="F2" s="56">
        <v>2023</v>
      </c>
      <c r="G2" s="56">
        <v>2024</v>
      </c>
      <c r="H2" s="56">
        <v>2025</v>
      </c>
      <c r="I2" s="56">
        <v>2026</v>
      </c>
      <c r="J2" s="56">
        <v>2027</v>
      </c>
      <c r="K2" s="56">
        <v>2028</v>
      </c>
      <c r="L2" s="56">
        <v>2029</v>
      </c>
      <c r="M2" s="56">
        <v>2030</v>
      </c>
      <c r="N2" s="56">
        <v>2031</v>
      </c>
      <c r="O2" s="56">
        <v>2032</v>
      </c>
      <c r="P2" s="56">
        <v>2033</v>
      </c>
      <c r="Q2" s="56">
        <v>2034</v>
      </c>
      <c r="R2" s="56">
        <v>2035</v>
      </c>
      <c r="S2" s="56">
        <v>2036</v>
      </c>
      <c r="T2" s="56">
        <v>2037</v>
      </c>
      <c r="U2" s="56">
        <v>2038</v>
      </c>
      <c r="V2" s="56">
        <v>2039</v>
      </c>
      <c r="W2" s="56">
        <v>2040</v>
      </c>
      <c r="X2" s="56">
        <v>2041</v>
      </c>
      <c r="Y2" s="56">
        <v>2042</v>
      </c>
      <c r="Z2" s="56">
        <v>2043</v>
      </c>
      <c r="AA2" s="56">
        <v>2044</v>
      </c>
      <c r="AB2" s="56">
        <v>2045</v>
      </c>
      <c r="AC2" s="56">
        <v>2046</v>
      </c>
      <c r="AD2" s="56">
        <v>2047</v>
      </c>
      <c r="AE2" s="56">
        <v>2048</v>
      </c>
      <c r="AF2" s="56">
        <v>2049</v>
      </c>
      <c r="AG2" s="56">
        <v>2050</v>
      </c>
    </row>
    <row r="3" spans="1:45" customFormat="1" x14ac:dyDescent="0.3">
      <c r="A3" s="54" t="s">
        <v>498</v>
      </c>
      <c r="B3" s="54"/>
      <c r="C3" s="54">
        <v>92.476805811156993</v>
      </c>
      <c r="D3" s="54">
        <v>91.343742760930752</v>
      </c>
      <c r="E3" s="54">
        <v>89.988817150479832</v>
      </c>
      <c r="F3" s="54">
        <v>88.318711287649649</v>
      </c>
      <c r="G3" s="54">
        <v>86.586151034716664</v>
      </c>
      <c r="H3" s="54">
        <v>84.420443375674637</v>
      </c>
      <c r="I3" s="54">
        <v>81.716360777718165</v>
      </c>
      <c r="J3" s="54">
        <v>78.443109937643456</v>
      </c>
      <c r="K3" s="54">
        <v>74.340025191940811</v>
      </c>
      <c r="L3" s="54">
        <v>70.432198157247527</v>
      </c>
      <c r="M3" s="54">
        <v>66.445015621343302</v>
      </c>
      <c r="N3" s="54">
        <v>63.220032459661617</v>
      </c>
      <c r="O3" s="54">
        <v>59.766920812833391</v>
      </c>
      <c r="P3" s="54">
        <v>55.874780594526506</v>
      </c>
      <c r="Q3" s="54">
        <v>51.535883623083016</v>
      </c>
      <c r="R3" s="54">
        <v>47.196244520171128</v>
      </c>
      <c r="S3" s="54">
        <v>43.058870179074894</v>
      </c>
      <c r="T3" s="54">
        <v>39.065887269112928</v>
      </c>
      <c r="U3" s="54">
        <v>35.044576231294265</v>
      </c>
      <c r="V3" s="54">
        <v>30.901904735340466</v>
      </c>
      <c r="W3" s="54">
        <v>26.630456294395138</v>
      </c>
      <c r="X3" s="54">
        <v>22.119680306740673</v>
      </c>
      <c r="Y3" s="54">
        <v>18.05378408110894</v>
      </c>
      <c r="Z3" s="54">
        <v>14.425170479315263</v>
      </c>
      <c r="AA3" s="54">
        <v>11.210173947830572</v>
      </c>
      <c r="AB3" s="54">
        <v>8.4719156838589047</v>
      </c>
      <c r="AC3" s="54">
        <v>6.0488995270128312</v>
      </c>
      <c r="AD3" s="54">
        <v>3.675503849361708</v>
      </c>
      <c r="AE3" s="54">
        <v>1.824580522757083</v>
      </c>
      <c r="AF3" s="54">
        <v>1.3557066207722706</v>
      </c>
      <c r="AG3" s="54">
        <v>1.1136548827048178</v>
      </c>
    </row>
    <row r="4" spans="1:45" customFormat="1" x14ac:dyDescent="0.3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</row>
    <row r="5" spans="1:45" customFormat="1" x14ac:dyDescent="0.3">
      <c r="A5" s="54" t="s">
        <v>499</v>
      </c>
      <c r="B5" s="54"/>
      <c r="C5" s="54">
        <v>51.263272514783218</v>
      </c>
      <c r="D5" s="54">
        <v>49.712941138375037</v>
      </c>
      <c r="E5" s="54">
        <v>48.479938885120937</v>
      </c>
      <c r="F5" s="54">
        <v>44.014273155995056</v>
      </c>
      <c r="G5" s="54">
        <v>44.436683718569597</v>
      </c>
      <c r="H5" s="54">
        <v>41.650080823645638</v>
      </c>
      <c r="I5" s="54">
        <v>32.364326552715603</v>
      </c>
      <c r="J5" s="54">
        <v>26.698395298828899</v>
      </c>
      <c r="K5" s="54">
        <v>23.753320044898835</v>
      </c>
      <c r="L5" s="54">
        <v>22.398434583544109</v>
      </c>
      <c r="M5" s="54">
        <v>18.553338879217417</v>
      </c>
      <c r="N5" s="54">
        <v>15.771201315518802</v>
      </c>
      <c r="O5" s="54">
        <v>12.090756801856742</v>
      </c>
      <c r="P5" s="54">
        <v>9.8571636825490643</v>
      </c>
      <c r="Q5" s="54">
        <v>8.004075039569738</v>
      </c>
      <c r="R5" s="54">
        <v>6.2011041979169237</v>
      </c>
      <c r="S5" s="54">
        <v>6.0132847826151306</v>
      </c>
      <c r="T5" s="54">
        <v>5.6654216901094134</v>
      </c>
      <c r="U5" s="54">
        <v>5.5231677189366923</v>
      </c>
      <c r="V5" s="54">
        <v>5.3894278129443851</v>
      </c>
      <c r="W5" s="54">
        <v>5.1051981267769087</v>
      </c>
      <c r="X5" s="54">
        <v>3.752184628141185</v>
      </c>
      <c r="Y5" s="54">
        <v>3.4523586987314405</v>
      </c>
      <c r="Z5" s="54">
        <v>3.3231410598262334</v>
      </c>
      <c r="AA5" s="54">
        <v>3.149805104228288</v>
      </c>
      <c r="AB5" s="54">
        <v>2.267351149440938</v>
      </c>
      <c r="AC5" s="54">
        <v>2.0162687158702113</v>
      </c>
      <c r="AD5" s="54">
        <v>1.605366273937157</v>
      </c>
      <c r="AE5" s="54">
        <v>1.489110131465341</v>
      </c>
      <c r="AF5" s="54">
        <v>1.3318718922897106</v>
      </c>
      <c r="AG5" s="54">
        <v>1.2054586224522785</v>
      </c>
    </row>
    <row r="6" spans="1:45" customFormat="1" x14ac:dyDescent="0.3">
      <c r="A6" s="57" t="s">
        <v>500</v>
      </c>
      <c r="B6" s="57"/>
      <c r="C6" s="57">
        <v>2020</v>
      </c>
      <c r="D6" s="57">
        <v>2021</v>
      </c>
      <c r="E6" s="57">
        <v>2022</v>
      </c>
      <c r="F6" s="57">
        <v>2023</v>
      </c>
      <c r="G6" s="57">
        <v>2024</v>
      </c>
      <c r="H6" s="57">
        <v>2025</v>
      </c>
      <c r="I6" s="57">
        <v>2026</v>
      </c>
      <c r="J6" s="57">
        <v>2027</v>
      </c>
      <c r="K6" s="57">
        <v>2028</v>
      </c>
      <c r="L6" s="57">
        <v>2029</v>
      </c>
      <c r="M6" s="57">
        <v>2030</v>
      </c>
      <c r="N6" s="57">
        <v>2031</v>
      </c>
      <c r="O6" s="57">
        <v>2032</v>
      </c>
      <c r="P6" s="57">
        <v>2033</v>
      </c>
      <c r="Q6" s="57">
        <v>2034</v>
      </c>
      <c r="R6" s="57">
        <v>2035</v>
      </c>
      <c r="S6" s="57">
        <v>2036</v>
      </c>
      <c r="T6" s="57">
        <v>2037</v>
      </c>
      <c r="U6" s="57">
        <v>2038</v>
      </c>
      <c r="V6" s="57">
        <v>2039</v>
      </c>
      <c r="W6" s="57">
        <v>2040</v>
      </c>
      <c r="X6" s="57">
        <v>2041</v>
      </c>
      <c r="Y6" s="57">
        <v>2042</v>
      </c>
      <c r="Z6" s="57">
        <v>2043</v>
      </c>
      <c r="AA6" s="57">
        <v>2044</v>
      </c>
      <c r="AB6" s="57">
        <v>2045</v>
      </c>
      <c r="AC6" s="57">
        <v>2046</v>
      </c>
      <c r="AD6" s="57">
        <v>2047</v>
      </c>
      <c r="AE6" s="57">
        <v>2048</v>
      </c>
      <c r="AF6" s="57">
        <v>2049</v>
      </c>
      <c r="AG6" s="57">
        <v>2050</v>
      </c>
    </row>
    <row r="7" spans="1:45" customFormat="1" x14ac:dyDescent="0.3">
      <c r="A7" s="59" t="s">
        <v>501</v>
      </c>
      <c r="B7" s="58"/>
      <c r="C7" s="60">
        <v>0</v>
      </c>
      <c r="D7" s="60">
        <v>0</v>
      </c>
      <c r="E7" s="60">
        <v>0</v>
      </c>
      <c r="F7" s="60">
        <v>0</v>
      </c>
      <c r="G7" s="60">
        <v>0</v>
      </c>
      <c r="H7" s="60">
        <v>0</v>
      </c>
      <c r="I7" s="60">
        <v>0</v>
      </c>
      <c r="J7" s="60">
        <v>1.0149903352990937</v>
      </c>
      <c r="K7" s="60">
        <v>0.97586238214637078</v>
      </c>
      <c r="L7" s="60">
        <v>3.5616338878128588</v>
      </c>
      <c r="M7" s="60">
        <v>3.4476626164383899</v>
      </c>
      <c r="N7" s="60">
        <v>4.203601516913924</v>
      </c>
      <c r="O7" s="60">
        <v>7.9297718487205771</v>
      </c>
      <c r="P7" s="60">
        <v>11.752028937111131</v>
      </c>
      <c r="Q7" s="60">
        <v>13.724774425996003</v>
      </c>
      <c r="R7" s="60">
        <v>14.374511173128713</v>
      </c>
      <c r="S7" s="60">
        <v>14.935872433454882</v>
      </c>
      <c r="T7" s="60">
        <v>15.72369622364114</v>
      </c>
      <c r="U7" s="60">
        <v>16.681362780654485</v>
      </c>
      <c r="V7" s="60">
        <v>17.728960023049606</v>
      </c>
      <c r="W7" s="60">
        <v>18.412247929155697</v>
      </c>
      <c r="X7" s="60">
        <v>18.537021036054455</v>
      </c>
      <c r="Y7" s="60">
        <v>18.378377144347823</v>
      </c>
      <c r="Z7" s="60">
        <v>18.38121796159303</v>
      </c>
      <c r="AA7" s="60">
        <v>18.684756175392454</v>
      </c>
      <c r="AB7" s="60">
        <v>18.698526972975269</v>
      </c>
      <c r="AC7" s="60">
        <v>18.779750258672038</v>
      </c>
      <c r="AD7" s="60">
        <v>18.852481290331934</v>
      </c>
      <c r="AE7" s="60">
        <v>19.023765758424005</v>
      </c>
      <c r="AF7" s="60">
        <v>19.288394888157448</v>
      </c>
      <c r="AG7" s="60">
        <v>19.106303690749428</v>
      </c>
    </row>
    <row r="8" spans="1:45" customFormat="1" x14ac:dyDescent="0.3">
      <c r="A8" s="59" t="s">
        <v>502</v>
      </c>
      <c r="B8" s="59"/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0.51607742787744482</v>
      </c>
      <c r="N8" s="60">
        <v>1.0097752956851331</v>
      </c>
      <c r="O8" s="60">
        <v>1.5353980685654283</v>
      </c>
      <c r="P8" s="60">
        <v>2.0978316798924457</v>
      </c>
      <c r="Q8" s="60">
        <v>2.6581634788961281</v>
      </c>
      <c r="R8" s="60">
        <v>3.2311660063177436</v>
      </c>
      <c r="S8" s="60">
        <v>3.7815896676011116</v>
      </c>
      <c r="T8" s="60">
        <v>4.3982414862462527</v>
      </c>
      <c r="U8" s="60">
        <v>5.0805625449369138</v>
      </c>
      <c r="V8" s="60">
        <v>5.8132968598635681</v>
      </c>
      <c r="W8" s="60">
        <v>6.4440476119217278</v>
      </c>
      <c r="X8" s="60">
        <v>7.1525816580267225</v>
      </c>
      <c r="Y8" s="60">
        <v>7.7669764915729793</v>
      </c>
      <c r="Z8" s="60">
        <v>8.458135882861697</v>
      </c>
      <c r="AA8" s="60">
        <v>9.3128377590246956</v>
      </c>
      <c r="AB8" s="60">
        <v>10.053729129977146</v>
      </c>
      <c r="AC8" s="60">
        <v>10.851093902965987</v>
      </c>
      <c r="AD8" s="60">
        <v>11.667408827433096</v>
      </c>
      <c r="AE8" s="60">
        <v>12.572172491172536</v>
      </c>
      <c r="AF8" s="60">
        <v>13.575171947663113</v>
      </c>
      <c r="AG8" s="60">
        <v>14.291390876685723</v>
      </c>
    </row>
    <row r="9" spans="1:45" customFormat="1" x14ac:dyDescent="0.3"/>
    <row r="10" spans="1:45" customFormat="1" x14ac:dyDescent="0.3">
      <c r="A10" t="s">
        <v>504</v>
      </c>
      <c r="C10" s="36">
        <f>C3-C8</f>
        <v>92.476805811156993</v>
      </c>
      <c r="D10" s="36">
        <f t="shared" ref="D10:AG10" si="0">D3-D8</f>
        <v>91.343742760930752</v>
      </c>
      <c r="E10" s="36">
        <f t="shared" si="0"/>
        <v>89.988817150479832</v>
      </c>
      <c r="F10" s="36">
        <f t="shared" si="0"/>
        <v>88.318711287649649</v>
      </c>
      <c r="G10" s="36">
        <f t="shared" si="0"/>
        <v>86.586151034716664</v>
      </c>
      <c r="H10" s="36">
        <f t="shared" si="0"/>
        <v>84.420443375674637</v>
      </c>
      <c r="I10" s="36">
        <f t="shared" si="0"/>
        <v>81.716360777718165</v>
      </c>
      <c r="J10" s="36">
        <f t="shared" si="0"/>
        <v>78.443109937643456</v>
      </c>
      <c r="K10" s="36">
        <f t="shared" si="0"/>
        <v>74.340025191940811</v>
      </c>
      <c r="L10" s="36">
        <f t="shared" si="0"/>
        <v>70.432198157247527</v>
      </c>
      <c r="M10" s="36">
        <f t="shared" si="0"/>
        <v>65.928938193465854</v>
      </c>
      <c r="N10" s="36">
        <f t="shared" si="0"/>
        <v>62.210257163976486</v>
      </c>
      <c r="O10" s="36">
        <f t="shared" si="0"/>
        <v>58.231522744267963</v>
      </c>
      <c r="P10" s="36">
        <f t="shared" si="0"/>
        <v>53.776948914634062</v>
      </c>
      <c r="Q10" s="36">
        <f t="shared" si="0"/>
        <v>48.877720144186888</v>
      </c>
      <c r="R10" s="36">
        <f t="shared" si="0"/>
        <v>43.965078513853385</v>
      </c>
      <c r="S10" s="36">
        <f t="shared" si="0"/>
        <v>39.277280511473784</v>
      </c>
      <c r="T10" s="36">
        <f t="shared" si="0"/>
        <v>34.667645782866671</v>
      </c>
      <c r="U10" s="36">
        <f t="shared" si="0"/>
        <v>29.964013686357351</v>
      </c>
      <c r="V10" s="36">
        <f t="shared" si="0"/>
        <v>25.088607875476896</v>
      </c>
      <c r="W10" s="36">
        <f t="shared" si="0"/>
        <v>20.186408682473409</v>
      </c>
      <c r="X10" s="36">
        <f>X3-X8</f>
        <v>14.96709864871395</v>
      </c>
      <c r="Y10" s="36">
        <f t="shared" si="0"/>
        <v>10.286807589535961</v>
      </c>
      <c r="Z10" s="36">
        <f t="shared" si="0"/>
        <v>5.9670345964535656</v>
      </c>
      <c r="AA10" s="36">
        <f t="shared" si="0"/>
        <v>1.8973361888058768</v>
      </c>
      <c r="AB10" s="36">
        <f t="shared" si="0"/>
        <v>-1.5818134461182414</v>
      </c>
      <c r="AC10" s="36">
        <f t="shared" si="0"/>
        <v>-4.8021943759531558</v>
      </c>
      <c r="AD10" s="36">
        <f t="shared" si="0"/>
        <v>-7.9919049780713882</v>
      </c>
      <c r="AE10" s="36">
        <f t="shared" si="0"/>
        <v>-10.747591968415453</v>
      </c>
      <c r="AF10" s="36">
        <f t="shared" si="0"/>
        <v>-12.219465326890843</v>
      </c>
      <c r="AG10" s="36">
        <f t="shared" si="0"/>
        <v>-13.177735993980905</v>
      </c>
    </row>
    <row r="11" spans="1:45" customFormat="1" x14ac:dyDescent="0.3">
      <c r="A11" t="s">
        <v>505</v>
      </c>
      <c r="C11" s="36">
        <f>C5-C8</f>
        <v>51.263272514783218</v>
      </c>
      <c r="D11" s="36">
        <f>D5-D8</f>
        <v>49.712941138375037</v>
      </c>
      <c r="E11" s="36">
        <f>E5-E8</f>
        <v>48.479938885120937</v>
      </c>
      <c r="F11" s="36">
        <f>F5-F8</f>
        <v>44.014273155995056</v>
      </c>
      <c r="G11" s="36">
        <f t="shared" ref="G11:AG11" si="1">G5-G8</f>
        <v>44.436683718569597</v>
      </c>
      <c r="H11" s="36">
        <f t="shared" si="1"/>
        <v>41.650080823645638</v>
      </c>
      <c r="I11" s="36">
        <f t="shared" si="1"/>
        <v>32.364326552715603</v>
      </c>
      <c r="J11" s="36">
        <f t="shared" si="1"/>
        <v>26.698395298828899</v>
      </c>
      <c r="K11" s="36">
        <f t="shared" si="1"/>
        <v>23.753320044898835</v>
      </c>
      <c r="L11" s="36">
        <f t="shared" si="1"/>
        <v>22.398434583544109</v>
      </c>
      <c r="M11" s="36">
        <f t="shared" si="1"/>
        <v>18.037261451339972</v>
      </c>
      <c r="N11" s="36">
        <f t="shared" si="1"/>
        <v>14.761426019833669</v>
      </c>
      <c r="O11" s="36">
        <f t="shared" si="1"/>
        <v>10.555358733291314</v>
      </c>
      <c r="P11" s="36">
        <f t="shared" si="1"/>
        <v>7.7593320026566186</v>
      </c>
      <c r="Q11" s="36">
        <f t="shared" si="1"/>
        <v>5.3459115606736098</v>
      </c>
      <c r="R11" s="36">
        <f t="shared" si="1"/>
        <v>2.96993819159918</v>
      </c>
      <c r="S11" s="36">
        <f t="shared" si="1"/>
        <v>2.231695115014019</v>
      </c>
      <c r="T11" s="36">
        <f t="shared" si="1"/>
        <v>1.2671802038631608</v>
      </c>
      <c r="U11" s="36">
        <f t="shared" si="1"/>
        <v>0.4426051739997785</v>
      </c>
      <c r="V11" s="36">
        <f>V5-V8</f>
        <v>-0.42386904691918303</v>
      </c>
      <c r="W11" s="36">
        <f t="shared" si="1"/>
        <v>-1.3388494851448192</v>
      </c>
      <c r="X11" s="36">
        <f t="shared" si="1"/>
        <v>-3.4003970298855375</v>
      </c>
      <c r="Y11" s="36">
        <f t="shared" si="1"/>
        <v>-4.3146177928415383</v>
      </c>
      <c r="Z11" s="36">
        <f t="shared" si="1"/>
        <v>-5.1349948230354636</v>
      </c>
      <c r="AA11" s="36">
        <f t="shared" si="1"/>
        <v>-6.1630326547964076</v>
      </c>
      <c r="AB11" s="36">
        <f t="shared" si="1"/>
        <v>-7.7863779805362086</v>
      </c>
      <c r="AC11" s="36">
        <f t="shared" si="1"/>
        <v>-8.8348251870957757</v>
      </c>
      <c r="AD11" s="36">
        <f t="shared" si="1"/>
        <v>-10.062042553495939</v>
      </c>
      <c r="AE11" s="36">
        <f t="shared" si="1"/>
        <v>-11.083062359707196</v>
      </c>
      <c r="AF11" s="36">
        <f t="shared" si="1"/>
        <v>-12.243300055373403</v>
      </c>
      <c r="AG11" s="36">
        <f t="shared" si="1"/>
        <v>-13.085932254233445</v>
      </c>
    </row>
    <row r="12" spans="1:45" customFormat="1" x14ac:dyDescent="0.3"/>
    <row r="13" spans="1:45" customFormat="1" x14ac:dyDescent="0.3"/>
    <row r="14" spans="1:45" customFormat="1" x14ac:dyDescent="0.3"/>
    <row r="15" spans="1:45" customFormat="1" x14ac:dyDescent="0.3"/>
    <row r="16" spans="1:45" customForma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customFormat="1" ht="18" x14ac:dyDescent="0.35">
      <c r="A17" s="66" t="s">
        <v>646</v>
      </c>
      <c r="B17" s="3"/>
      <c r="C17" s="3"/>
      <c r="D17" s="3" t="s">
        <v>533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customForma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customForma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customFormat="1" x14ac:dyDescent="0.3">
      <c r="A20" s="3"/>
      <c r="B20" s="3"/>
      <c r="C20" s="72" t="s">
        <v>505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customFormat="1" x14ac:dyDescent="0.3">
      <c r="A21" s="3"/>
      <c r="B21" s="3"/>
      <c r="C21" s="69" t="s">
        <v>534</v>
      </c>
      <c r="D21" s="69" t="s">
        <v>535</v>
      </c>
      <c r="E21" s="69" t="s">
        <v>536</v>
      </c>
      <c r="F21" s="69" t="s">
        <v>537</v>
      </c>
      <c r="G21" s="69" t="s">
        <v>538</v>
      </c>
      <c r="H21" s="69" t="s">
        <v>539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customFormat="1" x14ac:dyDescent="0.3">
      <c r="A22" s="3"/>
      <c r="B22" s="29" t="s">
        <v>540</v>
      </c>
      <c r="C22" s="67">
        <v>250.67599999999999</v>
      </c>
      <c r="D22" s="67">
        <v>269.75700000000001</v>
      </c>
      <c r="E22" s="67">
        <v>317.73</v>
      </c>
      <c r="F22" s="67">
        <v>366.41300000000001</v>
      </c>
      <c r="G22" s="67">
        <v>385.209</v>
      </c>
      <c r="H22" s="67">
        <v>386.447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customFormat="1" x14ac:dyDescent="0.3">
      <c r="A23" s="3"/>
      <c r="B23" s="29"/>
      <c r="C23" s="67"/>
      <c r="D23" s="67"/>
      <c r="E23" s="67"/>
      <c r="F23" s="67"/>
      <c r="G23" s="67"/>
      <c r="H23" s="6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customFormat="1" x14ac:dyDescent="0.3">
      <c r="A24" s="3"/>
      <c r="B24" s="29">
        <v>2015</v>
      </c>
      <c r="C24" s="28">
        <v>1</v>
      </c>
      <c r="D24" s="28">
        <v>2</v>
      </c>
      <c r="E24" s="28">
        <v>3</v>
      </c>
      <c r="F24" s="28">
        <v>4</v>
      </c>
      <c r="G24" s="28">
        <v>5</v>
      </c>
      <c r="H24" s="28">
        <v>6</v>
      </c>
      <c r="I24" s="3"/>
      <c r="J24" s="29">
        <v>2017</v>
      </c>
      <c r="K24" s="28">
        <v>1</v>
      </c>
      <c r="L24" s="28">
        <v>2</v>
      </c>
      <c r="M24" s="28">
        <v>3</v>
      </c>
      <c r="N24" s="28">
        <v>4</v>
      </c>
      <c r="O24" s="28">
        <v>5</v>
      </c>
      <c r="P24" s="28">
        <v>6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customFormat="1" x14ac:dyDescent="0.3">
      <c r="A25" s="3"/>
      <c r="B25" s="29"/>
      <c r="C25" s="70">
        <v>0.85728380097988099</v>
      </c>
      <c r="D25" s="70">
        <v>0.92253868061134603</v>
      </c>
      <c r="E25" s="70">
        <v>1.0866009593472754</v>
      </c>
      <c r="F25" s="70">
        <v>1.2530913584405414</v>
      </c>
      <c r="G25" s="70">
        <v>1.3173715700412445</v>
      </c>
      <c r="H25" s="70">
        <v>1.321605391171361</v>
      </c>
      <c r="I25" s="3"/>
      <c r="J25" s="70"/>
      <c r="K25" s="70">
        <v>0.90295502763389768</v>
      </c>
      <c r="L25" s="70">
        <v>0.97168631775454117</v>
      </c>
      <c r="M25" s="70">
        <v>1.1444889057194081</v>
      </c>
      <c r="N25" s="70">
        <v>1.3198489705453229</v>
      </c>
      <c r="O25" s="70">
        <v>1.3875536678414611</v>
      </c>
      <c r="P25" s="70">
        <v>1.3920130429879083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customFormat="1" x14ac:dyDescent="0.3">
      <c r="A26" s="3"/>
      <c r="B26" s="29"/>
      <c r="C26" s="70"/>
      <c r="D26" s="70"/>
      <c r="E26" s="70"/>
      <c r="F26" s="70"/>
      <c r="G26" s="70"/>
      <c r="H26" s="7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customFormat="1" x14ac:dyDescent="0.3">
      <c r="A27" s="3"/>
      <c r="B27" s="29"/>
      <c r="C27" s="67"/>
      <c r="D27" s="67"/>
      <c r="E27" s="67"/>
      <c r="F27" s="67"/>
      <c r="G27" s="67"/>
      <c r="H27" s="6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customForma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customFormat="1" x14ac:dyDescent="0.3">
      <c r="A29" s="3"/>
      <c r="B29" s="3"/>
      <c r="C29" s="71" t="s">
        <v>541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customFormat="1" x14ac:dyDescent="0.3">
      <c r="A30" s="3"/>
      <c r="B30" s="3"/>
      <c r="C30" s="65" t="s">
        <v>534</v>
      </c>
      <c r="D30" s="65" t="s">
        <v>535</v>
      </c>
      <c r="E30" s="65" t="s">
        <v>536</v>
      </c>
      <c r="F30" s="65" t="s">
        <v>537</v>
      </c>
      <c r="G30" s="65" t="s">
        <v>538</v>
      </c>
      <c r="H30" s="65" t="s">
        <v>539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customFormat="1" x14ac:dyDescent="0.3">
      <c r="A31" s="3"/>
      <c r="B31" s="29" t="s">
        <v>540</v>
      </c>
      <c r="C31" s="68">
        <v>340.47936612255131</v>
      </c>
      <c r="D31" s="68">
        <v>324.61869519372306</v>
      </c>
      <c r="E31" s="68">
        <v>315.8935801316461</v>
      </c>
      <c r="F31" s="68">
        <v>379.24354360528923</v>
      </c>
      <c r="G31" s="68">
        <v>440.47413115277635</v>
      </c>
      <c r="H31" s="68">
        <v>481.21310383602872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customForma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customFormat="1" x14ac:dyDescent="0.3">
      <c r="A33" s="3"/>
      <c r="B33" s="29">
        <v>2015</v>
      </c>
      <c r="C33" s="28">
        <v>1</v>
      </c>
      <c r="D33" s="28">
        <v>2</v>
      </c>
      <c r="E33" s="28">
        <v>3</v>
      </c>
      <c r="F33" s="28">
        <v>4</v>
      </c>
      <c r="G33" s="28">
        <v>5</v>
      </c>
      <c r="H33" s="28">
        <v>6</v>
      </c>
      <c r="I33" s="3"/>
      <c r="J33" s="29">
        <v>2017</v>
      </c>
      <c r="K33" s="28">
        <v>1</v>
      </c>
      <c r="L33" s="28">
        <v>2</v>
      </c>
      <c r="M33" s="28">
        <v>3</v>
      </c>
      <c r="N33" s="28">
        <v>4</v>
      </c>
      <c r="O33" s="28">
        <v>5</v>
      </c>
      <c r="P33" s="28">
        <v>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customFormat="1" x14ac:dyDescent="0.3">
      <c r="A34" s="3"/>
      <c r="B34" s="3"/>
      <c r="C34" s="70">
        <v>1.3237271259554788</v>
      </c>
      <c r="D34" s="70">
        <v>1.2620634763092724</v>
      </c>
      <c r="E34" s="70">
        <v>1.2281416806472212</v>
      </c>
      <c r="F34" s="70">
        <v>1.4744357983593837</v>
      </c>
      <c r="G34" s="70">
        <v>1.7124901350959794</v>
      </c>
      <c r="H34" s="70">
        <v>1.8708764826697408</v>
      </c>
      <c r="I34" s="3"/>
      <c r="J34" s="3"/>
      <c r="K34" s="70">
        <v>1.307810391691226</v>
      </c>
      <c r="L34" s="70">
        <v>1.2468881969158445</v>
      </c>
      <c r="M34" s="70">
        <v>1.2133742830571741</v>
      </c>
      <c r="N34" s="70">
        <v>1.4567069157732178</v>
      </c>
      <c r="O34" s="70">
        <v>1.6918988441297218</v>
      </c>
      <c r="P34" s="70">
        <v>1.8483807256273672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customFormat="1" x14ac:dyDescent="0.3">
      <c r="A35" s="3"/>
      <c r="B35" s="3"/>
      <c r="C35" s="70"/>
      <c r="D35" s="70"/>
      <c r="E35" s="70"/>
      <c r="F35" s="70"/>
      <c r="G35" s="70"/>
      <c r="H35" s="7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customForma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customFormat="1" ht="18" x14ac:dyDescent="0.35">
      <c r="A37" s="66" t="s">
        <v>647</v>
      </c>
      <c r="B37" s="3"/>
      <c r="C37" s="3"/>
      <c r="D37" s="3" t="s">
        <v>533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customForma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customForma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customFormat="1" x14ac:dyDescent="0.3">
      <c r="A40" s="3"/>
      <c r="B40" s="3"/>
      <c r="C40" s="28">
        <v>1</v>
      </c>
      <c r="D40" s="28">
        <v>2</v>
      </c>
      <c r="E40" s="28">
        <v>3</v>
      </c>
      <c r="F40" s="28">
        <v>4</v>
      </c>
      <c r="G40" s="28">
        <v>5</v>
      </c>
      <c r="H40" s="28">
        <v>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customFormat="1" x14ac:dyDescent="0.3">
      <c r="A41" s="3"/>
      <c r="B41" s="3"/>
      <c r="C41" s="97">
        <v>0.85731953461011434</v>
      </c>
      <c r="D41" s="97">
        <v>0.92854863310214109</v>
      </c>
      <c r="E41" s="97">
        <v>1.075729417276349</v>
      </c>
      <c r="F41" s="98">
        <v>1.2239362994952288</v>
      </c>
      <c r="G41" s="98">
        <v>1.271968819018567</v>
      </c>
      <c r="H41" s="98">
        <v>1.2647329432775254</v>
      </c>
      <c r="I41" s="3"/>
      <c r="J41" s="3"/>
      <c r="K41" s="3"/>
      <c r="L41" s="3"/>
      <c r="M41" s="3"/>
      <c r="N41" s="3"/>
      <c r="O41" s="3"/>
      <c r="P41" s="28">
        <v>1</v>
      </c>
      <c r="Q41" s="3">
        <v>0.86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customForma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28">
        <v>2</v>
      </c>
      <c r="Q42" s="3">
        <v>0.93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customFormat="1" x14ac:dyDescent="0.3">
      <c r="A43" s="3"/>
      <c r="B43" s="3"/>
      <c r="C43" s="3"/>
      <c r="D43" s="3"/>
      <c r="E43" s="3"/>
      <c r="F43" s="3"/>
      <c r="G43" s="3"/>
      <c r="H43" s="3"/>
      <c r="I43" s="3"/>
      <c r="J43" s="3" t="s">
        <v>754</v>
      </c>
      <c r="K43" s="3"/>
      <c r="L43" s="3"/>
      <c r="M43" s="3"/>
      <c r="N43" s="3"/>
      <c r="O43" s="3"/>
      <c r="P43" s="28">
        <v>3</v>
      </c>
      <c r="Q43" s="3">
        <v>1.08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customFormat="1" x14ac:dyDescent="0.3">
      <c r="A44" s="3"/>
      <c r="B44" s="3"/>
      <c r="C44" s="28">
        <v>1</v>
      </c>
      <c r="D44" s="28">
        <v>2</v>
      </c>
      <c r="E44" s="28">
        <v>3</v>
      </c>
      <c r="F44" s="28">
        <v>4</v>
      </c>
      <c r="G44" s="28">
        <v>5</v>
      </c>
      <c r="H44" s="28">
        <v>6</v>
      </c>
      <c r="I44" s="3"/>
      <c r="J44" s="28">
        <v>1</v>
      </c>
      <c r="K44" s="28">
        <v>2</v>
      </c>
      <c r="L44" s="28">
        <v>3</v>
      </c>
      <c r="M44" s="28">
        <v>4</v>
      </c>
      <c r="N44" s="28">
        <v>5</v>
      </c>
      <c r="O44" s="28">
        <v>6</v>
      </c>
      <c r="P44" s="28">
        <v>4</v>
      </c>
      <c r="Q44" s="3">
        <v>1.22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customFormat="1" x14ac:dyDescent="0.3">
      <c r="A45" s="3"/>
      <c r="B45" s="3"/>
      <c r="C45" s="97">
        <v>0.97963837336512916</v>
      </c>
      <c r="D45" s="97">
        <v>0.91154915444907547</v>
      </c>
      <c r="E45" s="97">
        <v>0.93476985986219718</v>
      </c>
      <c r="F45" s="97">
        <v>1.0978358648391009</v>
      </c>
      <c r="G45" s="97">
        <v>1.2776728388052929</v>
      </c>
      <c r="H45" s="98">
        <v>1.3971245113916475</v>
      </c>
      <c r="I45" s="3"/>
      <c r="J45" s="97">
        <v>0.97963837336512916</v>
      </c>
      <c r="K45" s="97">
        <v>0.93476985986219718</v>
      </c>
      <c r="L45" s="97">
        <v>0.91154915444907547</v>
      </c>
      <c r="M45" s="97">
        <v>1.0978358648391009</v>
      </c>
      <c r="N45" s="97">
        <v>1.2776728388052929</v>
      </c>
      <c r="O45" s="98">
        <v>1.3971245113916475</v>
      </c>
      <c r="P45" s="28">
        <v>5</v>
      </c>
      <c r="Q45" s="3">
        <v>1.27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customForma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28">
        <v>6</v>
      </c>
      <c r="Q46" s="3">
        <v>1.26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customForma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customFormat="1" ht="18" x14ac:dyDescent="0.35">
      <c r="A48" s="66" t="s">
        <v>647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customFormat="1" x14ac:dyDescent="0.3">
      <c r="A49" s="3"/>
      <c r="B49" s="3"/>
      <c r="C49" s="28">
        <v>1</v>
      </c>
      <c r="D49" s="28">
        <v>2</v>
      </c>
      <c r="E49" s="28">
        <v>3</v>
      </c>
      <c r="F49" s="28">
        <v>4</v>
      </c>
      <c r="G49" s="28">
        <v>5</v>
      </c>
      <c r="H49" s="28">
        <v>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customFormat="1" x14ac:dyDescent="0.3">
      <c r="A50" s="3"/>
      <c r="B50" s="3"/>
      <c r="C50" s="97">
        <v>0.86868678060932691</v>
      </c>
      <c r="D50" s="97">
        <v>0.97481061769241584</v>
      </c>
      <c r="E50" s="97">
        <v>1.1672544023094635</v>
      </c>
      <c r="F50" s="98">
        <v>1.3562088788604245</v>
      </c>
      <c r="G50" s="98">
        <v>1.4452599017087255</v>
      </c>
      <c r="H50" s="98">
        <v>1.464104321377685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customForma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customFormat="1" x14ac:dyDescent="0.3">
      <c r="A52" s="3"/>
      <c r="B52" s="3" t="s">
        <v>705</v>
      </c>
      <c r="C52" s="28">
        <v>1</v>
      </c>
      <c r="D52" s="28">
        <v>2</v>
      </c>
      <c r="E52" s="28">
        <v>3</v>
      </c>
      <c r="F52" s="28">
        <v>4</v>
      </c>
      <c r="G52" s="28">
        <v>5</v>
      </c>
      <c r="H52" s="28">
        <v>6</v>
      </c>
      <c r="I52" s="3" t="s">
        <v>706</v>
      </c>
      <c r="J52" s="28">
        <v>1</v>
      </c>
      <c r="K52" s="28">
        <v>2</v>
      </c>
      <c r="L52" s="28">
        <v>3</v>
      </c>
      <c r="M52" s="28">
        <v>4</v>
      </c>
      <c r="N52" s="28">
        <v>5</v>
      </c>
      <c r="O52" s="28">
        <v>6</v>
      </c>
      <c r="P52" s="3" t="s">
        <v>707</v>
      </c>
      <c r="Q52" s="28">
        <v>1</v>
      </c>
      <c r="R52" s="28">
        <v>2</v>
      </c>
      <c r="S52" s="28">
        <v>3</v>
      </c>
      <c r="T52" s="28">
        <v>4</v>
      </c>
      <c r="U52" s="28">
        <v>5</v>
      </c>
      <c r="V52" s="28">
        <v>6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customFormat="1" x14ac:dyDescent="0.3">
      <c r="A53" s="3"/>
      <c r="B53" s="3"/>
      <c r="C53" s="97">
        <v>1.209332634135049</v>
      </c>
      <c r="D53" s="97">
        <v>1.114340915855266</v>
      </c>
      <c r="E53" s="97">
        <v>1.1778926352688843</v>
      </c>
      <c r="F53" s="97">
        <v>1.319705051707603</v>
      </c>
      <c r="G53" s="97">
        <v>1.5107398179249871</v>
      </c>
      <c r="H53" s="98">
        <v>1.7274781335185261</v>
      </c>
      <c r="I53" s="3"/>
      <c r="J53" s="97">
        <v>1.2790719241670325</v>
      </c>
      <c r="K53" s="97">
        <v>1.3384163422756008</v>
      </c>
      <c r="L53" s="97">
        <v>1.3890768430557612</v>
      </c>
      <c r="M53" s="97">
        <v>1.5694729117559914</v>
      </c>
      <c r="N53" s="97">
        <v>1.8370417904738829</v>
      </c>
      <c r="O53" s="98">
        <v>2.1106399615915055</v>
      </c>
      <c r="P53" s="3"/>
      <c r="Q53" s="116">
        <v>1</v>
      </c>
      <c r="R53" s="116">
        <v>1.01</v>
      </c>
      <c r="S53" s="116">
        <v>1.05</v>
      </c>
      <c r="T53" s="116">
        <v>1.1599999999999999</v>
      </c>
      <c r="U53" s="116">
        <v>1.26</v>
      </c>
      <c r="V53" s="117">
        <v>1.39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customForma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customFormat="1" x14ac:dyDescent="0.3">
      <c r="A55" s="3"/>
      <c r="B55" s="3"/>
      <c r="C55" s="3" t="s">
        <v>754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customFormat="1" x14ac:dyDescent="0.3">
      <c r="A56" s="3"/>
      <c r="B56" s="3"/>
      <c r="C56" s="28">
        <v>1</v>
      </c>
      <c r="D56" s="28">
        <v>2</v>
      </c>
      <c r="E56" s="28">
        <v>3</v>
      </c>
      <c r="F56" s="28">
        <v>4</v>
      </c>
      <c r="G56" s="28">
        <v>5</v>
      </c>
      <c r="H56" s="28">
        <v>6</v>
      </c>
      <c r="I56" s="3"/>
      <c r="J56" s="28">
        <v>1</v>
      </c>
      <c r="K56" s="3">
        <v>1.21</v>
      </c>
      <c r="L56" s="3">
        <v>1.28</v>
      </c>
      <c r="M56" s="3">
        <v>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customFormat="1" x14ac:dyDescent="0.3">
      <c r="A57" s="3"/>
      <c r="B57" s="3"/>
      <c r="C57" s="97">
        <v>1.209332634135049</v>
      </c>
      <c r="D57" s="97">
        <v>1.1778926352688843</v>
      </c>
      <c r="E57" s="97">
        <v>1.114340915855266</v>
      </c>
      <c r="F57" s="97">
        <v>1.319705051707603</v>
      </c>
      <c r="G57" s="97">
        <v>1.5107398179249871</v>
      </c>
      <c r="H57" s="98">
        <v>1.7274781335185261</v>
      </c>
      <c r="I57" s="3"/>
      <c r="J57" s="28">
        <v>2</v>
      </c>
      <c r="K57" s="3">
        <v>1.1100000000000001</v>
      </c>
      <c r="L57" s="3">
        <v>1.34</v>
      </c>
      <c r="M57" s="3">
        <v>1.01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3">
      <c r="J58" s="28">
        <v>3</v>
      </c>
      <c r="K58" s="3">
        <v>1.18</v>
      </c>
      <c r="L58" s="3">
        <v>1.39</v>
      </c>
      <c r="M58" s="3">
        <v>1.05</v>
      </c>
    </row>
    <row r="59" spans="1:45" x14ac:dyDescent="0.3">
      <c r="J59" s="28">
        <v>4</v>
      </c>
      <c r="K59" s="3">
        <v>1.32</v>
      </c>
      <c r="L59" s="3">
        <v>1.57</v>
      </c>
      <c r="M59" s="3">
        <v>1.1599999999999999</v>
      </c>
    </row>
    <row r="60" spans="1:45" x14ac:dyDescent="0.3">
      <c r="J60" s="28">
        <v>5</v>
      </c>
      <c r="K60" s="3">
        <v>1.51</v>
      </c>
      <c r="L60" s="3">
        <v>1.84</v>
      </c>
      <c r="M60" s="3">
        <v>1.26</v>
      </c>
    </row>
    <row r="61" spans="1:45" x14ac:dyDescent="0.3">
      <c r="J61" s="28">
        <v>6</v>
      </c>
      <c r="K61" s="3">
        <v>1.73</v>
      </c>
      <c r="L61" s="3">
        <v>2.11</v>
      </c>
      <c r="M61" s="3">
        <v>1.39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Index</vt:lpstr>
      <vt:lpstr>Sets</vt:lpstr>
      <vt:lpstr>Distances</vt:lpstr>
      <vt:lpstr>TechData</vt:lpstr>
      <vt:lpstr>HeatTech</vt:lpstr>
      <vt:lpstr>CostTech</vt:lpstr>
      <vt:lpstr>Regions</vt:lpstr>
      <vt:lpstr>LandAvailability</vt:lpstr>
      <vt:lpstr>InitCap</vt:lpstr>
      <vt:lpstr>General</vt:lpstr>
      <vt:lpstr>Trans_Inter</vt:lpstr>
      <vt:lpstr>ClusteredDataSTOR</vt:lpstr>
      <vt:lpstr>DC</vt:lpstr>
      <vt:lpstr>ClusteredData</vt:lpstr>
      <vt:lpstr>Fuels</vt:lpstr>
      <vt:lpstr>Biomass</vt:lpstr>
      <vt:lpstr>Transportation</vt:lpstr>
      <vt:lpstr>CO2Reservoirs</vt:lpstr>
      <vt:lpstr>Emissions</vt:lpstr>
      <vt:lpstr>Pipelines</vt:lpstr>
      <vt:lpstr>AV</vt:lpstr>
      <vt:lpstr>References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Eftymiadou</dc:creator>
  <cp:lastModifiedBy>Mohammad Hemmati</cp:lastModifiedBy>
  <dcterms:created xsi:type="dcterms:W3CDTF">2022-06-21T19:19:59Z</dcterms:created>
  <dcterms:modified xsi:type="dcterms:W3CDTF">2026-05-21T20:06:31Z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d7b6b67940604f7da11de59138ea59f7</vt:lpwstr>
  </property>
</Properties>
</file>