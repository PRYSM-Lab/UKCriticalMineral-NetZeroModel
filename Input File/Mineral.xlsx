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ohammad\"/>
    </mc:Choice>
  </mc:AlternateContent>
  <xr:revisionPtr revIDLastSave="0" documentId="13_ncr:1_{F71B95CE-BCB1-44AA-A11A-75DE24D07429}" xr6:coauthVersionLast="47" xr6:coauthVersionMax="47" xr10:uidLastSave="{00000000-0000-0000-0000-000000000000}"/>
  <bookViews>
    <workbookView xWindow="-108" yWindow="-108" windowWidth="23256" windowHeight="14016" activeTab="4" xr2:uid="{2ABC63C7-FE29-4CEB-96E0-073812DA1436}"/>
  </bookViews>
  <sheets>
    <sheet name="Intensity" sheetId="1" r:id="rId1"/>
    <sheet name="Proportion" sheetId="2" r:id="rId2"/>
    <sheet name="Sets" sheetId="6" r:id="rId3"/>
    <sheet name="Recovery" sheetId="3" r:id="rId4"/>
    <sheet name="Availability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2" i="5"/>
  <c r="G15" i="5"/>
  <c r="E15" i="5"/>
  <c r="C15" i="5"/>
  <c r="G14" i="5"/>
  <c r="E14" i="5"/>
  <c r="C14" i="5"/>
  <c r="G12" i="5"/>
  <c r="E12" i="5"/>
  <c r="C12" i="5"/>
  <c r="G13" i="5"/>
  <c r="E13" i="5"/>
  <c r="C13" i="5"/>
  <c r="G11" i="5"/>
  <c r="E11" i="5"/>
  <c r="C11" i="5"/>
  <c r="G10" i="5"/>
  <c r="E10" i="5"/>
  <c r="C10" i="5"/>
  <c r="G9" i="5"/>
  <c r="E9" i="5"/>
  <c r="C9" i="5"/>
  <c r="G8" i="5"/>
  <c r="E8" i="5"/>
  <c r="C8" i="5"/>
  <c r="G7" i="5"/>
  <c r="E7" i="5"/>
  <c r="C7" i="5"/>
  <c r="C6" i="5"/>
  <c r="G5" i="5"/>
  <c r="E5" i="5"/>
  <c r="C5" i="5"/>
  <c r="G4" i="5"/>
  <c r="E4" i="5"/>
  <c r="C4" i="5"/>
  <c r="C2" i="5"/>
  <c r="E2" i="5"/>
  <c r="G2" i="5"/>
  <c r="G3" i="5"/>
  <c r="E3" i="5"/>
  <c r="C3" i="5"/>
</calcChain>
</file>

<file path=xl/sharedStrings.xml><?xml version="1.0" encoding="utf-8"?>
<sst xmlns="http://schemas.openxmlformats.org/spreadsheetml/2006/main" count="125" uniqueCount="68">
  <si>
    <t>Nuclear</t>
  </si>
  <si>
    <t>Biomass</t>
  </si>
  <si>
    <t>Hydro</t>
  </si>
  <si>
    <t>CCGT</t>
  </si>
  <si>
    <t>OCGT</t>
  </si>
  <si>
    <t>CCGTCCS</t>
  </si>
  <si>
    <t>H2CCGT</t>
  </si>
  <si>
    <t>BECCS</t>
  </si>
  <si>
    <t>FC</t>
  </si>
  <si>
    <t>LeadBat</t>
  </si>
  <si>
    <t>SMRCCS</t>
  </si>
  <si>
    <t>ATRCCS</t>
  </si>
  <si>
    <t>BGCCS</t>
  </si>
  <si>
    <t>WE</t>
  </si>
  <si>
    <t>PumpHy</t>
  </si>
  <si>
    <t>GasBoiler</t>
  </si>
  <si>
    <t>HyBoiler</t>
  </si>
  <si>
    <t>ASHP</t>
  </si>
  <si>
    <t>HyASHP</t>
  </si>
  <si>
    <t>HyGasBoiler</t>
  </si>
  <si>
    <t>MPSV</t>
  </si>
  <si>
    <t>HPSV</t>
  </si>
  <si>
    <t>OnTeeside</t>
  </si>
  <si>
    <t>OnChesire</t>
  </si>
  <si>
    <t>OnYorkshire</t>
  </si>
  <si>
    <t>OffIrishSea</t>
  </si>
  <si>
    <t>WindOn</t>
  </si>
  <si>
    <t>WindOff</t>
  </si>
  <si>
    <t>Solar</t>
  </si>
  <si>
    <t>Cr</t>
  </si>
  <si>
    <t>Pb</t>
  </si>
  <si>
    <t>Ni</t>
  </si>
  <si>
    <t>Mn</t>
  </si>
  <si>
    <t>Tin</t>
  </si>
  <si>
    <t>Sn</t>
  </si>
  <si>
    <t>Fe</t>
  </si>
  <si>
    <t>Co</t>
  </si>
  <si>
    <t>Ti</t>
  </si>
  <si>
    <t>Mg</t>
  </si>
  <si>
    <t>Cu</t>
  </si>
  <si>
    <t>Li</t>
  </si>
  <si>
    <t>Al</t>
  </si>
  <si>
    <t>Aluminum</t>
  </si>
  <si>
    <t>Chromium</t>
  </si>
  <si>
    <t>Copper</t>
  </si>
  <si>
    <t>Lead</t>
  </si>
  <si>
    <t>Nickel</t>
  </si>
  <si>
    <t>Zinc</t>
  </si>
  <si>
    <t>Manganese</t>
  </si>
  <si>
    <t>Cobalt</t>
  </si>
  <si>
    <t>Magnesium</t>
  </si>
  <si>
    <t>Titanium</t>
  </si>
  <si>
    <t>Lithium</t>
  </si>
  <si>
    <t>Iron</t>
  </si>
  <si>
    <t>Metal</t>
  </si>
  <si>
    <t>The proportion of minerals available in the energy system</t>
  </si>
  <si>
    <t>Si</t>
  </si>
  <si>
    <t>Zn</t>
  </si>
  <si>
    <t>Silicon</t>
  </si>
  <si>
    <t>Mineral</t>
  </si>
  <si>
    <t>Recycle_rate</t>
  </si>
  <si>
    <t>Reference:</t>
  </si>
  <si>
    <t>1. Graedel, T. E., Reck, B. K. &amp; Miatto, A. Alloy information helps prioritize material criticality lists. Nat. Commun. 13, 1–8 (2022).</t>
  </si>
  <si>
    <t>2. UNEP. Recycling rates of metals: A Status Report, A Report of the Working Group on the Global Metal Flows to the International Resource Panel (2011).</t>
  </si>
  <si>
    <t>Transmission</t>
  </si>
  <si>
    <t>ton/GW</t>
  </si>
  <si>
    <t>M</t>
  </si>
  <si>
    <t>Critical Mineral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</si>
</sst>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rial"/>
      <family val="2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b/>
      <sz val="12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5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/>
    </xf>
    <xf numFmtId="0" fontId="2" fillId="8" borderId="1" xfId="0" applyFont="1" applyFill="1" applyBorder="1" applyAlignment="1">
      <alignment horizontal="center" vertical="center"/>
    </xf>
    <xf numFmtId="0" fontId="0" fillId="9" borderId="0" xfId="0" applyFill="1" applyAlignment="1">
      <alignment horizontal="center"/>
    </xf>
    <xf numFmtId="0" fontId="4" fillId="10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1ED81-AF51-42D1-9F7B-3CC6664E0C94}">
  <dimension ref="A1:O32"/>
  <sheetViews>
    <sheetView workbookViewId="0">
      <pane ySplit="2" topLeftCell="A5" activePane="bottomLeft" state="frozen"/>
      <selection pane="bottomLeft" activeCell="B2" sqref="B2:O2"/>
    </sheetView>
  </sheetViews>
  <sheetFormatPr defaultRowHeight="15" x14ac:dyDescent="0.25"/>
  <cols>
    <col min="1" max="1" width="13.1796875" style="1" customWidth="1"/>
  </cols>
  <sheetData>
    <row r="1" spans="1:15" x14ac:dyDescent="0.25">
      <c r="B1" s="5" t="s">
        <v>42</v>
      </c>
      <c r="C1" s="5" t="s">
        <v>49</v>
      </c>
      <c r="D1" s="5" t="s">
        <v>43</v>
      </c>
      <c r="E1" s="5" t="s">
        <v>44</v>
      </c>
      <c r="F1" s="5" t="s">
        <v>53</v>
      </c>
      <c r="G1" s="5" t="s">
        <v>52</v>
      </c>
      <c r="H1" s="5" t="s">
        <v>50</v>
      </c>
      <c r="I1" s="5" t="s">
        <v>48</v>
      </c>
      <c r="J1" s="5" t="s">
        <v>46</v>
      </c>
      <c r="K1" s="5" t="s">
        <v>45</v>
      </c>
      <c r="L1" s="5" t="s">
        <v>58</v>
      </c>
      <c r="M1" s="5" t="s">
        <v>33</v>
      </c>
      <c r="N1" s="5" t="s">
        <v>51</v>
      </c>
      <c r="O1" s="5" t="s">
        <v>47</v>
      </c>
    </row>
    <row r="2" spans="1:15" x14ac:dyDescent="0.25">
      <c r="A2" s="3" t="s">
        <v>65</v>
      </c>
      <c r="B2" s="7" t="s">
        <v>41</v>
      </c>
      <c r="C2" s="7" t="s">
        <v>36</v>
      </c>
      <c r="D2" s="7" t="s">
        <v>29</v>
      </c>
      <c r="E2" s="7" t="s">
        <v>39</v>
      </c>
      <c r="F2" s="7" t="s">
        <v>35</v>
      </c>
      <c r="G2" s="7" t="s">
        <v>40</v>
      </c>
      <c r="H2" s="7" t="s">
        <v>38</v>
      </c>
      <c r="I2" s="7" t="s">
        <v>32</v>
      </c>
      <c r="J2" s="7" t="s">
        <v>31</v>
      </c>
      <c r="K2" s="7" t="s">
        <v>30</v>
      </c>
      <c r="L2" s="7" t="s">
        <v>56</v>
      </c>
      <c r="M2" s="7" t="s">
        <v>34</v>
      </c>
      <c r="N2" s="7" t="s">
        <v>37</v>
      </c>
      <c r="O2" s="7" t="s">
        <v>57</v>
      </c>
    </row>
    <row r="3" spans="1:15" x14ac:dyDescent="0.25">
      <c r="A3" s="6" t="s">
        <v>26</v>
      </c>
      <c r="B3" s="4">
        <v>1355</v>
      </c>
      <c r="C3" s="4">
        <v>0</v>
      </c>
      <c r="D3" s="4">
        <v>486</v>
      </c>
      <c r="E3" s="4">
        <v>3709</v>
      </c>
      <c r="F3" s="4">
        <v>0</v>
      </c>
      <c r="G3" s="4">
        <v>0</v>
      </c>
      <c r="H3" s="4">
        <v>0</v>
      </c>
      <c r="I3" s="4">
        <v>57</v>
      </c>
      <c r="J3" s="4">
        <v>310</v>
      </c>
      <c r="K3" s="4">
        <v>5987</v>
      </c>
      <c r="L3" s="4">
        <v>0</v>
      </c>
      <c r="M3" s="4">
        <v>90</v>
      </c>
      <c r="N3" s="4">
        <v>0</v>
      </c>
      <c r="O3" s="4">
        <v>5256</v>
      </c>
    </row>
    <row r="4" spans="1:15" x14ac:dyDescent="0.25">
      <c r="A4" s="6" t="s">
        <v>27</v>
      </c>
      <c r="B4" s="4">
        <v>1355</v>
      </c>
      <c r="C4" s="4">
        <v>0</v>
      </c>
      <c r="D4" s="4">
        <v>486</v>
      </c>
      <c r="E4" s="4">
        <v>3709</v>
      </c>
      <c r="F4" s="4">
        <v>0</v>
      </c>
      <c r="G4" s="4">
        <v>0</v>
      </c>
      <c r="H4" s="4">
        <v>0</v>
      </c>
      <c r="I4" s="4">
        <v>57</v>
      </c>
      <c r="J4" s="4">
        <v>310</v>
      </c>
      <c r="K4" s="4">
        <v>5987</v>
      </c>
      <c r="L4" s="4">
        <v>0</v>
      </c>
      <c r="M4" s="4">
        <v>90</v>
      </c>
      <c r="N4" s="4">
        <v>0</v>
      </c>
      <c r="O4" s="4">
        <v>5256</v>
      </c>
    </row>
    <row r="5" spans="1:15" x14ac:dyDescent="0.25">
      <c r="A5" s="6" t="s">
        <v>28</v>
      </c>
      <c r="B5" s="4">
        <v>16219</v>
      </c>
      <c r="C5" s="4">
        <v>0</v>
      </c>
      <c r="D5" s="4">
        <v>0</v>
      </c>
      <c r="E5" s="4">
        <v>4229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2800</v>
      </c>
      <c r="M5" s="4">
        <v>64</v>
      </c>
      <c r="N5" s="4">
        <v>0</v>
      </c>
      <c r="O5" s="4">
        <v>0</v>
      </c>
    </row>
    <row r="6" spans="1:15" x14ac:dyDescent="0.25">
      <c r="A6" s="6" t="s">
        <v>0</v>
      </c>
      <c r="B6" s="4">
        <v>120</v>
      </c>
      <c r="C6" s="4">
        <v>0</v>
      </c>
      <c r="D6" s="4">
        <v>281</v>
      </c>
      <c r="E6" s="4">
        <v>1305</v>
      </c>
      <c r="F6" s="4">
        <v>1530</v>
      </c>
      <c r="G6" s="4">
        <v>0</v>
      </c>
      <c r="H6" s="4">
        <v>0</v>
      </c>
      <c r="I6" s="4">
        <v>515</v>
      </c>
      <c r="J6" s="4">
        <v>285</v>
      </c>
      <c r="K6" s="4">
        <v>0</v>
      </c>
      <c r="L6" s="4">
        <v>0</v>
      </c>
      <c r="M6" s="4">
        <v>0</v>
      </c>
      <c r="N6" s="4">
        <v>0</v>
      </c>
      <c r="O6" s="4">
        <v>0</v>
      </c>
    </row>
    <row r="7" spans="1:15" x14ac:dyDescent="0.25">
      <c r="A7" s="6" t="s">
        <v>1</v>
      </c>
      <c r="B7" s="4">
        <v>1100</v>
      </c>
      <c r="C7" s="4">
        <v>1.8</v>
      </c>
      <c r="D7" s="4">
        <v>2.4</v>
      </c>
      <c r="E7" s="4">
        <v>1914</v>
      </c>
      <c r="F7" s="4">
        <v>900</v>
      </c>
      <c r="G7" s="4">
        <v>0</v>
      </c>
      <c r="H7" s="4">
        <v>0</v>
      </c>
      <c r="I7" s="4">
        <v>0</v>
      </c>
      <c r="J7" s="4">
        <v>20</v>
      </c>
      <c r="K7" s="4">
        <v>104</v>
      </c>
      <c r="L7" s="4">
        <v>0</v>
      </c>
      <c r="M7" s="4">
        <v>0</v>
      </c>
      <c r="N7" s="4">
        <v>400</v>
      </c>
      <c r="O7" s="4">
        <v>160</v>
      </c>
    </row>
    <row r="8" spans="1:15" x14ac:dyDescent="0.25">
      <c r="A8" s="6" t="s">
        <v>2</v>
      </c>
      <c r="B8" s="4">
        <v>2000</v>
      </c>
      <c r="C8" s="4">
        <v>0</v>
      </c>
      <c r="D8" s="4">
        <v>1500</v>
      </c>
      <c r="E8" s="4">
        <v>2224</v>
      </c>
      <c r="F8" s="4">
        <v>0</v>
      </c>
      <c r="G8" s="4">
        <v>0</v>
      </c>
      <c r="H8" s="4">
        <v>50</v>
      </c>
      <c r="I8" s="4">
        <v>0</v>
      </c>
      <c r="J8" s="4">
        <v>31</v>
      </c>
      <c r="K8" s="4">
        <v>152</v>
      </c>
      <c r="L8" s="4">
        <v>0</v>
      </c>
      <c r="M8" s="4">
        <v>0</v>
      </c>
      <c r="N8" s="4">
        <v>0</v>
      </c>
      <c r="O8" s="4">
        <v>202</v>
      </c>
    </row>
    <row r="9" spans="1:15" x14ac:dyDescent="0.25">
      <c r="A9" s="6" t="s">
        <v>14</v>
      </c>
      <c r="B9" s="4">
        <v>2000</v>
      </c>
      <c r="C9" s="4">
        <v>0</v>
      </c>
      <c r="D9" s="4">
        <v>1500</v>
      </c>
      <c r="E9" s="4">
        <v>2224</v>
      </c>
      <c r="F9" s="4">
        <v>0</v>
      </c>
      <c r="G9" s="4">
        <v>0</v>
      </c>
      <c r="H9" s="4">
        <v>50</v>
      </c>
      <c r="I9" s="4">
        <v>0</v>
      </c>
      <c r="J9" s="4">
        <v>31</v>
      </c>
      <c r="K9" s="4">
        <v>152</v>
      </c>
      <c r="L9" s="4">
        <v>0</v>
      </c>
      <c r="M9" s="4">
        <v>0</v>
      </c>
      <c r="N9" s="4">
        <v>0</v>
      </c>
      <c r="O9" s="4">
        <v>202</v>
      </c>
    </row>
    <row r="10" spans="1:15" x14ac:dyDescent="0.25">
      <c r="A10" s="6" t="s">
        <v>3</v>
      </c>
      <c r="B10" s="4">
        <v>446</v>
      </c>
      <c r="C10" s="4">
        <v>3.3</v>
      </c>
      <c r="D10" s="4">
        <v>0</v>
      </c>
      <c r="E10" s="4">
        <v>1053</v>
      </c>
      <c r="F10" s="4">
        <v>549</v>
      </c>
      <c r="G10" s="4">
        <v>0</v>
      </c>
      <c r="H10" s="4">
        <v>0</v>
      </c>
      <c r="I10" s="4">
        <v>0</v>
      </c>
      <c r="J10" s="4">
        <v>40.5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</row>
    <row r="11" spans="1:15" x14ac:dyDescent="0.25">
      <c r="A11" s="6" t="s">
        <v>4</v>
      </c>
      <c r="B11" s="4">
        <v>446</v>
      </c>
      <c r="C11" s="4">
        <v>3.3</v>
      </c>
      <c r="D11" s="4">
        <v>0</v>
      </c>
      <c r="E11" s="4">
        <v>1053</v>
      </c>
      <c r="F11" s="4">
        <v>549</v>
      </c>
      <c r="G11" s="4">
        <v>0</v>
      </c>
      <c r="H11" s="4">
        <v>0</v>
      </c>
      <c r="I11" s="4">
        <v>0</v>
      </c>
      <c r="J11" s="4">
        <v>40.5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</row>
    <row r="12" spans="1:15" x14ac:dyDescent="0.25">
      <c r="A12" s="6" t="s">
        <v>5</v>
      </c>
      <c r="B12" s="4">
        <v>446</v>
      </c>
      <c r="C12" s="4">
        <v>5.45</v>
      </c>
      <c r="D12" s="4">
        <v>98</v>
      </c>
      <c r="E12" s="4">
        <v>1168</v>
      </c>
      <c r="F12" s="4">
        <v>549</v>
      </c>
      <c r="G12" s="4">
        <v>0</v>
      </c>
      <c r="H12" s="4">
        <v>0</v>
      </c>
      <c r="I12" s="4">
        <v>1016</v>
      </c>
      <c r="J12" s="4">
        <v>341.5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</row>
    <row r="13" spans="1:15" x14ac:dyDescent="0.25">
      <c r="A13" s="6" t="s">
        <v>6</v>
      </c>
      <c r="B13" s="4">
        <v>446</v>
      </c>
      <c r="C13" s="4">
        <v>3.3</v>
      </c>
      <c r="D13" s="4">
        <v>0</v>
      </c>
      <c r="E13" s="4">
        <v>1053</v>
      </c>
      <c r="F13" s="4">
        <v>549</v>
      </c>
      <c r="G13" s="4">
        <v>0</v>
      </c>
      <c r="H13" s="4">
        <v>0</v>
      </c>
      <c r="I13" s="4">
        <v>0</v>
      </c>
      <c r="J13" s="4">
        <v>40.5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</row>
    <row r="14" spans="1:15" x14ac:dyDescent="0.25">
      <c r="A14" s="6" t="s">
        <v>7</v>
      </c>
      <c r="B14" s="4">
        <v>1100</v>
      </c>
      <c r="C14" s="4">
        <v>3.95</v>
      </c>
      <c r="D14" s="4">
        <v>100.4</v>
      </c>
      <c r="E14" s="4">
        <v>2029</v>
      </c>
      <c r="F14" s="4">
        <v>900</v>
      </c>
      <c r="G14" s="4">
        <v>0</v>
      </c>
      <c r="H14" s="4">
        <v>0</v>
      </c>
      <c r="I14" s="4">
        <v>1016</v>
      </c>
      <c r="J14" s="4">
        <v>321</v>
      </c>
      <c r="K14" s="4">
        <v>104</v>
      </c>
      <c r="L14" s="4">
        <v>0</v>
      </c>
      <c r="M14" s="4">
        <v>0</v>
      </c>
      <c r="N14" s="4">
        <v>400</v>
      </c>
      <c r="O14" s="4">
        <v>160</v>
      </c>
    </row>
    <row r="15" spans="1:15" x14ac:dyDescent="0.25">
      <c r="A15" s="6" t="s">
        <v>8</v>
      </c>
      <c r="B15" s="4">
        <v>287.5</v>
      </c>
      <c r="C15" s="4">
        <v>0</v>
      </c>
      <c r="D15" s="4">
        <v>0</v>
      </c>
      <c r="E15" s="4">
        <v>333</v>
      </c>
      <c r="F15" s="4">
        <v>0</v>
      </c>
      <c r="G15" s="4">
        <v>0</v>
      </c>
      <c r="H15" s="4">
        <v>0</v>
      </c>
      <c r="I15" s="4">
        <v>0</v>
      </c>
      <c r="J15" s="4">
        <v>1655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</row>
    <row r="16" spans="1:15" x14ac:dyDescent="0.25">
      <c r="A16" s="6" t="s">
        <v>9</v>
      </c>
      <c r="B16" s="4">
        <v>9243</v>
      </c>
      <c r="C16" s="4">
        <v>0</v>
      </c>
      <c r="D16" s="4">
        <v>0</v>
      </c>
      <c r="E16" s="4">
        <v>5541</v>
      </c>
      <c r="F16" s="4">
        <v>0</v>
      </c>
      <c r="G16" s="4">
        <v>696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</row>
    <row r="17" spans="1:15" x14ac:dyDescent="0.25">
      <c r="A17" s="6" t="s">
        <v>10</v>
      </c>
      <c r="B17" s="4">
        <v>500</v>
      </c>
      <c r="C17" s="4">
        <v>2.15</v>
      </c>
      <c r="D17" s="4">
        <v>98</v>
      </c>
      <c r="E17" s="4">
        <v>1115</v>
      </c>
      <c r="F17" s="4">
        <v>0</v>
      </c>
      <c r="G17" s="4">
        <v>0</v>
      </c>
      <c r="H17" s="4">
        <v>0</v>
      </c>
      <c r="I17" s="4">
        <v>1016</v>
      </c>
      <c r="J17" s="4">
        <v>2301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</row>
    <row r="18" spans="1:15" x14ac:dyDescent="0.25">
      <c r="A18" s="6" t="s">
        <v>11</v>
      </c>
      <c r="B18" s="4">
        <v>500</v>
      </c>
      <c r="C18" s="4">
        <v>2.15</v>
      </c>
      <c r="D18" s="4">
        <v>98</v>
      </c>
      <c r="E18" s="4">
        <v>1115</v>
      </c>
      <c r="F18" s="4">
        <v>0</v>
      </c>
      <c r="G18" s="4">
        <v>0</v>
      </c>
      <c r="H18" s="4">
        <v>0</v>
      </c>
      <c r="I18" s="4">
        <v>1016</v>
      </c>
      <c r="J18" s="4">
        <v>2301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</row>
    <row r="19" spans="1:15" x14ac:dyDescent="0.25">
      <c r="A19" s="6" t="s">
        <v>12</v>
      </c>
      <c r="B19" s="4">
        <v>1100</v>
      </c>
      <c r="C19" s="4">
        <v>3.95</v>
      </c>
      <c r="D19" s="4">
        <v>100.4</v>
      </c>
      <c r="E19" s="4">
        <v>2029</v>
      </c>
      <c r="F19" s="4">
        <v>900</v>
      </c>
      <c r="G19" s="4">
        <v>0</v>
      </c>
      <c r="H19" s="4">
        <v>0</v>
      </c>
      <c r="I19" s="4">
        <v>1016</v>
      </c>
      <c r="J19" s="4">
        <v>321</v>
      </c>
      <c r="K19" s="4">
        <v>104</v>
      </c>
      <c r="L19" s="4">
        <v>0</v>
      </c>
      <c r="M19" s="4">
        <v>0</v>
      </c>
      <c r="N19" s="4">
        <v>400</v>
      </c>
      <c r="O19" s="4">
        <v>160</v>
      </c>
    </row>
    <row r="20" spans="1:15" x14ac:dyDescent="0.25">
      <c r="A20" s="6" t="s">
        <v>13</v>
      </c>
      <c r="B20" s="4">
        <v>287.5</v>
      </c>
      <c r="C20" s="4">
        <v>0</v>
      </c>
      <c r="D20" s="4">
        <v>0</v>
      </c>
      <c r="E20" s="4">
        <v>333</v>
      </c>
      <c r="F20" s="4">
        <v>0</v>
      </c>
      <c r="G20" s="4">
        <v>0</v>
      </c>
      <c r="H20" s="4">
        <v>0</v>
      </c>
      <c r="I20" s="4">
        <v>0</v>
      </c>
      <c r="J20" s="4">
        <v>1655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</row>
    <row r="21" spans="1:15" x14ac:dyDescent="0.25">
      <c r="A21" s="6" t="s">
        <v>15</v>
      </c>
      <c r="B21" s="4">
        <v>500</v>
      </c>
      <c r="C21" s="4">
        <v>0</v>
      </c>
      <c r="D21" s="4">
        <v>0</v>
      </c>
      <c r="E21" s="4">
        <v>1000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</row>
    <row r="22" spans="1:15" x14ac:dyDescent="0.25">
      <c r="A22" s="6" t="s">
        <v>16</v>
      </c>
      <c r="B22" s="4">
        <v>500</v>
      </c>
      <c r="C22" s="4">
        <v>0</v>
      </c>
      <c r="D22" s="4">
        <v>0</v>
      </c>
      <c r="E22" s="4">
        <v>1000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</row>
    <row r="23" spans="1:15" x14ac:dyDescent="0.25">
      <c r="A23" s="6" t="s">
        <v>17</v>
      </c>
      <c r="B23" s="4">
        <v>4000</v>
      </c>
      <c r="C23" s="4">
        <v>0</v>
      </c>
      <c r="D23" s="4">
        <v>0</v>
      </c>
      <c r="E23" s="4">
        <v>3500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</row>
    <row r="24" spans="1:15" x14ac:dyDescent="0.25">
      <c r="A24" s="6" t="s">
        <v>18</v>
      </c>
      <c r="B24" s="4">
        <v>4000</v>
      </c>
      <c r="C24" s="4">
        <v>0</v>
      </c>
      <c r="D24" s="4">
        <v>0</v>
      </c>
      <c r="E24" s="4">
        <v>3500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</row>
    <row r="25" spans="1:15" x14ac:dyDescent="0.25">
      <c r="A25" s="6" t="s">
        <v>19</v>
      </c>
      <c r="B25" s="4">
        <v>500</v>
      </c>
      <c r="C25" s="4">
        <v>0</v>
      </c>
      <c r="D25" s="4">
        <v>0</v>
      </c>
      <c r="E25" s="4">
        <v>1000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</row>
    <row r="26" spans="1:15" x14ac:dyDescent="0.25">
      <c r="A26" s="6" t="s">
        <v>20</v>
      </c>
      <c r="B26" s="4">
        <v>5000</v>
      </c>
      <c r="C26" s="4">
        <v>0</v>
      </c>
      <c r="D26" s="4">
        <v>0</v>
      </c>
      <c r="E26" s="4">
        <v>1000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</row>
    <row r="27" spans="1:15" x14ac:dyDescent="0.25">
      <c r="A27" s="6" t="s">
        <v>21</v>
      </c>
      <c r="B27" s="4">
        <v>5000</v>
      </c>
      <c r="C27" s="4">
        <v>0</v>
      </c>
      <c r="D27" s="4">
        <v>0</v>
      </c>
      <c r="E27" s="4">
        <v>1000</v>
      </c>
      <c r="F27" s="4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</row>
    <row r="28" spans="1:15" x14ac:dyDescent="0.25">
      <c r="A28" s="6" t="s">
        <v>22</v>
      </c>
      <c r="B28" s="4">
        <v>5000</v>
      </c>
      <c r="C28" s="4">
        <v>0</v>
      </c>
      <c r="D28" s="4">
        <v>0</v>
      </c>
      <c r="E28" s="4">
        <v>1000</v>
      </c>
      <c r="F28" s="4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</row>
    <row r="29" spans="1:15" x14ac:dyDescent="0.25">
      <c r="A29" s="6" t="s">
        <v>23</v>
      </c>
      <c r="B29" s="4">
        <v>5000</v>
      </c>
      <c r="C29" s="4">
        <v>0</v>
      </c>
      <c r="D29" s="4">
        <v>0</v>
      </c>
      <c r="E29" s="4">
        <v>1000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</row>
    <row r="30" spans="1:15" x14ac:dyDescent="0.25">
      <c r="A30" s="6" t="s">
        <v>24</v>
      </c>
      <c r="B30" s="4">
        <v>5000</v>
      </c>
      <c r="C30" s="4">
        <v>0</v>
      </c>
      <c r="D30" s="4">
        <v>0</v>
      </c>
      <c r="E30" s="4">
        <v>1000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</row>
    <row r="31" spans="1:15" x14ac:dyDescent="0.25">
      <c r="A31" s="6" t="s">
        <v>25</v>
      </c>
      <c r="B31" s="4">
        <v>5000</v>
      </c>
      <c r="C31" s="4">
        <v>0</v>
      </c>
      <c r="D31" s="4">
        <v>0</v>
      </c>
      <c r="E31" s="4">
        <v>1000</v>
      </c>
      <c r="F31" s="4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</row>
    <row r="32" spans="1:15" x14ac:dyDescent="0.25">
      <c r="A32" s="11" t="s">
        <v>64</v>
      </c>
      <c r="B32" s="4">
        <v>0</v>
      </c>
      <c r="C32" s="4">
        <v>0</v>
      </c>
      <c r="D32" s="4">
        <v>0</v>
      </c>
      <c r="E32" s="4">
        <v>10000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1434D-4CC7-4B86-A890-2960245BDA67}">
  <dimension ref="A1:B15"/>
  <sheetViews>
    <sheetView workbookViewId="0">
      <selection activeCell="B19" sqref="B19"/>
    </sheetView>
  </sheetViews>
  <sheetFormatPr defaultRowHeight="15" x14ac:dyDescent="0.25"/>
  <cols>
    <col min="2" max="2" width="39.08984375" bestFit="1" customWidth="1"/>
  </cols>
  <sheetData>
    <row r="1" spans="1:2" ht="28.8" customHeight="1" x14ac:dyDescent="0.25">
      <c r="A1" s="8" t="s">
        <v>54</v>
      </c>
      <c r="B1" s="4" t="s">
        <v>55</v>
      </c>
    </row>
    <row r="2" spans="1:2" x14ac:dyDescent="0.25">
      <c r="A2" s="4" t="s">
        <v>41</v>
      </c>
      <c r="B2" s="4">
        <v>0.64</v>
      </c>
    </row>
    <row r="3" spans="1:2" x14ac:dyDescent="0.25">
      <c r="A3" s="4" t="s">
        <v>36</v>
      </c>
      <c r="B3" s="4">
        <v>0.88</v>
      </c>
    </row>
    <row r="4" spans="1:2" x14ac:dyDescent="0.25">
      <c r="A4" s="4" t="s">
        <v>29</v>
      </c>
      <c r="B4" s="4">
        <v>0.76900000000000002</v>
      </c>
    </row>
    <row r="5" spans="1:2" x14ac:dyDescent="0.25">
      <c r="A5" s="4" t="s">
        <v>39</v>
      </c>
      <c r="B5" s="4">
        <v>0.70730000000000004</v>
      </c>
    </row>
    <row r="6" spans="1:2" x14ac:dyDescent="0.25">
      <c r="A6" s="4" t="s">
        <v>35</v>
      </c>
      <c r="B6" s="4">
        <v>0.76</v>
      </c>
    </row>
    <row r="7" spans="1:2" x14ac:dyDescent="0.25">
      <c r="A7" s="4" t="s">
        <v>40</v>
      </c>
      <c r="B7" s="4">
        <v>0.75</v>
      </c>
    </row>
    <row r="8" spans="1:2" x14ac:dyDescent="0.25">
      <c r="A8" s="4" t="s">
        <v>38</v>
      </c>
      <c r="B8" s="4">
        <v>0.37130000000000002</v>
      </c>
    </row>
    <row r="9" spans="1:2" x14ac:dyDescent="0.25">
      <c r="A9" s="4" t="s">
        <v>32</v>
      </c>
      <c r="B9" s="4">
        <v>0.84</v>
      </c>
    </row>
    <row r="10" spans="1:2" x14ac:dyDescent="0.25">
      <c r="A10" s="4" t="s">
        <v>31</v>
      </c>
      <c r="B10" s="4">
        <v>0.57489999999999997</v>
      </c>
    </row>
    <row r="11" spans="1:2" x14ac:dyDescent="0.25">
      <c r="A11" s="4" t="s">
        <v>30</v>
      </c>
      <c r="B11" s="4">
        <v>0.107</v>
      </c>
    </row>
    <row r="12" spans="1:2" x14ac:dyDescent="0.25">
      <c r="A12" s="4" t="s">
        <v>56</v>
      </c>
      <c r="B12" s="4">
        <v>0.44159999999999999</v>
      </c>
    </row>
    <row r="13" spans="1:2" x14ac:dyDescent="0.25">
      <c r="A13" s="4" t="s">
        <v>34</v>
      </c>
      <c r="B13" s="4">
        <v>0.64</v>
      </c>
    </row>
    <row r="14" spans="1:2" x14ac:dyDescent="0.25">
      <c r="A14" s="4" t="s">
        <v>37</v>
      </c>
      <c r="B14" s="4">
        <v>0.1</v>
      </c>
    </row>
    <row r="15" spans="1:2" x14ac:dyDescent="0.25">
      <c r="A15" s="4" t="s">
        <v>57</v>
      </c>
      <c r="B15" s="4">
        <v>0.65390000000000004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174AB-A1A6-445C-B58C-A195CBEC24B0}">
  <dimension ref="A2:P2"/>
  <sheetViews>
    <sheetView workbookViewId="0">
      <selection activeCell="C6" sqref="C6"/>
    </sheetView>
  </sheetViews>
  <sheetFormatPr defaultRowHeight="15" x14ac:dyDescent="0.25"/>
  <cols>
    <col min="1" max="1" width="22.6328125" customWidth="1"/>
  </cols>
  <sheetData>
    <row r="2" spans="1:16" ht="15.6" x14ac:dyDescent="0.3">
      <c r="A2" s="14" t="s">
        <v>67</v>
      </c>
      <c r="B2" s="15" t="s">
        <v>66</v>
      </c>
      <c r="C2" s="13" t="s">
        <v>41</v>
      </c>
      <c r="D2" s="13" t="s">
        <v>36</v>
      </c>
      <c r="E2" s="13" t="s">
        <v>29</v>
      </c>
      <c r="F2" s="13" t="s">
        <v>39</v>
      </c>
      <c r="G2" s="13" t="s">
        <v>35</v>
      </c>
      <c r="H2" s="13" t="s">
        <v>40</v>
      </c>
      <c r="I2" s="13" t="s">
        <v>38</v>
      </c>
      <c r="J2" s="13" t="s">
        <v>32</v>
      </c>
      <c r="K2" s="13" t="s">
        <v>31</v>
      </c>
      <c r="L2" s="13" t="s">
        <v>30</v>
      </c>
      <c r="M2" s="13" t="s">
        <v>56</v>
      </c>
      <c r="N2" s="13" t="s">
        <v>34</v>
      </c>
      <c r="O2" s="13" t="s">
        <v>37</v>
      </c>
      <c r="P2" s="13" t="s">
        <v>57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13660-4722-49C0-88EA-81B9921091CD}">
  <dimension ref="A1:R40"/>
  <sheetViews>
    <sheetView workbookViewId="0">
      <selection activeCell="A2" sqref="A2:A15"/>
    </sheetView>
  </sheetViews>
  <sheetFormatPr defaultRowHeight="15" x14ac:dyDescent="0.25"/>
  <sheetData>
    <row r="1" spans="1:18" x14ac:dyDescent="0.25">
      <c r="A1" s="4" t="s">
        <v>59</v>
      </c>
      <c r="B1" s="4" t="s">
        <v>60</v>
      </c>
    </row>
    <row r="2" spans="1:18" x14ac:dyDescent="0.25">
      <c r="A2" s="4" t="s">
        <v>41</v>
      </c>
      <c r="B2" s="4">
        <v>0.6</v>
      </c>
      <c r="E2" s="9" t="s">
        <v>61</v>
      </c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</row>
    <row r="3" spans="1:18" x14ac:dyDescent="0.25">
      <c r="A3" s="4" t="s">
        <v>36</v>
      </c>
      <c r="B3" s="4">
        <v>0.68</v>
      </c>
      <c r="E3" s="10" t="s">
        <v>62</v>
      </c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</row>
    <row r="4" spans="1:18" x14ac:dyDescent="0.25">
      <c r="A4" s="4" t="s">
        <v>29</v>
      </c>
      <c r="B4" s="4">
        <v>0.42</v>
      </c>
      <c r="E4" s="10" t="s">
        <v>63</v>
      </c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</row>
    <row r="5" spans="1:18" x14ac:dyDescent="0.25">
      <c r="A5" s="4" t="s">
        <v>39</v>
      </c>
      <c r="B5" s="4">
        <v>0.48</v>
      </c>
    </row>
    <row r="6" spans="1:18" x14ac:dyDescent="0.25">
      <c r="A6" s="4" t="s">
        <v>35</v>
      </c>
      <c r="B6" s="4">
        <v>0.78</v>
      </c>
    </row>
    <row r="7" spans="1:18" x14ac:dyDescent="0.25">
      <c r="A7" s="4" t="s">
        <v>40</v>
      </c>
      <c r="B7" s="4">
        <v>0.03</v>
      </c>
    </row>
    <row r="8" spans="1:18" x14ac:dyDescent="0.25">
      <c r="A8" s="4" t="s">
        <v>38</v>
      </c>
      <c r="B8" s="4">
        <v>0.39</v>
      </c>
    </row>
    <row r="9" spans="1:18" x14ac:dyDescent="0.25">
      <c r="A9" s="4" t="s">
        <v>32</v>
      </c>
      <c r="B9" s="4">
        <v>0.53</v>
      </c>
    </row>
    <row r="10" spans="1:18" x14ac:dyDescent="0.25">
      <c r="A10" s="4" t="s">
        <v>31</v>
      </c>
      <c r="B10" s="4">
        <v>0.6</v>
      </c>
    </row>
    <row r="11" spans="1:18" x14ac:dyDescent="0.25">
      <c r="A11" s="4" t="s">
        <v>30</v>
      </c>
      <c r="B11" s="4">
        <v>0.92</v>
      </c>
    </row>
    <row r="12" spans="1:18" x14ac:dyDescent="0.25">
      <c r="A12" s="4" t="s">
        <v>56</v>
      </c>
      <c r="B12" s="4">
        <v>0.63</v>
      </c>
    </row>
    <row r="13" spans="1:18" x14ac:dyDescent="0.25">
      <c r="A13" s="4" t="s">
        <v>34</v>
      </c>
      <c r="B13" s="4">
        <v>0.3</v>
      </c>
    </row>
    <row r="14" spans="1:18" x14ac:dyDescent="0.25">
      <c r="A14" s="4" t="s">
        <v>37</v>
      </c>
      <c r="B14" s="4">
        <v>0.7</v>
      </c>
    </row>
    <row r="15" spans="1:18" x14ac:dyDescent="0.25">
      <c r="A15" s="4" t="s">
        <v>57</v>
      </c>
      <c r="B15" s="4">
        <v>0.52</v>
      </c>
    </row>
    <row r="17" spans="1:2" x14ac:dyDescent="0.25">
      <c r="A17" s="2"/>
      <c r="B17" s="2"/>
    </row>
    <row r="18" spans="1:2" x14ac:dyDescent="0.25">
      <c r="A18" s="2"/>
      <c r="B18" s="2"/>
    </row>
    <row r="19" spans="1:2" x14ac:dyDescent="0.25">
      <c r="A19" s="2"/>
      <c r="B19" s="2"/>
    </row>
    <row r="20" spans="1:2" x14ac:dyDescent="0.25">
      <c r="A20" s="2"/>
      <c r="B20" s="2"/>
    </row>
    <row r="21" spans="1:2" x14ac:dyDescent="0.25">
      <c r="A21" s="2"/>
      <c r="B21" s="2"/>
    </row>
    <row r="22" spans="1:2" x14ac:dyDescent="0.25">
      <c r="A22" s="2"/>
      <c r="B22" s="2"/>
    </row>
    <row r="23" spans="1:2" x14ac:dyDescent="0.25">
      <c r="A23" s="2"/>
      <c r="B23" s="2"/>
    </row>
    <row r="24" spans="1:2" x14ac:dyDescent="0.25">
      <c r="A24" s="2"/>
      <c r="B24" s="2"/>
    </row>
    <row r="30" spans="1:2" x14ac:dyDescent="0.25">
      <c r="A30" s="2"/>
      <c r="B30" s="2"/>
    </row>
    <row r="31" spans="1:2" x14ac:dyDescent="0.25">
      <c r="A31" s="2"/>
      <c r="B31" s="2"/>
    </row>
    <row r="33" spans="1:2" x14ac:dyDescent="0.25">
      <c r="A33" s="2"/>
      <c r="B33" s="2"/>
    </row>
    <row r="34" spans="1:2" x14ac:dyDescent="0.25">
      <c r="A34" s="2"/>
      <c r="B34" s="2"/>
    </row>
    <row r="35" spans="1:2" x14ac:dyDescent="0.25">
      <c r="A35" s="2"/>
      <c r="B35" s="2"/>
    </row>
    <row r="36" spans="1:2" x14ac:dyDescent="0.25">
      <c r="A36" s="2"/>
      <c r="B36" s="2"/>
    </row>
    <row r="37" spans="1:2" x14ac:dyDescent="0.25">
      <c r="A37" s="2"/>
      <c r="B37" s="2"/>
    </row>
    <row r="38" spans="1:2" x14ac:dyDescent="0.25">
      <c r="A38" s="2"/>
      <c r="B38" s="2"/>
    </row>
    <row r="39" spans="1:2" x14ac:dyDescent="0.25">
      <c r="A39" s="2"/>
      <c r="B39" s="2"/>
    </row>
    <row r="40" spans="1:2" x14ac:dyDescent="0.25">
      <c r="A40" s="2"/>
      <c r="B40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FFB8-8843-4936-80CD-8A264289B607}">
  <dimension ref="A1:G15"/>
  <sheetViews>
    <sheetView tabSelected="1" workbookViewId="0">
      <selection activeCell="G1" sqref="G1"/>
    </sheetView>
  </sheetViews>
  <sheetFormatPr defaultRowHeight="15" x14ac:dyDescent="0.25"/>
  <sheetData>
    <row r="1" spans="1:7" ht="15.6" x14ac:dyDescent="0.3">
      <c r="A1" s="4" t="s">
        <v>59</v>
      </c>
      <c r="B1" s="12">
        <v>1</v>
      </c>
      <c r="C1" s="12">
        <v>2</v>
      </c>
      <c r="D1" s="12">
        <v>3</v>
      </c>
      <c r="E1" s="12">
        <v>4</v>
      </c>
      <c r="F1" s="12">
        <v>5</v>
      </c>
      <c r="G1" s="12">
        <v>6</v>
      </c>
    </row>
    <row r="2" spans="1:7" x14ac:dyDescent="0.25">
      <c r="A2" s="4" t="s">
        <v>41</v>
      </c>
      <c r="B2" s="4">
        <v>18000</v>
      </c>
      <c r="C2" s="4">
        <f>B2*2.96</f>
        <v>53280</v>
      </c>
      <c r="D2" s="4">
        <f>(C2+E2)/2</f>
        <v>67140</v>
      </c>
      <c r="E2" s="4">
        <f>B2*4.5</f>
        <v>81000</v>
      </c>
      <c r="F2" s="4">
        <f>(E2+G2)/2</f>
        <v>94500</v>
      </c>
      <c r="G2" s="4">
        <f>B2*6</f>
        <v>108000</v>
      </c>
    </row>
    <row r="3" spans="1:7" x14ac:dyDescent="0.25">
      <c r="A3" s="4" t="s">
        <v>36</v>
      </c>
      <c r="B3" s="4">
        <v>1600</v>
      </c>
      <c r="C3" s="4">
        <f>B3*2.44</f>
        <v>3904</v>
      </c>
      <c r="D3" s="4">
        <f t="shared" ref="D3:D15" si="0">(C3+E3)/2</f>
        <v>3952</v>
      </c>
      <c r="E3" s="4">
        <f>B3*2.5</f>
        <v>4000</v>
      </c>
      <c r="F3" s="4">
        <f t="shared" ref="F3:F15" si="1">(E3+G3)/2</f>
        <v>4504</v>
      </c>
      <c r="G3" s="4">
        <f>B3*3.13</f>
        <v>5008</v>
      </c>
    </row>
    <row r="4" spans="1:7" x14ac:dyDescent="0.25">
      <c r="A4" s="4" t="s">
        <v>29</v>
      </c>
      <c r="B4" s="4">
        <v>24500</v>
      </c>
      <c r="C4" s="4">
        <f>B4*1.96</f>
        <v>48020</v>
      </c>
      <c r="D4" s="4">
        <f t="shared" si="0"/>
        <v>43120</v>
      </c>
      <c r="E4" s="4">
        <f>B4*1.56</f>
        <v>38220</v>
      </c>
      <c r="F4" s="4">
        <f t="shared" si="1"/>
        <v>32340</v>
      </c>
      <c r="G4" s="4">
        <f>B4*1.08</f>
        <v>26460</v>
      </c>
    </row>
    <row r="5" spans="1:7" x14ac:dyDescent="0.25">
      <c r="A5" s="4" t="s">
        <v>39</v>
      </c>
      <c r="B5" s="4">
        <v>12300</v>
      </c>
      <c r="C5" s="4">
        <f>B5*2</f>
        <v>24600</v>
      </c>
      <c r="D5" s="4">
        <f t="shared" si="0"/>
        <v>27675</v>
      </c>
      <c r="E5" s="4">
        <f>B5*2.5</f>
        <v>30750</v>
      </c>
      <c r="F5" s="4">
        <f t="shared" si="1"/>
        <v>27675</v>
      </c>
      <c r="G5" s="4">
        <f>B5*2</f>
        <v>24600</v>
      </c>
    </row>
    <row r="6" spans="1:7" x14ac:dyDescent="0.25">
      <c r="A6" s="4" t="s">
        <v>35</v>
      </c>
      <c r="B6" s="4">
        <v>7272000</v>
      </c>
      <c r="C6" s="4">
        <f>B6*2</f>
        <v>14544000</v>
      </c>
      <c r="D6" s="4">
        <f t="shared" si="0"/>
        <v>14544000</v>
      </c>
      <c r="E6" s="4">
        <v>14544000</v>
      </c>
      <c r="F6" s="4">
        <f t="shared" si="1"/>
        <v>14544000</v>
      </c>
      <c r="G6" s="4">
        <v>14544000</v>
      </c>
    </row>
    <row r="7" spans="1:7" x14ac:dyDescent="0.25">
      <c r="A7" s="4" t="s">
        <v>40</v>
      </c>
      <c r="B7" s="4">
        <v>725</v>
      </c>
      <c r="C7" s="4">
        <f>B7*3</f>
        <v>2175</v>
      </c>
      <c r="D7" s="4">
        <f t="shared" si="0"/>
        <v>4712.5</v>
      </c>
      <c r="E7" s="4">
        <f>B7*10</f>
        <v>7250</v>
      </c>
      <c r="F7" s="4">
        <f t="shared" si="1"/>
        <v>7612.5</v>
      </c>
      <c r="G7" s="4">
        <f>B7*11</f>
        <v>7975</v>
      </c>
    </row>
    <row r="8" spans="1:7" x14ac:dyDescent="0.25">
      <c r="A8" s="4" t="s">
        <v>38</v>
      </c>
      <c r="B8" s="4">
        <v>3480</v>
      </c>
      <c r="C8" s="4">
        <f>B8*5</f>
        <v>17400</v>
      </c>
      <c r="D8" s="4">
        <f t="shared" si="0"/>
        <v>27840</v>
      </c>
      <c r="E8" s="4">
        <f>B8*11</f>
        <v>38280</v>
      </c>
      <c r="F8" s="4">
        <f t="shared" si="1"/>
        <v>29580</v>
      </c>
      <c r="G8" s="4">
        <f>B8*6</f>
        <v>20880</v>
      </c>
    </row>
    <row r="9" spans="1:7" x14ac:dyDescent="0.25">
      <c r="A9" s="4" t="s">
        <v>32</v>
      </c>
      <c r="B9" s="4">
        <v>44000</v>
      </c>
      <c r="C9" s="4">
        <f>B9*4.5</f>
        <v>198000</v>
      </c>
      <c r="D9" s="4">
        <f t="shared" si="0"/>
        <v>495000</v>
      </c>
      <c r="E9" s="4">
        <f>B9*18</f>
        <v>792000</v>
      </c>
      <c r="F9" s="4">
        <f t="shared" si="1"/>
        <v>1012000</v>
      </c>
      <c r="G9" s="4">
        <f>B9*28</f>
        <v>1232000</v>
      </c>
    </row>
    <row r="10" spans="1:7" x14ac:dyDescent="0.25">
      <c r="A10" s="4" t="s">
        <v>31</v>
      </c>
      <c r="B10" s="4">
        <v>19462</v>
      </c>
      <c r="C10" s="4">
        <f>B10*3.2</f>
        <v>62278.400000000001</v>
      </c>
      <c r="D10" s="4">
        <f t="shared" si="0"/>
        <v>92444.5</v>
      </c>
      <c r="E10" s="4">
        <f>B10*6.3</f>
        <v>122610.59999999999</v>
      </c>
      <c r="F10" s="4">
        <f t="shared" si="1"/>
        <v>129422.29999999999</v>
      </c>
      <c r="G10" s="4">
        <f>B10*7</f>
        <v>136234</v>
      </c>
    </row>
    <row r="11" spans="1:7" x14ac:dyDescent="0.25">
      <c r="A11" s="4" t="s">
        <v>30</v>
      </c>
      <c r="B11" s="4">
        <v>341000</v>
      </c>
      <c r="C11" s="4">
        <f>B11*1.16</f>
        <v>395560</v>
      </c>
      <c r="D11" s="4">
        <f t="shared" si="0"/>
        <v>479105</v>
      </c>
      <c r="E11" s="4">
        <f>B11*1.65</f>
        <v>562650</v>
      </c>
      <c r="F11" s="4">
        <f t="shared" si="1"/>
        <v>491040</v>
      </c>
      <c r="G11" s="4">
        <f>B11*1.23</f>
        <v>419430</v>
      </c>
    </row>
    <row r="12" spans="1:7" x14ac:dyDescent="0.25">
      <c r="A12" s="4" t="s">
        <v>56</v>
      </c>
      <c r="B12" s="4">
        <v>140331</v>
      </c>
      <c r="C12" s="4">
        <f>B12*1.4</f>
        <v>196463.4</v>
      </c>
      <c r="D12" s="4">
        <f t="shared" si="0"/>
        <v>210496.5</v>
      </c>
      <c r="E12" s="4">
        <f>B12*1.6</f>
        <v>224529.6</v>
      </c>
      <c r="F12" s="4">
        <f t="shared" si="1"/>
        <v>240667.66500000001</v>
      </c>
      <c r="G12" s="4">
        <f>B12*1.83</f>
        <v>256805.73</v>
      </c>
    </row>
    <row r="13" spans="1:7" x14ac:dyDescent="0.25">
      <c r="A13" s="4" t="s">
        <v>34</v>
      </c>
      <c r="B13" s="4">
        <v>960</v>
      </c>
      <c r="C13" s="4">
        <f>B13*1.2</f>
        <v>1152</v>
      </c>
      <c r="D13" s="4">
        <f t="shared" si="0"/>
        <v>1344</v>
      </c>
      <c r="E13" s="4">
        <f>B13*1.6</f>
        <v>1536</v>
      </c>
      <c r="F13" s="4">
        <f t="shared" si="1"/>
        <v>1584</v>
      </c>
      <c r="G13" s="4">
        <f>B13*1.7</f>
        <v>1632</v>
      </c>
    </row>
    <row r="14" spans="1:7" x14ac:dyDescent="0.25">
      <c r="A14" s="4" t="s">
        <v>37</v>
      </c>
      <c r="B14" s="4">
        <v>913000</v>
      </c>
      <c r="C14" s="4">
        <f>B14*2</f>
        <v>1826000</v>
      </c>
      <c r="D14" s="4">
        <f t="shared" si="0"/>
        <v>1643400</v>
      </c>
      <c r="E14" s="4">
        <f>B14*1.6</f>
        <v>1460800</v>
      </c>
      <c r="F14" s="4">
        <f t="shared" si="1"/>
        <v>1501885</v>
      </c>
      <c r="G14" s="4">
        <f>B14*1.69</f>
        <v>1542970</v>
      </c>
    </row>
    <row r="15" spans="1:7" x14ac:dyDescent="0.25">
      <c r="A15" s="4" t="s">
        <v>57</v>
      </c>
      <c r="B15" s="4">
        <v>60572</v>
      </c>
      <c r="C15" s="4">
        <f>B15*1.58</f>
        <v>95703.760000000009</v>
      </c>
      <c r="D15" s="4">
        <f t="shared" si="0"/>
        <v>79955.040000000008</v>
      </c>
      <c r="E15" s="4">
        <f>B15*1.06</f>
        <v>64206.32</v>
      </c>
      <c r="F15" s="4">
        <f t="shared" si="1"/>
        <v>66629.2</v>
      </c>
      <c r="G15" s="4">
        <f>B15*1.14</f>
        <v>69052.079999999987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faf88fe-a998-4c5b-93c9-210a11d9a5c2}" enabled="0" method="" siteId="{1faf88fe-a998-4c5b-93c9-210a11d9a5c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Intensity</vt:lpstr>
      <vt:lpstr>Proportion</vt:lpstr>
      <vt:lpstr>Sets</vt:lpstr>
      <vt:lpstr>Recovery</vt:lpstr>
      <vt:lpstr>Availability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Hemmati, Mohammad</dc:creator>
  <cp:lastModifiedBy>Hemmati, Mohammad</cp:lastModifiedBy>
  <dcterms:created xsi:type="dcterms:W3CDTF">2025-10-19T15:29:35Z</dcterms:created>
  <dcterms:modified xsi:type="dcterms:W3CDTF">2025-10-30T02:20:31Z</dcterms:modified>
</cp:coreProperties>
</file>