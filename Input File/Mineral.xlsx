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liveuclac-my.sharepoint.com/personal/ucecemm_ucl_ac_uk/Documents/Critical Mineral/Critical Mineral Package/Input File/"/>
    </mc:Choice>
  </mc:AlternateContent>
  <xr:revisionPtr revIDLastSave="129" documentId="13_ncr:1_{F71B95CE-BCB1-44AA-A11A-75DE24D07429}" xr6:coauthVersionLast="47" xr6:coauthVersionMax="47" xr10:uidLastSave="{946280FF-3A1B-4C7D-83E3-AC6845FE934F}"/>
  <bookViews>
    <workbookView xWindow="-108" yWindow="-108" windowWidth="23256" windowHeight="13896" activeTab="1" xr2:uid="{2ABC63C7-FE29-4CEB-96E0-073812DA1436}"/>
  </bookViews>
  <sheets>
    <sheet name="Sets" sheetId="6" r:id="rId1"/>
    <sheet name="Intensity" sheetId="1" r:id="rId2"/>
    <sheet name="Proportion" sheetId="2" r:id="rId3"/>
    <sheet name="Recovery" sheetId="3" r:id="rId4"/>
    <sheet name="Availability" sheetId="5" r:id="rId5"/>
    <sheet name="Ref" sheetId="7"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5" l="1"/>
  <c r="F4" i="5"/>
  <c r="F5" i="5"/>
  <c r="F6" i="5"/>
  <c r="F7" i="5"/>
  <c r="F8" i="5"/>
  <c r="F9" i="5"/>
  <c r="F10" i="5"/>
  <c r="F11" i="5"/>
  <c r="F12" i="5"/>
  <c r="F13" i="5"/>
  <c r="F14" i="5"/>
  <c r="F15" i="5"/>
  <c r="F2" i="5"/>
  <c r="D3" i="5"/>
  <c r="D4" i="5"/>
  <c r="D5" i="5"/>
  <c r="D6" i="5"/>
  <c r="D7" i="5"/>
  <c r="D8" i="5"/>
  <c r="D9" i="5"/>
  <c r="D10" i="5"/>
  <c r="D11" i="5"/>
  <c r="D12" i="5"/>
  <c r="D13" i="5"/>
  <c r="D14" i="5"/>
  <c r="D15" i="5"/>
  <c r="D2" i="5"/>
  <c r="G15" i="5"/>
  <c r="E15" i="5"/>
  <c r="C15" i="5"/>
  <c r="G14" i="5"/>
  <c r="E14" i="5"/>
  <c r="C14" i="5"/>
  <c r="G12" i="5"/>
  <c r="E12" i="5"/>
  <c r="C12" i="5"/>
  <c r="G13" i="5"/>
  <c r="E13" i="5"/>
  <c r="C13" i="5"/>
  <c r="G11" i="5"/>
  <c r="E11" i="5"/>
  <c r="C11" i="5"/>
  <c r="G10" i="5"/>
  <c r="E10" i="5"/>
  <c r="C10" i="5"/>
  <c r="G9" i="5"/>
  <c r="E9" i="5"/>
  <c r="C9" i="5"/>
  <c r="G8" i="5"/>
  <c r="E8" i="5"/>
  <c r="C8" i="5"/>
  <c r="G7" i="5"/>
  <c r="E7" i="5"/>
  <c r="C7" i="5"/>
  <c r="C6" i="5"/>
  <c r="G5" i="5"/>
  <c r="E5" i="5"/>
  <c r="C5" i="5"/>
  <c r="G4" i="5"/>
  <c r="E4" i="5"/>
  <c r="C4" i="5"/>
  <c r="C2" i="5"/>
  <c r="E2" i="5"/>
  <c r="G3" i="5"/>
  <c r="E3" i="5"/>
  <c r="C3" i="5"/>
</calcChain>
</file>

<file path=xl/sharedStrings.xml><?xml version="1.0" encoding="utf-8"?>
<sst xmlns="http://schemas.openxmlformats.org/spreadsheetml/2006/main" count="158" uniqueCount="97">
  <si>
    <t>Nuclear</t>
  </si>
  <si>
    <t>Biomass</t>
  </si>
  <si>
    <t>Hydro</t>
  </si>
  <si>
    <t>CCGT</t>
  </si>
  <si>
    <t>OCGT</t>
  </si>
  <si>
    <t>CCGTCCS</t>
  </si>
  <si>
    <t>H2CCGT</t>
  </si>
  <si>
    <t>BECCS</t>
  </si>
  <si>
    <t>FC</t>
  </si>
  <si>
    <t>LeadBat</t>
  </si>
  <si>
    <t>SMRCCS</t>
  </si>
  <si>
    <t>ATRCCS</t>
  </si>
  <si>
    <t>BGCCS</t>
  </si>
  <si>
    <t>WE</t>
  </si>
  <si>
    <t>PumpHy</t>
  </si>
  <si>
    <t>GasBoiler</t>
  </si>
  <si>
    <t>HyBoiler</t>
  </si>
  <si>
    <t>ASHP</t>
  </si>
  <si>
    <t>HyASHP</t>
  </si>
  <si>
    <t>HyGasBoiler</t>
  </si>
  <si>
    <t>MPSV</t>
  </si>
  <si>
    <t>HPSV</t>
  </si>
  <si>
    <t>OnTeeside</t>
  </si>
  <si>
    <t>OnChesire</t>
  </si>
  <si>
    <t>OnYorkshire</t>
  </si>
  <si>
    <t>OffIrishSea</t>
  </si>
  <si>
    <t>WindOn</t>
  </si>
  <si>
    <t>WindOff</t>
  </si>
  <si>
    <t>Solar</t>
  </si>
  <si>
    <t>Cr</t>
  </si>
  <si>
    <t>Pb</t>
  </si>
  <si>
    <t>Ni</t>
  </si>
  <si>
    <t>Mn</t>
  </si>
  <si>
    <t>Tin</t>
  </si>
  <si>
    <t>Sn</t>
  </si>
  <si>
    <t>Fe</t>
  </si>
  <si>
    <t>Co</t>
  </si>
  <si>
    <t>Ti</t>
  </si>
  <si>
    <t>Mg</t>
  </si>
  <si>
    <t>Cu</t>
  </si>
  <si>
    <t>Li</t>
  </si>
  <si>
    <t>Al</t>
  </si>
  <si>
    <t>Aluminum</t>
  </si>
  <si>
    <t>Chromium</t>
  </si>
  <si>
    <t>Copper</t>
  </si>
  <si>
    <t>Lead</t>
  </si>
  <si>
    <t>Nickel</t>
  </si>
  <si>
    <t>Zinc</t>
  </si>
  <si>
    <t>Manganese</t>
  </si>
  <si>
    <t>Cobalt</t>
  </si>
  <si>
    <t>Magnesium</t>
  </si>
  <si>
    <t>Titanium</t>
  </si>
  <si>
    <t>Lithium</t>
  </si>
  <si>
    <t>Iron</t>
  </si>
  <si>
    <t>Metal</t>
  </si>
  <si>
    <t>The proportion of minerals available in the energy system</t>
  </si>
  <si>
    <t>Si</t>
  </si>
  <si>
    <t>Zn</t>
  </si>
  <si>
    <t>Silicon</t>
  </si>
  <si>
    <t>Mineral</t>
  </si>
  <si>
    <t>Recycle_rate</t>
  </si>
  <si>
    <t>Transmission</t>
  </si>
  <si>
    <t>ton/GW</t>
  </si>
  <si>
    <t>M</t>
  </si>
  <si>
    <t>Critical Mineral</t>
  </si>
  <si>
    <t>Ref</t>
  </si>
  <si>
    <t>[1-6]</t>
  </si>
  <si>
    <t>[1], [2], [3], [4], [5], [6]</t>
  </si>
  <si>
    <t>[1]</t>
  </si>
  <si>
    <t>[2]</t>
  </si>
  <si>
    <t>[3]</t>
  </si>
  <si>
    <t>[4]</t>
  </si>
  <si>
    <t>[5]</t>
  </si>
  <si>
    <t>[6]</t>
  </si>
  <si>
    <t>[12],[13], [14], [15]</t>
  </si>
  <si>
    <t>[7]</t>
  </si>
  <si>
    <t>[8]</t>
  </si>
  <si>
    <t>[9]</t>
  </si>
  <si>
    <t>[10]</t>
  </si>
  <si>
    <t>[11]</t>
  </si>
  <si>
    <t>[12]</t>
  </si>
  <si>
    <t>[13]</t>
  </si>
  <si>
    <t>G. Mudd, P. Josso, R. Shaw, A. Luce, N. Singh, S. Horn, T. Bide, D. Currie, H. Elliott, and H. Grant, “UK 2024 criticality assessment,” British Geological Survey, 2024</t>
  </si>
  <si>
    <t>T. Bide, N. E. Idoine, E. Evans, E. R. Raycraft, and J. Mankelow, “United kingdom minerals yearbook 2024: Decarbonisation and resource management programme,” 2024.</t>
  </si>
  <si>
    <t>P. Josso, P. Lusty, A. Gunn, R. Shaw, N. Singh, S. Horn, and E. Petavratzi, “Review and development of the methodology and data used to produce the uk criticality assessment of technology-critical minerals,” 2023</t>
  </si>
  <si>
    <t>Y.-M. Wei, L.-C. Liu, J.-N. Kang, Y. Zhang, S. Peng, H. Liao, S. Xu, L. Zhao, H. Yan, X. Qian et al., “Navigating energy transition solutions for climate targets with minerals constraint,” Nat. Clim. Change, vol. 15, no. 8, pp. 833–841, 2025.</t>
  </si>
  <si>
    <t>J. C. Koj, C. Wulf, A. Schreiber, and P. Zapp, “Site-dependent environmental impacts of industrial hydrogen production by alkaline water electrolysis,” Energies, vol. 10, no. 7, p. 860, 2017</t>
  </si>
  <si>
    <t>IEA, “Global critical minerals outlook 2025,” Paris, France, 2025, licence: CC BY 4.0. [Online]. Available: https://www.iea.org/reports/global-critical-minerals-outlook-2025</t>
  </si>
  <si>
    <t>K. Bareiß, C. de la Rua, M. M¨ockl, and T. Hamacher, “Life cycle assessment of hydro- gen from proton exchange membrane water electrolysis in future energy systems,” Appl. Energy, vol. 237, pp. 862–872, 2019.</t>
  </si>
  <si>
    <t>L. Grandell, A. Lehtil¨a, M. Kivinen, T. Koljonen, S. Kihlman, and L. S. Lauri, “Role of critical metals in the future markets of clean energy technologies,” Renewable energy, vol. 95, pp. 53–62, 2016</t>
  </si>
  <si>
    <t>S. Kiemel, T. Smolinka, F. Lehner, J. Full, A. Sauer, and R. Miehe, “Critical materials for water electrolysers at the example of the energy transition in germany,” Int. J. Energy Res., vol. 45, no. 7, pp. 9914–9935, 2021.</t>
  </si>
  <si>
    <t>[1], [7], [8], [9]</t>
  </si>
  <si>
    <t>T. Graedel, B. K. Reck, and A. Miatto, “Alloy information helps prioritize material criti- cality lists,” Nat. Commun., vol. 13, no. 1, p. 150, 2022.</t>
  </si>
  <si>
    <t>T. Graedel, J. Allwood, J. Birat, B. Reck, S. Sibley, G. Sonnemann, M. Buchert, and C. Hagel¨uken, “Unep recycling rates of metals-a status report,” A Report of the Working Group on the Global Metal Flows to the International Resource Panel, 2011</t>
  </si>
  <si>
    <t>A. Charpentier Poncelet, C. Helbig, P. Loubet, A. Beylot, S. Muller, J. Villeneuve, B. Laratte, A. Thorenz, A. Tuma, and G. Sonnemann, “Losses and lifetimes of metals in the economy,” Nat. Sustainability, vol. 5, no. 8, pp. 717–726, 2022.</t>
  </si>
  <si>
    <t>[8], [10]</t>
  </si>
  <si>
    <t>UNEP. Recycling rates of metals: A Status Report, A Report of the Working Group on the Global Metal Flows to the International Resource Panel (2011).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</si>
</sst>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Arial"/>
      <family val="2"/>
    </font>
    <font>
      <sz val="11"/>
      <color theme="1"/>
      <name val="Times New Roman"/>
      <family val="1"/>
    </font>
    <font>
      <b/>
      <sz val="11"/>
      <color theme="1"/>
      <name val="Times New Roman"/>
      <family val="1"/>
    </font>
    <font>
      <b/>
      <sz val="11"/>
      <color theme="1"/>
      <name val="Aptos Narrow"/>
      <family val="2"/>
      <scheme val="minor"/>
    </font>
    <font>
      <b/>
      <sz val="12"/>
      <color theme="1"/>
      <name val="Arial"/>
      <family val="2"/>
    </font>
    <font>
      <sz val="12"/>
      <color rgb="FFFF0000"/>
      <name val="Arial"/>
      <family val="2"/>
    </font>
    <font>
      <u/>
      <sz val="12"/>
      <color theme="10"/>
      <name val="Arial"/>
      <family val="2"/>
    </font>
    <font>
      <sz val="11"/>
      <color theme="1"/>
      <name val="Arial"/>
      <family val="2"/>
    </font>
    <font>
      <sz val="10"/>
      <color theme="1"/>
      <name val="Arial"/>
      <family val="2"/>
    </font>
    <font>
      <u/>
      <sz val="12"/>
      <color rgb="FF0070C0"/>
      <name val="Arial"/>
      <family val="2"/>
    </font>
  </fonts>
  <fills count="10">
    <fill>
      <patternFill patternType="none"/>
    </fill>
    <fill>
      <patternFill patternType="gray125"/>
    </fill>
    <fill>
      <patternFill patternType="solid">
        <fgColor theme="2" tint="-9.9978637043366805E-2"/>
        <bgColor indexed="64"/>
      </patternFill>
    </fill>
    <fill>
      <patternFill patternType="solid">
        <fgColor theme="6" tint="0.59999389629810485"/>
        <bgColor indexed="64"/>
      </patternFill>
    </fill>
    <fill>
      <patternFill patternType="solid">
        <fgColor theme="3" tint="0.89999084444715716"/>
        <bgColor indexed="64"/>
      </patternFill>
    </fill>
    <fill>
      <patternFill patternType="solid">
        <fgColor theme="5" tint="0.59999389629810485"/>
        <bgColor indexed="64"/>
      </patternFill>
    </fill>
    <fill>
      <patternFill patternType="solid">
        <fgColor rgb="FFFFFF00"/>
        <bgColor indexed="64"/>
      </patternFill>
    </fill>
    <fill>
      <patternFill patternType="solid">
        <fgColor theme="0"/>
        <bgColor indexed="64"/>
      </patternFill>
    </fill>
    <fill>
      <patternFill patternType="solid">
        <fgColor theme="0" tint="-0.499984740745262"/>
        <bgColor indexed="64"/>
      </patternFill>
    </fill>
    <fill>
      <patternFill patternType="solid">
        <fgColor theme="0" tint="-0.249977111117893"/>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s>
  <cellStyleXfs count="2">
    <xf numFmtId="0" fontId="0" fillId="0" borderId="0"/>
    <xf numFmtId="0" fontId="6" fillId="0" borderId="0" applyNumberFormat="0" applyFill="0" applyBorder="0" applyAlignment="0" applyProtection="0"/>
  </cellStyleXfs>
  <cellXfs count="29">
    <xf numFmtId="0" fontId="0" fillId="0" borderId="0" xfId="0"/>
    <xf numFmtId="0" fontId="0" fillId="0" borderId="0" xfId="0" applyAlignment="1">
      <alignment horizontal="center"/>
    </xf>
    <xf numFmtId="0" fontId="1" fillId="0" borderId="0" xfId="0" applyFont="1" applyAlignment="1">
      <alignment horizontal="center" vertical="center"/>
    </xf>
    <xf numFmtId="0" fontId="0" fillId="0" borderId="1" xfId="0" applyBorder="1" applyAlignment="1">
      <alignment horizontal="center"/>
    </xf>
    <xf numFmtId="0" fontId="1" fillId="0" borderId="1" xfId="0" applyFont="1" applyBorder="1" applyAlignment="1">
      <alignment horizontal="center" vertical="center"/>
    </xf>
    <xf numFmtId="0" fontId="2" fillId="2" borderId="0" xfId="0" applyFont="1" applyFill="1" applyAlignment="1">
      <alignment horizontal="center" vertical="center"/>
    </xf>
    <xf numFmtId="0" fontId="2" fillId="3" borderId="1" xfId="0" applyFont="1" applyFill="1" applyBorder="1" applyAlignment="1">
      <alignment horizontal="center" vertical="center"/>
    </xf>
    <xf numFmtId="0" fontId="2" fillId="4" borderId="1" xfId="0" applyFont="1" applyFill="1" applyBorder="1" applyAlignment="1">
      <alignment horizontal="center" vertical="center"/>
    </xf>
    <xf numFmtId="0" fontId="1" fillId="0" borderId="1" xfId="0" applyFont="1" applyBorder="1" applyAlignment="1">
      <alignment horizontal="center" vertical="center" wrapText="1"/>
    </xf>
    <xf numFmtId="0" fontId="1" fillId="0" borderId="0" xfId="0" applyFont="1" applyAlignment="1">
      <alignment vertical="center"/>
    </xf>
    <xf numFmtId="0" fontId="2" fillId="5" borderId="1" xfId="0" applyFont="1" applyFill="1" applyBorder="1" applyAlignment="1">
      <alignment horizontal="center" vertical="center"/>
    </xf>
    <xf numFmtId="0" fontId="3" fillId="6" borderId="1" xfId="0" applyFont="1" applyFill="1" applyBorder="1" applyAlignment="1">
      <alignment horizontal="center"/>
    </xf>
    <xf numFmtId="0" fontId="2" fillId="7" borderId="1" xfId="0" applyFont="1" applyFill="1" applyBorder="1" applyAlignment="1">
      <alignment horizontal="center" vertical="center"/>
    </xf>
    <xf numFmtId="0" fontId="0" fillId="8" borderId="0" xfId="0" applyFill="1" applyAlignment="1">
      <alignment horizontal="center"/>
    </xf>
    <xf numFmtId="0" fontId="4" fillId="9" borderId="0" xfId="0" applyFont="1" applyFill="1" applyAlignment="1">
      <alignment horizontal="center"/>
    </xf>
    <xf numFmtId="0" fontId="5" fillId="7" borderId="1" xfId="0" applyFont="1" applyFill="1" applyBorder="1"/>
    <xf numFmtId="0" fontId="2" fillId="5" borderId="3"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2" fillId="5" borderId="5" xfId="0" applyFont="1" applyFill="1" applyBorder="1" applyAlignment="1">
      <alignment horizontal="center" vertical="center" wrapText="1"/>
    </xf>
    <xf numFmtId="0" fontId="0" fillId="5" borderId="2" xfId="0" applyFill="1" applyBorder="1" applyAlignment="1">
      <alignment horizontal="center" vertical="center"/>
    </xf>
    <xf numFmtId="0" fontId="8" fillId="0" borderId="0" xfId="0" applyFont="1" applyAlignment="1">
      <alignment horizontal="center"/>
    </xf>
    <xf numFmtId="0" fontId="8" fillId="0" borderId="0" xfId="0" applyFont="1"/>
    <xf numFmtId="0" fontId="7" fillId="5" borderId="2" xfId="0" applyFont="1" applyFill="1" applyBorder="1" applyAlignment="1">
      <alignment horizontal="center" vertical="center" wrapText="1"/>
    </xf>
    <xf numFmtId="0" fontId="0" fillId="5" borderId="2" xfId="0" applyFill="1" applyBorder="1" applyAlignment="1">
      <alignment horizontal="center" vertical="center" wrapText="1"/>
    </xf>
    <xf numFmtId="0" fontId="6" fillId="5" borderId="0" xfId="1" applyFill="1" applyAlignment="1">
      <alignment horizontal="center"/>
    </xf>
    <xf numFmtId="0" fontId="9" fillId="5" borderId="0" xfId="1" applyFont="1" applyFill="1" applyAlignment="1">
      <alignment horizontal="center" vertical="center"/>
    </xf>
    <xf numFmtId="0" fontId="9" fillId="5" borderId="0" xfId="1" applyFont="1" applyFill="1" applyAlignment="1">
      <alignment horizontal="center" vertical="center"/>
    </xf>
    <xf numFmtId="0" fontId="9" fillId="5" borderId="6" xfId="1" applyFont="1" applyFill="1" applyBorder="1" applyAlignment="1">
      <alignment horizontal="center" vertical="center"/>
    </xf>
    <xf numFmtId="0" fontId="9" fillId="5" borderId="0" xfId="1" applyFont="1" applyFill="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174AB-A1A6-445C-B58C-A195CBEC24B0}">
  <sheetPr>
    <tabColor theme="6" tint="0.79998168889431442"/>
  </sheetPr>
  <dimension ref="A2:P2"/>
  <sheetViews>
    <sheetView workbookViewId="0">
      <selection activeCell="C6" sqref="C6"/>
    </sheetView>
  </sheetViews>
  <sheetFormatPr defaultRowHeight="15" x14ac:dyDescent="0.25"/>
  <cols>
    <col min="1" max="1" width="22.6328125" customWidth="1"/>
  </cols>
  <sheetData>
    <row r="2" spans="1:16" ht="15.6" x14ac:dyDescent="0.3">
      <c r="A2" s="13" t="s">
        <v>64</v>
      </c>
      <c r="B2" s="14" t="s">
        <v>63</v>
      </c>
      <c r="C2" s="12" t="s">
        <v>41</v>
      </c>
      <c r="D2" s="12" t="s">
        <v>36</v>
      </c>
      <c r="E2" s="12" t="s">
        <v>29</v>
      </c>
      <c r="F2" s="12" t="s">
        <v>39</v>
      </c>
      <c r="G2" s="12" t="s">
        <v>35</v>
      </c>
      <c r="H2" s="12" t="s">
        <v>40</v>
      </c>
      <c r="I2" s="12" t="s">
        <v>38</v>
      </c>
      <c r="J2" s="12" t="s">
        <v>32</v>
      </c>
      <c r="K2" s="12" t="s">
        <v>31</v>
      </c>
      <c r="L2" s="12" t="s">
        <v>30</v>
      </c>
      <c r="M2" s="12" t="s">
        <v>56</v>
      </c>
      <c r="N2" s="12" t="s">
        <v>34</v>
      </c>
      <c r="O2" s="12" t="s">
        <v>37</v>
      </c>
      <c r="P2" s="12" t="s">
        <v>57</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1ED81-AF51-42D1-9F7B-3CC6664E0C94}">
  <sheetPr>
    <tabColor rgb="FFFF0000"/>
  </sheetPr>
  <dimension ref="A1:P1048576"/>
  <sheetViews>
    <sheetView tabSelected="1" workbookViewId="0">
      <pane ySplit="2" topLeftCell="A8" activePane="bottomLeft" state="frozen"/>
      <selection pane="bottomLeft" activeCell="P1" sqref="P1:P2"/>
    </sheetView>
  </sheetViews>
  <sheetFormatPr defaultRowHeight="15" x14ac:dyDescent="0.25"/>
  <cols>
    <col min="1" max="1" width="13.1796875" style="1" customWidth="1"/>
    <col min="16" max="16" width="8.7265625" style="15"/>
  </cols>
  <sheetData>
    <row r="1" spans="1:16" x14ac:dyDescent="0.25">
      <c r="B1" s="5" t="s">
        <v>42</v>
      </c>
      <c r="C1" s="5" t="s">
        <v>49</v>
      </c>
      <c r="D1" s="5" t="s">
        <v>43</v>
      </c>
      <c r="E1" s="5" t="s">
        <v>44</v>
      </c>
      <c r="F1" s="5" t="s">
        <v>53</v>
      </c>
      <c r="G1" s="5" t="s">
        <v>52</v>
      </c>
      <c r="H1" s="5" t="s">
        <v>50</v>
      </c>
      <c r="I1" s="5" t="s">
        <v>48</v>
      </c>
      <c r="J1" s="5" t="s">
        <v>46</v>
      </c>
      <c r="K1" s="5" t="s">
        <v>45</v>
      </c>
      <c r="L1" s="5" t="s">
        <v>58</v>
      </c>
      <c r="M1" s="5" t="s">
        <v>33</v>
      </c>
      <c r="N1" s="5" t="s">
        <v>51</v>
      </c>
      <c r="O1" s="5" t="s">
        <v>47</v>
      </c>
      <c r="P1" s="26" t="s">
        <v>65</v>
      </c>
    </row>
    <row r="2" spans="1:16" x14ac:dyDescent="0.25">
      <c r="A2" s="3" t="s">
        <v>62</v>
      </c>
      <c r="B2" s="7" t="s">
        <v>41</v>
      </c>
      <c r="C2" s="7" t="s">
        <v>36</v>
      </c>
      <c r="D2" s="7" t="s">
        <v>29</v>
      </c>
      <c r="E2" s="7" t="s">
        <v>39</v>
      </c>
      <c r="F2" s="7" t="s">
        <v>35</v>
      </c>
      <c r="G2" s="7" t="s">
        <v>40</v>
      </c>
      <c r="H2" s="7" t="s">
        <v>38</v>
      </c>
      <c r="I2" s="7" t="s">
        <v>32</v>
      </c>
      <c r="J2" s="7" t="s">
        <v>31</v>
      </c>
      <c r="K2" s="7" t="s">
        <v>30</v>
      </c>
      <c r="L2" s="7" t="s">
        <v>56</v>
      </c>
      <c r="M2" s="7" t="s">
        <v>34</v>
      </c>
      <c r="N2" s="7" t="s">
        <v>37</v>
      </c>
      <c r="O2" s="7" t="s">
        <v>57</v>
      </c>
      <c r="P2" s="27"/>
    </row>
    <row r="3" spans="1:16" ht="15" customHeight="1" x14ac:dyDescent="0.25">
      <c r="A3" s="6" t="s">
        <v>26</v>
      </c>
      <c r="B3" s="4">
        <v>1355</v>
      </c>
      <c r="C3" s="4">
        <v>0</v>
      </c>
      <c r="D3" s="4">
        <v>486</v>
      </c>
      <c r="E3" s="4">
        <v>3709</v>
      </c>
      <c r="F3" s="4">
        <v>0</v>
      </c>
      <c r="G3" s="4">
        <v>0</v>
      </c>
      <c r="H3" s="4">
        <v>0</v>
      </c>
      <c r="I3" s="4">
        <v>57</v>
      </c>
      <c r="J3" s="4">
        <v>310</v>
      </c>
      <c r="K3" s="4">
        <v>5987</v>
      </c>
      <c r="L3" s="4">
        <v>0</v>
      </c>
      <c r="M3" s="4">
        <v>90</v>
      </c>
      <c r="N3" s="4">
        <v>0</v>
      </c>
      <c r="O3" s="4">
        <v>5256</v>
      </c>
      <c r="P3" s="4" t="s">
        <v>66</v>
      </c>
    </row>
    <row r="4" spans="1:16" x14ac:dyDescent="0.25">
      <c r="A4" s="6" t="s">
        <v>27</v>
      </c>
      <c r="B4" s="4">
        <v>1355</v>
      </c>
      <c r="C4" s="4">
        <v>0</v>
      </c>
      <c r="D4" s="4">
        <v>486</v>
      </c>
      <c r="E4" s="4">
        <v>3709</v>
      </c>
      <c r="F4" s="4">
        <v>0</v>
      </c>
      <c r="G4" s="4">
        <v>0</v>
      </c>
      <c r="H4" s="4">
        <v>0</v>
      </c>
      <c r="I4" s="4">
        <v>57</v>
      </c>
      <c r="J4" s="4">
        <v>310</v>
      </c>
      <c r="K4" s="4">
        <v>5987</v>
      </c>
      <c r="L4" s="4">
        <v>0</v>
      </c>
      <c r="M4" s="4">
        <v>90</v>
      </c>
      <c r="N4" s="4">
        <v>0</v>
      </c>
      <c r="O4" s="4">
        <v>5256</v>
      </c>
      <c r="P4" s="4"/>
    </row>
    <row r="5" spans="1:16" x14ac:dyDescent="0.25">
      <c r="A5" s="6" t="s">
        <v>28</v>
      </c>
      <c r="B5" s="4">
        <v>16219</v>
      </c>
      <c r="C5" s="4">
        <v>0</v>
      </c>
      <c r="D5" s="4">
        <v>0</v>
      </c>
      <c r="E5" s="4">
        <v>4229</v>
      </c>
      <c r="F5" s="4">
        <v>0</v>
      </c>
      <c r="G5" s="4">
        <v>0</v>
      </c>
      <c r="H5" s="4">
        <v>0</v>
      </c>
      <c r="I5" s="4">
        <v>0</v>
      </c>
      <c r="J5" s="4">
        <v>0</v>
      </c>
      <c r="K5" s="4">
        <v>0</v>
      </c>
      <c r="L5" s="4">
        <v>2800</v>
      </c>
      <c r="M5" s="4">
        <v>64</v>
      </c>
      <c r="N5" s="4">
        <v>0</v>
      </c>
      <c r="O5" s="4">
        <v>0</v>
      </c>
      <c r="P5" s="4"/>
    </row>
    <row r="6" spans="1:16" x14ac:dyDescent="0.25">
      <c r="A6" s="6" t="s">
        <v>0</v>
      </c>
      <c r="B6" s="4">
        <v>120</v>
      </c>
      <c r="C6" s="4">
        <v>0</v>
      </c>
      <c r="D6" s="4">
        <v>281</v>
      </c>
      <c r="E6" s="4">
        <v>1305</v>
      </c>
      <c r="F6" s="4">
        <v>1530</v>
      </c>
      <c r="G6" s="4">
        <v>0</v>
      </c>
      <c r="H6" s="4">
        <v>0</v>
      </c>
      <c r="I6" s="4">
        <v>515</v>
      </c>
      <c r="J6" s="4">
        <v>285</v>
      </c>
      <c r="K6" s="4">
        <v>0</v>
      </c>
      <c r="L6" s="4">
        <v>0</v>
      </c>
      <c r="M6" s="4">
        <v>0</v>
      </c>
      <c r="N6" s="4">
        <v>0</v>
      </c>
      <c r="O6" s="4">
        <v>0</v>
      </c>
      <c r="P6" s="4"/>
    </row>
    <row r="7" spans="1:16" x14ac:dyDescent="0.25">
      <c r="A7" s="6" t="s">
        <v>1</v>
      </c>
      <c r="B7" s="4">
        <v>1100</v>
      </c>
      <c r="C7" s="4">
        <v>1.8</v>
      </c>
      <c r="D7" s="4">
        <v>2.4</v>
      </c>
      <c r="E7" s="4">
        <v>1914</v>
      </c>
      <c r="F7" s="4">
        <v>900</v>
      </c>
      <c r="G7" s="4">
        <v>0</v>
      </c>
      <c r="H7" s="4">
        <v>0</v>
      </c>
      <c r="I7" s="4">
        <v>0</v>
      </c>
      <c r="J7" s="4">
        <v>20</v>
      </c>
      <c r="K7" s="4">
        <v>104</v>
      </c>
      <c r="L7" s="4">
        <v>0</v>
      </c>
      <c r="M7" s="4">
        <v>0</v>
      </c>
      <c r="N7" s="4">
        <v>400</v>
      </c>
      <c r="O7" s="4">
        <v>160</v>
      </c>
      <c r="P7" s="4"/>
    </row>
    <row r="8" spans="1:16" x14ac:dyDescent="0.25">
      <c r="A8" s="6" t="s">
        <v>2</v>
      </c>
      <c r="B8" s="4">
        <v>2000</v>
      </c>
      <c r="C8" s="4">
        <v>0</v>
      </c>
      <c r="D8" s="4">
        <v>1500</v>
      </c>
      <c r="E8" s="4">
        <v>2224</v>
      </c>
      <c r="F8" s="4">
        <v>0</v>
      </c>
      <c r="G8" s="4">
        <v>0</v>
      </c>
      <c r="H8" s="4">
        <v>50</v>
      </c>
      <c r="I8" s="4">
        <v>0</v>
      </c>
      <c r="J8" s="4">
        <v>31</v>
      </c>
      <c r="K8" s="4">
        <v>152</v>
      </c>
      <c r="L8" s="4">
        <v>0</v>
      </c>
      <c r="M8" s="4">
        <v>0</v>
      </c>
      <c r="N8" s="4">
        <v>0</v>
      </c>
      <c r="O8" s="4">
        <v>202</v>
      </c>
      <c r="P8" s="16" t="s">
        <v>67</v>
      </c>
    </row>
    <row r="9" spans="1:16" x14ac:dyDescent="0.25">
      <c r="A9" s="6" t="s">
        <v>14</v>
      </c>
      <c r="B9" s="4">
        <v>2000</v>
      </c>
      <c r="C9" s="4">
        <v>0</v>
      </c>
      <c r="D9" s="4">
        <v>1500</v>
      </c>
      <c r="E9" s="4">
        <v>2224</v>
      </c>
      <c r="F9" s="4">
        <v>0</v>
      </c>
      <c r="G9" s="4">
        <v>0</v>
      </c>
      <c r="H9" s="4">
        <v>50</v>
      </c>
      <c r="I9" s="4">
        <v>0</v>
      </c>
      <c r="J9" s="4">
        <v>31</v>
      </c>
      <c r="K9" s="4">
        <v>152</v>
      </c>
      <c r="L9" s="4">
        <v>0</v>
      </c>
      <c r="M9" s="4">
        <v>0</v>
      </c>
      <c r="N9" s="4">
        <v>0</v>
      </c>
      <c r="O9" s="4">
        <v>202</v>
      </c>
      <c r="P9" s="17"/>
    </row>
    <row r="10" spans="1:16" x14ac:dyDescent="0.25">
      <c r="A10" s="6" t="s">
        <v>3</v>
      </c>
      <c r="B10" s="4">
        <v>446</v>
      </c>
      <c r="C10" s="4">
        <v>3.3</v>
      </c>
      <c r="D10" s="4">
        <v>0</v>
      </c>
      <c r="E10" s="4">
        <v>1053</v>
      </c>
      <c r="F10" s="4">
        <v>549</v>
      </c>
      <c r="G10" s="4">
        <v>0</v>
      </c>
      <c r="H10" s="4">
        <v>0</v>
      </c>
      <c r="I10" s="4">
        <v>0</v>
      </c>
      <c r="J10" s="4">
        <v>40.5</v>
      </c>
      <c r="K10" s="4">
        <v>0</v>
      </c>
      <c r="L10" s="4">
        <v>0</v>
      </c>
      <c r="M10" s="4">
        <v>0</v>
      </c>
      <c r="N10" s="4">
        <v>0</v>
      </c>
      <c r="O10" s="4">
        <v>0</v>
      </c>
      <c r="P10" s="17"/>
    </row>
    <row r="11" spans="1:16" x14ac:dyDescent="0.25">
      <c r="A11" s="6" t="s">
        <v>4</v>
      </c>
      <c r="B11" s="4">
        <v>446</v>
      </c>
      <c r="C11" s="4">
        <v>3.3</v>
      </c>
      <c r="D11" s="4">
        <v>0</v>
      </c>
      <c r="E11" s="4">
        <v>1053</v>
      </c>
      <c r="F11" s="4">
        <v>549</v>
      </c>
      <c r="G11" s="4">
        <v>0</v>
      </c>
      <c r="H11" s="4">
        <v>0</v>
      </c>
      <c r="I11" s="4">
        <v>0</v>
      </c>
      <c r="J11" s="4">
        <v>40.5</v>
      </c>
      <c r="K11" s="4">
        <v>0</v>
      </c>
      <c r="L11" s="4">
        <v>0</v>
      </c>
      <c r="M11" s="4">
        <v>0</v>
      </c>
      <c r="N11" s="4">
        <v>0</v>
      </c>
      <c r="O11" s="4">
        <v>0</v>
      </c>
      <c r="P11" s="17"/>
    </row>
    <row r="12" spans="1:16" x14ac:dyDescent="0.25">
      <c r="A12" s="6" t="s">
        <v>5</v>
      </c>
      <c r="B12" s="4">
        <v>446</v>
      </c>
      <c r="C12" s="4">
        <v>5.45</v>
      </c>
      <c r="D12" s="4">
        <v>98</v>
      </c>
      <c r="E12" s="4">
        <v>1168</v>
      </c>
      <c r="F12" s="4">
        <v>549</v>
      </c>
      <c r="G12" s="4">
        <v>0</v>
      </c>
      <c r="H12" s="4">
        <v>0</v>
      </c>
      <c r="I12" s="4">
        <v>1016</v>
      </c>
      <c r="J12" s="4">
        <v>341.5</v>
      </c>
      <c r="K12" s="4">
        <v>0</v>
      </c>
      <c r="L12" s="4">
        <v>0</v>
      </c>
      <c r="M12" s="4">
        <v>0</v>
      </c>
      <c r="N12" s="4">
        <v>0</v>
      </c>
      <c r="O12" s="4">
        <v>0</v>
      </c>
      <c r="P12" s="17"/>
    </row>
    <row r="13" spans="1:16" x14ac:dyDescent="0.25">
      <c r="A13" s="6" t="s">
        <v>6</v>
      </c>
      <c r="B13" s="4">
        <v>446</v>
      </c>
      <c r="C13" s="4">
        <v>3.3</v>
      </c>
      <c r="D13" s="4">
        <v>0</v>
      </c>
      <c r="E13" s="4">
        <v>1053</v>
      </c>
      <c r="F13" s="4">
        <v>549</v>
      </c>
      <c r="G13" s="4">
        <v>0</v>
      </c>
      <c r="H13" s="4">
        <v>0</v>
      </c>
      <c r="I13" s="4">
        <v>0</v>
      </c>
      <c r="J13" s="4">
        <v>40.5</v>
      </c>
      <c r="K13" s="4">
        <v>0</v>
      </c>
      <c r="L13" s="4">
        <v>0</v>
      </c>
      <c r="M13" s="4">
        <v>0</v>
      </c>
      <c r="N13" s="4">
        <v>0</v>
      </c>
      <c r="O13" s="4">
        <v>0</v>
      </c>
      <c r="P13" s="17"/>
    </row>
    <row r="14" spans="1:16" x14ac:dyDescent="0.25">
      <c r="A14" s="6" t="s">
        <v>7</v>
      </c>
      <c r="B14" s="4">
        <v>1100</v>
      </c>
      <c r="C14" s="4">
        <v>3.95</v>
      </c>
      <c r="D14" s="4">
        <v>100.4</v>
      </c>
      <c r="E14" s="4">
        <v>2029</v>
      </c>
      <c r="F14" s="4">
        <v>900</v>
      </c>
      <c r="G14" s="4">
        <v>0</v>
      </c>
      <c r="H14" s="4">
        <v>0</v>
      </c>
      <c r="I14" s="4">
        <v>1016</v>
      </c>
      <c r="J14" s="4">
        <v>321</v>
      </c>
      <c r="K14" s="4">
        <v>104</v>
      </c>
      <c r="L14" s="4">
        <v>0</v>
      </c>
      <c r="M14" s="4">
        <v>0</v>
      </c>
      <c r="N14" s="4">
        <v>400</v>
      </c>
      <c r="O14" s="4">
        <v>160</v>
      </c>
      <c r="P14" s="17"/>
    </row>
    <row r="15" spans="1:16" x14ac:dyDescent="0.25">
      <c r="A15" s="6" t="s">
        <v>8</v>
      </c>
      <c r="B15" s="4">
        <v>287.5</v>
      </c>
      <c r="C15" s="4">
        <v>0</v>
      </c>
      <c r="D15" s="4">
        <v>0</v>
      </c>
      <c r="E15" s="4">
        <v>333</v>
      </c>
      <c r="F15" s="4">
        <v>0</v>
      </c>
      <c r="G15" s="4">
        <v>0</v>
      </c>
      <c r="H15" s="4">
        <v>0</v>
      </c>
      <c r="I15" s="4">
        <v>0</v>
      </c>
      <c r="J15" s="4">
        <v>1655</v>
      </c>
      <c r="K15" s="4">
        <v>0</v>
      </c>
      <c r="L15" s="4">
        <v>0</v>
      </c>
      <c r="M15" s="4">
        <v>0</v>
      </c>
      <c r="N15" s="4">
        <v>0</v>
      </c>
      <c r="O15" s="4">
        <v>0</v>
      </c>
      <c r="P15" s="17"/>
    </row>
    <row r="16" spans="1:16" x14ac:dyDescent="0.25">
      <c r="A16" s="6" t="s">
        <v>9</v>
      </c>
      <c r="B16" s="4">
        <v>9243</v>
      </c>
      <c r="C16" s="4">
        <v>0</v>
      </c>
      <c r="D16" s="4">
        <v>0</v>
      </c>
      <c r="E16" s="4">
        <v>5541</v>
      </c>
      <c r="F16" s="4">
        <v>0</v>
      </c>
      <c r="G16" s="4">
        <v>696</v>
      </c>
      <c r="H16" s="4">
        <v>0</v>
      </c>
      <c r="I16" s="4">
        <v>0</v>
      </c>
      <c r="J16" s="4">
        <v>0</v>
      </c>
      <c r="K16" s="4">
        <v>0</v>
      </c>
      <c r="L16" s="4">
        <v>0</v>
      </c>
      <c r="M16" s="4">
        <v>0</v>
      </c>
      <c r="N16" s="4">
        <v>0</v>
      </c>
      <c r="O16" s="4">
        <v>0</v>
      </c>
      <c r="P16" s="17"/>
    </row>
    <row r="17" spans="1:16" x14ac:dyDescent="0.25">
      <c r="A17" s="6" t="s">
        <v>10</v>
      </c>
      <c r="B17" s="4">
        <v>500</v>
      </c>
      <c r="C17" s="4">
        <v>2.15</v>
      </c>
      <c r="D17" s="4">
        <v>98</v>
      </c>
      <c r="E17" s="4">
        <v>1115</v>
      </c>
      <c r="F17" s="4">
        <v>0</v>
      </c>
      <c r="G17" s="4">
        <v>0</v>
      </c>
      <c r="H17" s="4">
        <v>0</v>
      </c>
      <c r="I17" s="4">
        <v>1016</v>
      </c>
      <c r="J17" s="4">
        <v>2301</v>
      </c>
      <c r="K17" s="4">
        <v>0</v>
      </c>
      <c r="L17" s="4">
        <v>0</v>
      </c>
      <c r="M17" s="4">
        <v>0</v>
      </c>
      <c r="N17" s="4">
        <v>0</v>
      </c>
      <c r="O17" s="4">
        <v>0</v>
      </c>
      <c r="P17" s="17"/>
    </row>
    <row r="18" spans="1:16" x14ac:dyDescent="0.25">
      <c r="A18" s="6" t="s">
        <v>11</v>
      </c>
      <c r="B18" s="4">
        <v>500</v>
      </c>
      <c r="C18" s="4">
        <v>2.15</v>
      </c>
      <c r="D18" s="4">
        <v>98</v>
      </c>
      <c r="E18" s="4">
        <v>1115</v>
      </c>
      <c r="F18" s="4">
        <v>0</v>
      </c>
      <c r="G18" s="4">
        <v>0</v>
      </c>
      <c r="H18" s="4">
        <v>0</v>
      </c>
      <c r="I18" s="4">
        <v>1016</v>
      </c>
      <c r="J18" s="4">
        <v>2301</v>
      </c>
      <c r="K18" s="4">
        <v>0</v>
      </c>
      <c r="L18" s="4">
        <v>0</v>
      </c>
      <c r="M18" s="4">
        <v>0</v>
      </c>
      <c r="N18" s="4">
        <v>0</v>
      </c>
      <c r="O18" s="4">
        <v>0</v>
      </c>
      <c r="P18" s="17"/>
    </row>
    <row r="19" spans="1:16" x14ac:dyDescent="0.25">
      <c r="A19" s="6" t="s">
        <v>12</v>
      </c>
      <c r="B19" s="4">
        <v>1100</v>
      </c>
      <c r="C19" s="4">
        <v>3.95</v>
      </c>
      <c r="D19" s="4">
        <v>100.4</v>
      </c>
      <c r="E19" s="4">
        <v>2029</v>
      </c>
      <c r="F19" s="4">
        <v>900</v>
      </c>
      <c r="G19" s="4">
        <v>0</v>
      </c>
      <c r="H19" s="4">
        <v>0</v>
      </c>
      <c r="I19" s="4">
        <v>1016</v>
      </c>
      <c r="J19" s="4">
        <v>321</v>
      </c>
      <c r="K19" s="4">
        <v>104</v>
      </c>
      <c r="L19" s="4">
        <v>0</v>
      </c>
      <c r="M19" s="4">
        <v>0</v>
      </c>
      <c r="N19" s="4">
        <v>400</v>
      </c>
      <c r="O19" s="4">
        <v>160</v>
      </c>
      <c r="P19" s="17"/>
    </row>
    <row r="20" spans="1:16" x14ac:dyDescent="0.25">
      <c r="A20" s="6" t="s">
        <v>13</v>
      </c>
      <c r="B20" s="4">
        <v>287.5</v>
      </c>
      <c r="C20" s="4">
        <v>0</v>
      </c>
      <c r="D20" s="4">
        <v>0</v>
      </c>
      <c r="E20" s="4">
        <v>333</v>
      </c>
      <c r="F20" s="4">
        <v>0</v>
      </c>
      <c r="G20" s="4">
        <v>0</v>
      </c>
      <c r="H20" s="4">
        <v>0</v>
      </c>
      <c r="I20" s="4">
        <v>0</v>
      </c>
      <c r="J20" s="4">
        <v>1655</v>
      </c>
      <c r="K20" s="4">
        <v>0</v>
      </c>
      <c r="L20" s="4">
        <v>0</v>
      </c>
      <c r="M20" s="4">
        <v>0</v>
      </c>
      <c r="N20" s="4">
        <v>0</v>
      </c>
      <c r="O20" s="4">
        <v>0</v>
      </c>
      <c r="P20" s="17"/>
    </row>
    <row r="21" spans="1:16" x14ac:dyDescent="0.25">
      <c r="A21" s="6" t="s">
        <v>15</v>
      </c>
      <c r="B21" s="4">
        <v>500</v>
      </c>
      <c r="C21" s="4">
        <v>0</v>
      </c>
      <c r="D21" s="4">
        <v>0</v>
      </c>
      <c r="E21" s="4">
        <v>1000</v>
      </c>
      <c r="F21" s="4">
        <v>0</v>
      </c>
      <c r="G21" s="4">
        <v>0</v>
      </c>
      <c r="H21" s="4">
        <v>0</v>
      </c>
      <c r="I21" s="4">
        <v>0</v>
      </c>
      <c r="J21" s="4">
        <v>0</v>
      </c>
      <c r="K21" s="4">
        <v>0</v>
      </c>
      <c r="L21" s="4">
        <v>0</v>
      </c>
      <c r="M21" s="4">
        <v>0</v>
      </c>
      <c r="N21" s="4">
        <v>0</v>
      </c>
      <c r="O21" s="4">
        <v>0</v>
      </c>
      <c r="P21" s="17"/>
    </row>
    <row r="22" spans="1:16" x14ac:dyDescent="0.25">
      <c r="A22" s="6" t="s">
        <v>16</v>
      </c>
      <c r="B22" s="4">
        <v>500</v>
      </c>
      <c r="C22" s="4">
        <v>0</v>
      </c>
      <c r="D22" s="4">
        <v>0</v>
      </c>
      <c r="E22" s="4">
        <v>1000</v>
      </c>
      <c r="F22" s="4">
        <v>0</v>
      </c>
      <c r="G22" s="4">
        <v>0</v>
      </c>
      <c r="H22" s="4">
        <v>0</v>
      </c>
      <c r="I22" s="4">
        <v>0</v>
      </c>
      <c r="J22" s="4">
        <v>0</v>
      </c>
      <c r="K22" s="4">
        <v>0</v>
      </c>
      <c r="L22" s="4">
        <v>0</v>
      </c>
      <c r="M22" s="4">
        <v>0</v>
      </c>
      <c r="N22" s="4">
        <v>0</v>
      </c>
      <c r="O22" s="4">
        <v>0</v>
      </c>
      <c r="P22" s="17"/>
    </row>
    <row r="23" spans="1:16" x14ac:dyDescent="0.25">
      <c r="A23" s="6" t="s">
        <v>17</v>
      </c>
      <c r="B23" s="4">
        <v>4000</v>
      </c>
      <c r="C23" s="4">
        <v>0</v>
      </c>
      <c r="D23" s="4">
        <v>0</v>
      </c>
      <c r="E23" s="4">
        <v>3500</v>
      </c>
      <c r="F23" s="4">
        <v>0</v>
      </c>
      <c r="G23" s="4">
        <v>0</v>
      </c>
      <c r="H23" s="4">
        <v>0</v>
      </c>
      <c r="I23" s="4">
        <v>0</v>
      </c>
      <c r="J23" s="4">
        <v>0</v>
      </c>
      <c r="K23" s="4">
        <v>0</v>
      </c>
      <c r="L23" s="4">
        <v>0</v>
      </c>
      <c r="M23" s="4">
        <v>0</v>
      </c>
      <c r="N23" s="4">
        <v>0</v>
      </c>
      <c r="O23" s="4">
        <v>0</v>
      </c>
      <c r="P23" s="17"/>
    </row>
    <row r="24" spans="1:16" x14ac:dyDescent="0.25">
      <c r="A24" s="6" t="s">
        <v>18</v>
      </c>
      <c r="B24" s="4">
        <v>4000</v>
      </c>
      <c r="C24" s="4">
        <v>0</v>
      </c>
      <c r="D24" s="4">
        <v>0</v>
      </c>
      <c r="E24" s="4">
        <v>3500</v>
      </c>
      <c r="F24" s="4">
        <v>0</v>
      </c>
      <c r="G24" s="4">
        <v>0</v>
      </c>
      <c r="H24" s="4">
        <v>0</v>
      </c>
      <c r="I24" s="4">
        <v>0</v>
      </c>
      <c r="J24" s="4">
        <v>0</v>
      </c>
      <c r="K24" s="4">
        <v>0</v>
      </c>
      <c r="L24" s="4">
        <v>0</v>
      </c>
      <c r="M24" s="4">
        <v>0</v>
      </c>
      <c r="N24" s="4">
        <v>0</v>
      </c>
      <c r="O24" s="4">
        <v>0</v>
      </c>
      <c r="P24" s="17"/>
    </row>
    <row r="25" spans="1:16" x14ac:dyDescent="0.25">
      <c r="A25" s="6" t="s">
        <v>19</v>
      </c>
      <c r="B25" s="4">
        <v>500</v>
      </c>
      <c r="C25" s="4">
        <v>0</v>
      </c>
      <c r="D25" s="4">
        <v>0</v>
      </c>
      <c r="E25" s="4">
        <v>1000</v>
      </c>
      <c r="F25" s="4">
        <v>0</v>
      </c>
      <c r="G25" s="4">
        <v>0</v>
      </c>
      <c r="H25" s="4">
        <v>0</v>
      </c>
      <c r="I25" s="4">
        <v>0</v>
      </c>
      <c r="J25" s="4">
        <v>0</v>
      </c>
      <c r="K25" s="4">
        <v>0</v>
      </c>
      <c r="L25" s="4">
        <v>0</v>
      </c>
      <c r="M25" s="4">
        <v>0</v>
      </c>
      <c r="N25" s="4">
        <v>0</v>
      </c>
      <c r="O25" s="4">
        <v>0</v>
      </c>
      <c r="P25" s="17"/>
    </row>
    <row r="26" spans="1:16" x14ac:dyDescent="0.25">
      <c r="A26" s="6" t="s">
        <v>20</v>
      </c>
      <c r="B26" s="4">
        <v>5000</v>
      </c>
      <c r="C26" s="4">
        <v>0</v>
      </c>
      <c r="D26" s="4">
        <v>0</v>
      </c>
      <c r="E26" s="4">
        <v>1000</v>
      </c>
      <c r="F26" s="4">
        <v>0</v>
      </c>
      <c r="G26" s="4">
        <v>0</v>
      </c>
      <c r="H26" s="4">
        <v>0</v>
      </c>
      <c r="I26" s="4">
        <v>0</v>
      </c>
      <c r="J26" s="4">
        <v>0</v>
      </c>
      <c r="K26" s="4">
        <v>0</v>
      </c>
      <c r="L26" s="4">
        <v>0</v>
      </c>
      <c r="M26" s="4">
        <v>0</v>
      </c>
      <c r="N26" s="4">
        <v>0</v>
      </c>
      <c r="O26" s="4">
        <v>0</v>
      </c>
      <c r="P26" s="17"/>
    </row>
    <row r="27" spans="1:16" x14ac:dyDescent="0.25">
      <c r="A27" s="6" t="s">
        <v>21</v>
      </c>
      <c r="B27" s="4">
        <v>5000</v>
      </c>
      <c r="C27" s="4">
        <v>0</v>
      </c>
      <c r="D27" s="4">
        <v>0</v>
      </c>
      <c r="E27" s="4">
        <v>1000</v>
      </c>
      <c r="F27" s="4">
        <v>0</v>
      </c>
      <c r="G27" s="4">
        <v>0</v>
      </c>
      <c r="H27" s="4">
        <v>0</v>
      </c>
      <c r="I27" s="4">
        <v>0</v>
      </c>
      <c r="J27" s="4">
        <v>0</v>
      </c>
      <c r="K27" s="4">
        <v>0</v>
      </c>
      <c r="L27" s="4">
        <v>0</v>
      </c>
      <c r="M27" s="4">
        <v>0</v>
      </c>
      <c r="N27" s="4">
        <v>0</v>
      </c>
      <c r="O27" s="4">
        <v>0</v>
      </c>
      <c r="P27" s="17"/>
    </row>
    <row r="28" spans="1:16" x14ac:dyDescent="0.25">
      <c r="A28" s="6" t="s">
        <v>22</v>
      </c>
      <c r="B28" s="4">
        <v>5000</v>
      </c>
      <c r="C28" s="4">
        <v>0</v>
      </c>
      <c r="D28" s="4">
        <v>0</v>
      </c>
      <c r="E28" s="4">
        <v>1000</v>
      </c>
      <c r="F28" s="4">
        <v>0</v>
      </c>
      <c r="G28" s="4">
        <v>0</v>
      </c>
      <c r="H28" s="4">
        <v>0</v>
      </c>
      <c r="I28" s="4">
        <v>0</v>
      </c>
      <c r="J28" s="4">
        <v>0</v>
      </c>
      <c r="K28" s="4">
        <v>0</v>
      </c>
      <c r="L28" s="4">
        <v>0</v>
      </c>
      <c r="M28" s="4">
        <v>0</v>
      </c>
      <c r="N28" s="4">
        <v>0</v>
      </c>
      <c r="O28" s="4">
        <v>0</v>
      </c>
      <c r="P28" s="17"/>
    </row>
    <row r="29" spans="1:16" x14ac:dyDescent="0.25">
      <c r="A29" s="6" t="s">
        <v>23</v>
      </c>
      <c r="B29" s="4">
        <v>5000</v>
      </c>
      <c r="C29" s="4">
        <v>0</v>
      </c>
      <c r="D29" s="4">
        <v>0</v>
      </c>
      <c r="E29" s="4">
        <v>1000</v>
      </c>
      <c r="F29" s="4">
        <v>0</v>
      </c>
      <c r="G29" s="4">
        <v>0</v>
      </c>
      <c r="H29" s="4">
        <v>0</v>
      </c>
      <c r="I29" s="4">
        <v>0</v>
      </c>
      <c r="J29" s="4">
        <v>0</v>
      </c>
      <c r="K29" s="4">
        <v>0</v>
      </c>
      <c r="L29" s="4">
        <v>0</v>
      </c>
      <c r="M29" s="4">
        <v>0</v>
      </c>
      <c r="N29" s="4">
        <v>0</v>
      </c>
      <c r="O29" s="4">
        <v>0</v>
      </c>
      <c r="P29" s="17"/>
    </row>
    <row r="30" spans="1:16" x14ac:dyDescent="0.25">
      <c r="A30" s="6" t="s">
        <v>24</v>
      </c>
      <c r="B30" s="4">
        <v>5000</v>
      </c>
      <c r="C30" s="4">
        <v>0</v>
      </c>
      <c r="D30" s="4">
        <v>0</v>
      </c>
      <c r="E30" s="4">
        <v>1000</v>
      </c>
      <c r="F30" s="4">
        <v>0</v>
      </c>
      <c r="G30" s="4">
        <v>0</v>
      </c>
      <c r="H30" s="4">
        <v>0</v>
      </c>
      <c r="I30" s="4">
        <v>0</v>
      </c>
      <c r="J30" s="4">
        <v>0</v>
      </c>
      <c r="K30" s="4">
        <v>0</v>
      </c>
      <c r="L30" s="4">
        <v>0</v>
      </c>
      <c r="M30" s="4">
        <v>0</v>
      </c>
      <c r="N30" s="4">
        <v>0</v>
      </c>
      <c r="O30" s="4">
        <v>0</v>
      </c>
      <c r="P30" s="17"/>
    </row>
    <row r="31" spans="1:16" x14ac:dyDescent="0.25">
      <c r="A31" s="6" t="s">
        <v>25</v>
      </c>
      <c r="B31" s="4">
        <v>5000</v>
      </c>
      <c r="C31" s="4">
        <v>0</v>
      </c>
      <c r="D31" s="4">
        <v>0</v>
      </c>
      <c r="E31" s="4">
        <v>1000</v>
      </c>
      <c r="F31" s="4">
        <v>0</v>
      </c>
      <c r="G31" s="4">
        <v>0</v>
      </c>
      <c r="H31" s="4">
        <v>0</v>
      </c>
      <c r="I31" s="4">
        <v>0</v>
      </c>
      <c r="J31" s="4">
        <v>0</v>
      </c>
      <c r="K31" s="4">
        <v>0</v>
      </c>
      <c r="L31" s="4">
        <v>0</v>
      </c>
      <c r="M31" s="4">
        <v>0</v>
      </c>
      <c r="N31" s="4">
        <v>0</v>
      </c>
      <c r="O31" s="4">
        <v>0</v>
      </c>
      <c r="P31" s="17"/>
    </row>
    <row r="32" spans="1:16" x14ac:dyDescent="0.25">
      <c r="A32" s="10" t="s">
        <v>61</v>
      </c>
      <c r="B32" s="4">
        <v>0</v>
      </c>
      <c r="C32" s="4">
        <v>0</v>
      </c>
      <c r="D32" s="4">
        <v>0</v>
      </c>
      <c r="E32" s="4">
        <v>10000</v>
      </c>
      <c r="F32" s="4">
        <v>0</v>
      </c>
      <c r="G32" s="4">
        <v>0</v>
      </c>
      <c r="H32" s="4">
        <v>0</v>
      </c>
      <c r="I32" s="4">
        <v>0</v>
      </c>
      <c r="J32" s="4">
        <v>0</v>
      </c>
      <c r="K32" s="4">
        <v>0</v>
      </c>
      <c r="L32" s="4">
        <v>0</v>
      </c>
      <c r="M32" s="4">
        <v>0</v>
      </c>
      <c r="N32" s="4">
        <v>0</v>
      </c>
      <c r="O32" s="4">
        <v>0</v>
      </c>
      <c r="P32" s="18"/>
    </row>
    <row r="33" spans="16:16" x14ac:dyDescent="0.25">
      <c r="P33"/>
    </row>
    <row r="34" spans="16:16" x14ac:dyDescent="0.25">
      <c r="P34"/>
    </row>
    <row r="35" spans="16:16" x14ac:dyDescent="0.25">
      <c r="P35"/>
    </row>
    <row r="36" spans="16:16" x14ac:dyDescent="0.25">
      <c r="P36"/>
    </row>
    <row r="37" spans="16:16" x14ac:dyDescent="0.25">
      <c r="P37"/>
    </row>
    <row r="38" spans="16:16" x14ac:dyDescent="0.25">
      <c r="P38"/>
    </row>
    <row r="39" spans="16:16" x14ac:dyDescent="0.25">
      <c r="P39"/>
    </row>
    <row r="40" spans="16:16" x14ac:dyDescent="0.25">
      <c r="P40"/>
    </row>
    <row r="41" spans="16:16" x14ac:dyDescent="0.25">
      <c r="P41"/>
    </row>
    <row r="42" spans="16:16" x14ac:dyDescent="0.25">
      <c r="P42"/>
    </row>
    <row r="43" spans="16:16" x14ac:dyDescent="0.25">
      <c r="P43"/>
    </row>
    <row r="44" spans="16:16" x14ac:dyDescent="0.25">
      <c r="P44"/>
    </row>
    <row r="45" spans="16:16" x14ac:dyDescent="0.25">
      <c r="P45"/>
    </row>
    <row r="46" spans="16:16" x14ac:dyDescent="0.25">
      <c r="P46"/>
    </row>
    <row r="47" spans="16:16" x14ac:dyDescent="0.25">
      <c r="P47"/>
    </row>
    <row r="48" spans="16:16" x14ac:dyDescent="0.25">
      <c r="P48"/>
    </row>
    <row r="49" spans="16:16" x14ac:dyDescent="0.25">
      <c r="P49"/>
    </row>
    <row r="50" spans="16:16" x14ac:dyDescent="0.25">
      <c r="P50"/>
    </row>
    <row r="51" spans="16:16" x14ac:dyDescent="0.25">
      <c r="P51"/>
    </row>
    <row r="52" spans="16:16" x14ac:dyDescent="0.25">
      <c r="P52"/>
    </row>
    <row r="53" spans="16:16" x14ac:dyDescent="0.25">
      <c r="P53"/>
    </row>
    <row r="54" spans="16:16" x14ac:dyDescent="0.25">
      <c r="P54"/>
    </row>
    <row r="55" spans="16:16" x14ac:dyDescent="0.25">
      <c r="P55"/>
    </row>
    <row r="56" spans="16:16" x14ac:dyDescent="0.25">
      <c r="P56"/>
    </row>
    <row r="57" spans="16:16" x14ac:dyDescent="0.25">
      <c r="P57"/>
    </row>
    <row r="58" spans="16:16" x14ac:dyDescent="0.25">
      <c r="P58"/>
    </row>
    <row r="59" spans="16:16" x14ac:dyDescent="0.25">
      <c r="P59"/>
    </row>
    <row r="60" spans="16:16" x14ac:dyDescent="0.25">
      <c r="P60"/>
    </row>
    <row r="61" spans="16:16" x14ac:dyDescent="0.25">
      <c r="P61"/>
    </row>
    <row r="62" spans="16:16" x14ac:dyDescent="0.25">
      <c r="P62"/>
    </row>
    <row r="63" spans="16:16" x14ac:dyDescent="0.25">
      <c r="P63"/>
    </row>
    <row r="64" spans="16:16" x14ac:dyDescent="0.25">
      <c r="P64"/>
    </row>
    <row r="65" spans="16:16" x14ac:dyDescent="0.25">
      <c r="P65"/>
    </row>
    <row r="66" spans="16:16" x14ac:dyDescent="0.25">
      <c r="P66"/>
    </row>
    <row r="67" spans="16:16" x14ac:dyDescent="0.25">
      <c r="P67"/>
    </row>
    <row r="68" spans="16:16" x14ac:dyDescent="0.25">
      <c r="P68"/>
    </row>
    <row r="69" spans="16:16" x14ac:dyDescent="0.25">
      <c r="P69"/>
    </row>
    <row r="70" spans="16:16" x14ac:dyDescent="0.25">
      <c r="P70"/>
    </row>
    <row r="71" spans="16:16" x14ac:dyDescent="0.25">
      <c r="P71"/>
    </row>
    <row r="72" spans="16:16" x14ac:dyDescent="0.25">
      <c r="P72"/>
    </row>
    <row r="73" spans="16:16" x14ac:dyDescent="0.25">
      <c r="P73"/>
    </row>
    <row r="74" spans="16:16" x14ac:dyDescent="0.25">
      <c r="P74"/>
    </row>
    <row r="75" spans="16:16" x14ac:dyDescent="0.25">
      <c r="P75"/>
    </row>
    <row r="76" spans="16:16" x14ac:dyDescent="0.25">
      <c r="P76"/>
    </row>
    <row r="77" spans="16:16" x14ac:dyDescent="0.25">
      <c r="P77"/>
    </row>
    <row r="78" spans="16:16" x14ac:dyDescent="0.25">
      <c r="P78"/>
    </row>
    <row r="79" spans="16:16" x14ac:dyDescent="0.25">
      <c r="P79"/>
    </row>
    <row r="80" spans="16:16" x14ac:dyDescent="0.25">
      <c r="P80"/>
    </row>
    <row r="81" spans="16:16" x14ac:dyDescent="0.25">
      <c r="P81"/>
    </row>
    <row r="82" spans="16:16" x14ac:dyDescent="0.25">
      <c r="P82"/>
    </row>
    <row r="83" spans="16:16" x14ac:dyDescent="0.25">
      <c r="P83"/>
    </row>
    <row r="84" spans="16:16" x14ac:dyDescent="0.25">
      <c r="P84"/>
    </row>
    <row r="85" spans="16:16" x14ac:dyDescent="0.25">
      <c r="P85"/>
    </row>
    <row r="86" spans="16:16" x14ac:dyDescent="0.25">
      <c r="P86"/>
    </row>
    <row r="87" spans="16:16" x14ac:dyDescent="0.25">
      <c r="P87"/>
    </row>
    <row r="88" spans="16:16" x14ac:dyDescent="0.25">
      <c r="P88"/>
    </row>
    <row r="89" spans="16:16" x14ac:dyDescent="0.25">
      <c r="P89"/>
    </row>
    <row r="90" spans="16:16" x14ac:dyDescent="0.25">
      <c r="P90"/>
    </row>
    <row r="91" spans="16:16" x14ac:dyDescent="0.25">
      <c r="P91"/>
    </row>
    <row r="92" spans="16:16" x14ac:dyDescent="0.25">
      <c r="P92"/>
    </row>
    <row r="93" spans="16:16" x14ac:dyDescent="0.25">
      <c r="P93"/>
    </row>
    <row r="94" spans="16:16" x14ac:dyDescent="0.25">
      <c r="P94"/>
    </row>
    <row r="95" spans="16:16" x14ac:dyDescent="0.25">
      <c r="P95"/>
    </row>
    <row r="96" spans="16:16" x14ac:dyDescent="0.25">
      <c r="P96"/>
    </row>
    <row r="97" spans="16:16" x14ac:dyDescent="0.25">
      <c r="P97"/>
    </row>
    <row r="98" spans="16:16" x14ac:dyDescent="0.25">
      <c r="P98"/>
    </row>
    <row r="99" spans="16:16" x14ac:dyDescent="0.25">
      <c r="P99"/>
    </row>
    <row r="100" spans="16:16" x14ac:dyDescent="0.25">
      <c r="P100"/>
    </row>
    <row r="101" spans="16:16" x14ac:dyDescent="0.25">
      <c r="P101"/>
    </row>
    <row r="102" spans="16:16" x14ac:dyDescent="0.25">
      <c r="P102"/>
    </row>
    <row r="103" spans="16:16" x14ac:dyDescent="0.25">
      <c r="P103"/>
    </row>
    <row r="104" spans="16:16" x14ac:dyDescent="0.25">
      <c r="P104"/>
    </row>
    <row r="105" spans="16:16" x14ac:dyDescent="0.25">
      <c r="P105"/>
    </row>
    <row r="106" spans="16:16" x14ac:dyDescent="0.25">
      <c r="P106"/>
    </row>
    <row r="107" spans="16:16" x14ac:dyDescent="0.25">
      <c r="P107"/>
    </row>
    <row r="108" spans="16:16" x14ac:dyDescent="0.25">
      <c r="P108"/>
    </row>
    <row r="109" spans="16:16" x14ac:dyDescent="0.25">
      <c r="P109"/>
    </row>
    <row r="110" spans="16:16" x14ac:dyDescent="0.25">
      <c r="P110"/>
    </row>
    <row r="111" spans="16:16" x14ac:dyDescent="0.25">
      <c r="P111"/>
    </row>
    <row r="112" spans="16:16" x14ac:dyDescent="0.25">
      <c r="P112"/>
    </row>
    <row r="113" spans="16:16" x14ac:dyDescent="0.25">
      <c r="P113"/>
    </row>
    <row r="114" spans="16:16" x14ac:dyDescent="0.25">
      <c r="P114"/>
    </row>
    <row r="115" spans="16:16" x14ac:dyDescent="0.25">
      <c r="P115"/>
    </row>
    <row r="116" spans="16:16" x14ac:dyDescent="0.25">
      <c r="P116"/>
    </row>
    <row r="117" spans="16:16" x14ac:dyDescent="0.25">
      <c r="P117"/>
    </row>
    <row r="118" spans="16:16" x14ac:dyDescent="0.25">
      <c r="P118"/>
    </row>
    <row r="119" spans="16:16" x14ac:dyDescent="0.25">
      <c r="P119"/>
    </row>
    <row r="120" spans="16:16" x14ac:dyDescent="0.25">
      <c r="P120"/>
    </row>
    <row r="121" spans="16:16" x14ac:dyDescent="0.25">
      <c r="P121"/>
    </row>
    <row r="122" spans="16:16" x14ac:dyDescent="0.25">
      <c r="P122"/>
    </row>
    <row r="123" spans="16:16" x14ac:dyDescent="0.25">
      <c r="P123"/>
    </row>
    <row r="124" spans="16:16" x14ac:dyDescent="0.25">
      <c r="P124"/>
    </row>
    <row r="125" spans="16:16" x14ac:dyDescent="0.25">
      <c r="P125"/>
    </row>
    <row r="126" spans="16:16" x14ac:dyDescent="0.25">
      <c r="P126"/>
    </row>
    <row r="127" spans="16:16" x14ac:dyDescent="0.25">
      <c r="P127"/>
    </row>
    <row r="128" spans="16:16" x14ac:dyDescent="0.25">
      <c r="P128"/>
    </row>
    <row r="129" spans="16:16" x14ac:dyDescent="0.25">
      <c r="P129"/>
    </row>
    <row r="130" spans="16:16" x14ac:dyDescent="0.25">
      <c r="P130"/>
    </row>
    <row r="131" spans="16:16" x14ac:dyDescent="0.25">
      <c r="P131"/>
    </row>
    <row r="132" spans="16:16" x14ac:dyDescent="0.25">
      <c r="P132"/>
    </row>
    <row r="133" spans="16:16" x14ac:dyDescent="0.25">
      <c r="P133"/>
    </row>
    <row r="134" spans="16:16" x14ac:dyDescent="0.25">
      <c r="P134"/>
    </row>
    <row r="135" spans="16:16" x14ac:dyDescent="0.25">
      <c r="P135"/>
    </row>
    <row r="136" spans="16:16" x14ac:dyDescent="0.25">
      <c r="P136"/>
    </row>
    <row r="137" spans="16:16" x14ac:dyDescent="0.25">
      <c r="P137"/>
    </row>
    <row r="138" spans="16:16" x14ac:dyDescent="0.25">
      <c r="P138"/>
    </row>
    <row r="139" spans="16:16" x14ac:dyDescent="0.25">
      <c r="P139"/>
    </row>
    <row r="140" spans="16:16" x14ac:dyDescent="0.25">
      <c r="P140"/>
    </row>
    <row r="141" spans="16:16" x14ac:dyDescent="0.25">
      <c r="P141"/>
    </row>
    <row r="142" spans="16:16" x14ac:dyDescent="0.25">
      <c r="P142"/>
    </row>
    <row r="143" spans="16:16" x14ac:dyDescent="0.25">
      <c r="P143"/>
    </row>
    <row r="144" spans="16:16" x14ac:dyDescent="0.25">
      <c r="P144"/>
    </row>
    <row r="145" spans="16:16" x14ac:dyDescent="0.25">
      <c r="P145"/>
    </row>
    <row r="146" spans="16:16" x14ac:dyDescent="0.25">
      <c r="P146"/>
    </row>
    <row r="147" spans="16:16" x14ac:dyDescent="0.25">
      <c r="P147"/>
    </row>
    <row r="148" spans="16:16" x14ac:dyDescent="0.25">
      <c r="P148"/>
    </row>
    <row r="149" spans="16:16" x14ac:dyDescent="0.25">
      <c r="P149"/>
    </row>
    <row r="150" spans="16:16" x14ac:dyDescent="0.25">
      <c r="P150"/>
    </row>
    <row r="151" spans="16:16" x14ac:dyDescent="0.25">
      <c r="P151"/>
    </row>
    <row r="152" spans="16:16" x14ac:dyDescent="0.25">
      <c r="P152"/>
    </row>
    <row r="153" spans="16:16" x14ac:dyDescent="0.25">
      <c r="P153"/>
    </row>
    <row r="154" spans="16:16" x14ac:dyDescent="0.25">
      <c r="P154"/>
    </row>
    <row r="155" spans="16:16" x14ac:dyDescent="0.25">
      <c r="P155"/>
    </row>
    <row r="156" spans="16:16" x14ac:dyDescent="0.25">
      <c r="P156"/>
    </row>
    <row r="157" spans="16:16" x14ac:dyDescent="0.25">
      <c r="P157"/>
    </row>
    <row r="158" spans="16:16" x14ac:dyDescent="0.25">
      <c r="P158"/>
    </row>
    <row r="159" spans="16:16" x14ac:dyDescent="0.25">
      <c r="P159"/>
    </row>
    <row r="160" spans="16:16" x14ac:dyDescent="0.25">
      <c r="P160"/>
    </row>
    <row r="161" spans="16:16" x14ac:dyDescent="0.25">
      <c r="P161"/>
    </row>
    <row r="162" spans="16:16" x14ac:dyDescent="0.25">
      <c r="P162"/>
    </row>
    <row r="163" spans="16:16" x14ac:dyDescent="0.25">
      <c r="P163"/>
    </row>
    <row r="164" spans="16:16" x14ac:dyDescent="0.25">
      <c r="P164"/>
    </row>
    <row r="165" spans="16:16" x14ac:dyDescent="0.25">
      <c r="P165"/>
    </row>
    <row r="166" spans="16:16" x14ac:dyDescent="0.25">
      <c r="P166"/>
    </row>
    <row r="167" spans="16:16" x14ac:dyDescent="0.25">
      <c r="P167"/>
    </row>
    <row r="168" spans="16:16" x14ac:dyDescent="0.25">
      <c r="P168"/>
    </row>
    <row r="169" spans="16:16" x14ac:dyDescent="0.25">
      <c r="P169"/>
    </row>
    <row r="170" spans="16:16" x14ac:dyDescent="0.25">
      <c r="P170"/>
    </row>
    <row r="171" spans="16:16" x14ac:dyDescent="0.25">
      <c r="P171"/>
    </row>
    <row r="172" spans="16:16" x14ac:dyDescent="0.25">
      <c r="P172"/>
    </row>
    <row r="173" spans="16:16" x14ac:dyDescent="0.25">
      <c r="P173"/>
    </row>
    <row r="174" spans="16:16" x14ac:dyDescent="0.25">
      <c r="P174"/>
    </row>
    <row r="175" spans="16:16" x14ac:dyDescent="0.25">
      <c r="P175"/>
    </row>
    <row r="176" spans="16:16" x14ac:dyDescent="0.25">
      <c r="P176"/>
    </row>
    <row r="177" spans="16:16" x14ac:dyDescent="0.25">
      <c r="P177"/>
    </row>
    <row r="178" spans="16:16" x14ac:dyDescent="0.25">
      <c r="P178"/>
    </row>
    <row r="179" spans="16:16" x14ac:dyDescent="0.25">
      <c r="P179"/>
    </row>
    <row r="180" spans="16:16" x14ac:dyDescent="0.25">
      <c r="P180"/>
    </row>
    <row r="181" spans="16:16" x14ac:dyDescent="0.25">
      <c r="P181"/>
    </row>
    <row r="182" spans="16:16" x14ac:dyDescent="0.25">
      <c r="P182"/>
    </row>
    <row r="183" spans="16:16" x14ac:dyDescent="0.25">
      <c r="P183"/>
    </row>
    <row r="184" spans="16:16" x14ac:dyDescent="0.25">
      <c r="P184"/>
    </row>
    <row r="185" spans="16:16" x14ac:dyDescent="0.25">
      <c r="P185"/>
    </row>
    <row r="186" spans="16:16" x14ac:dyDescent="0.25">
      <c r="P186"/>
    </row>
    <row r="187" spans="16:16" x14ac:dyDescent="0.25">
      <c r="P187"/>
    </row>
    <row r="188" spans="16:16" x14ac:dyDescent="0.25">
      <c r="P188"/>
    </row>
    <row r="189" spans="16:16" x14ac:dyDescent="0.25">
      <c r="P189"/>
    </row>
    <row r="190" spans="16:16" x14ac:dyDescent="0.25">
      <c r="P190"/>
    </row>
    <row r="191" spans="16:16" x14ac:dyDescent="0.25">
      <c r="P191"/>
    </row>
    <row r="192" spans="16:16" x14ac:dyDescent="0.25">
      <c r="P192"/>
    </row>
    <row r="193" spans="16:16" x14ac:dyDescent="0.25">
      <c r="P193"/>
    </row>
    <row r="194" spans="16:16" x14ac:dyDescent="0.25">
      <c r="P194"/>
    </row>
    <row r="195" spans="16:16" x14ac:dyDescent="0.25">
      <c r="P195"/>
    </row>
    <row r="196" spans="16:16" x14ac:dyDescent="0.25">
      <c r="P196"/>
    </row>
    <row r="197" spans="16:16" x14ac:dyDescent="0.25">
      <c r="P197"/>
    </row>
    <row r="198" spans="16:16" x14ac:dyDescent="0.25">
      <c r="P198"/>
    </row>
    <row r="199" spans="16:16" x14ac:dyDescent="0.25">
      <c r="P199"/>
    </row>
    <row r="200" spans="16:16" x14ac:dyDescent="0.25">
      <c r="P200"/>
    </row>
    <row r="201" spans="16:16" x14ac:dyDescent="0.25">
      <c r="P201"/>
    </row>
    <row r="202" spans="16:16" x14ac:dyDescent="0.25">
      <c r="P202"/>
    </row>
    <row r="203" spans="16:16" x14ac:dyDescent="0.25">
      <c r="P203"/>
    </row>
    <row r="204" spans="16:16" x14ac:dyDescent="0.25">
      <c r="P204"/>
    </row>
    <row r="205" spans="16:16" x14ac:dyDescent="0.25">
      <c r="P205"/>
    </row>
    <row r="206" spans="16:16" x14ac:dyDescent="0.25">
      <c r="P206"/>
    </row>
    <row r="207" spans="16:16" x14ac:dyDescent="0.25">
      <c r="P207"/>
    </row>
    <row r="208" spans="16:16" x14ac:dyDescent="0.25">
      <c r="P208"/>
    </row>
    <row r="209" spans="16:16" x14ac:dyDescent="0.25">
      <c r="P209"/>
    </row>
    <row r="210" spans="16:16" x14ac:dyDescent="0.25">
      <c r="P210"/>
    </row>
    <row r="211" spans="16:16" x14ac:dyDescent="0.25">
      <c r="P211"/>
    </row>
    <row r="212" spans="16:16" x14ac:dyDescent="0.25">
      <c r="P212"/>
    </row>
    <row r="213" spans="16:16" x14ac:dyDescent="0.25">
      <c r="P213"/>
    </row>
    <row r="214" spans="16:16" x14ac:dyDescent="0.25">
      <c r="P214"/>
    </row>
    <row r="215" spans="16:16" x14ac:dyDescent="0.25">
      <c r="P215"/>
    </row>
    <row r="216" spans="16:16" x14ac:dyDescent="0.25">
      <c r="P216"/>
    </row>
    <row r="217" spans="16:16" x14ac:dyDescent="0.25">
      <c r="P217"/>
    </row>
    <row r="218" spans="16:16" x14ac:dyDescent="0.25">
      <c r="P218"/>
    </row>
    <row r="219" spans="16:16" x14ac:dyDescent="0.25">
      <c r="P219"/>
    </row>
    <row r="220" spans="16:16" x14ac:dyDescent="0.25">
      <c r="P220"/>
    </row>
    <row r="221" spans="16:16" x14ac:dyDescent="0.25">
      <c r="P221"/>
    </row>
    <row r="222" spans="16:16" x14ac:dyDescent="0.25">
      <c r="P222"/>
    </row>
    <row r="223" spans="16:16" x14ac:dyDescent="0.25">
      <c r="P223"/>
    </row>
    <row r="224" spans="16:16" x14ac:dyDescent="0.25">
      <c r="P224"/>
    </row>
    <row r="225" spans="16:16" x14ac:dyDescent="0.25">
      <c r="P225"/>
    </row>
    <row r="226" spans="16:16" x14ac:dyDescent="0.25">
      <c r="P226"/>
    </row>
    <row r="227" spans="16:16" x14ac:dyDescent="0.25">
      <c r="P227"/>
    </row>
    <row r="228" spans="16:16" x14ac:dyDescent="0.25">
      <c r="P228"/>
    </row>
    <row r="229" spans="16:16" x14ac:dyDescent="0.25">
      <c r="P229"/>
    </row>
    <row r="230" spans="16:16" x14ac:dyDescent="0.25">
      <c r="P230"/>
    </row>
    <row r="231" spans="16:16" x14ac:dyDescent="0.25">
      <c r="P231"/>
    </row>
    <row r="232" spans="16:16" x14ac:dyDescent="0.25">
      <c r="P232"/>
    </row>
    <row r="233" spans="16:16" x14ac:dyDescent="0.25">
      <c r="P233"/>
    </row>
    <row r="234" spans="16:16" x14ac:dyDescent="0.25">
      <c r="P234"/>
    </row>
    <row r="235" spans="16:16" x14ac:dyDescent="0.25">
      <c r="P235"/>
    </row>
    <row r="236" spans="16:16" x14ac:dyDescent="0.25">
      <c r="P236"/>
    </row>
    <row r="237" spans="16:16" x14ac:dyDescent="0.25">
      <c r="P237"/>
    </row>
    <row r="238" spans="16:16" x14ac:dyDescent="0.25">
      <c r="P238"/>
    </row>
    <row r="239" spans="16:16" x14ac:dyDescent="0.25">
      <c r="P239"/>
    </row>
    <row r="240" spans="16:16" x14ac:dyDescent="0.25">
      <c r="P240"/>
    </row>
    <row r="241" spans="16:16" x14ac:dyDescent="0.25">
      <c r="P241"/>
    </row>
    <row r="242" spans="16:16" x14ac:dyDescent="0.25">
      <c r="P242"/>
    </row>
    <row r="243" spans="16:16" x14ac:dyDescent="0.25">
      <c r="P243"/>
    </row>
    <row r="244" spans="16:16" x14ac:dyDescent="0.25">
      <c r="P244"/>
    </row>
    <row r="245" spans="16:16" x14ac:dyDescent="0.25">
      <c r="P245"/>
    </row>
    <row r="246" spans="16:16" x14ac:dyDescent="0.25">
      <c r="P246"/>
    </row>
    <row r="247" spans="16:16" x14ac:dyDescent="0.25">
      <c r="P247"/>
    </row>
    <row r="248" spans="16:16" x14ac:dyDescent="0.25">
      <c r="P248"/>
    </row>
    <row r="249" spans="16:16" x14ac:dyDescent="0.25">
      <c r="P249"/>
    </row>
    <row r="250" spans="16:16" x14ac:dyDescent="0.25">
      <c r="P250"/>
    </row>
    <row r="251" spans="16:16" x14ac:dyDescent="0.25">
      <c r="P251"/>
    </row>
    <row r="252" spans="16:16" x14ac:dyDescent="0.25">
      <c r="P252"/>
    </row>
    <row r="253" spans="16:16" x14ac:dyDescent="0.25">
      <c r="P253"/>
    </row>
    <row r="254" spans="16:16" x14ac:dyDescent="0.25">
      <c r="P254"/>
    </row>
    <row r="255" spans="16:16" x14ac:dyDescent="0.25">
      <c r="P255"/>
    </row>
    <row r="256" spans="16:16" x14ac:dyDescent="0.25">
      <c r="P256"/>
    </row>
    <row r="257" spans="16:16" x14ac:dyDescent="0.25">
      <c r="P257"/>
    </row>
    <row r="258" spans="16:16" x14ac:dyDescent="0.25">
      <c r="P258"/>
    </row>
    <row r="259" spans="16:16" x14ac:dyDescent="0.25">
      <c r="P259"/>
    </row>
    <row r="260" spans="16:16" x14ac:dyDescent="0.25">
      <c r="P260"/>
    </row>
    <row r="261" spans="16:16" x14ac:dyDescent="0.25">
      <c r="P261"/>
    </row>
    <row r="262" spans="16:16" x14ac:dyDescent="0.25">
      <c r="P262"/>
    </row>
    <row r="263" spans="16:16" x14ac:dyDescent="0.25">
      <c r="P263"/>
    </row>
    <row r="264" spans="16:16" x14ac:dyDescent="0.25">
      <c r="P264"/>
    </row>
    <row r="265" spans="16:16" x14ac:dyDescent="0.25">
      <c r="P265"/>
    </row>
    <row r="266" spans="16:16" x14ac:dyDescent="0.25">
      <c r="P266"/>
    </row>
    <row r="267" spans="16:16" x14ac:dyDescent="0.25">
      <c r="P267"/>
    </row>
    <row r="268" spans="16:16" x14ac:dyDescent="0.25">
      <c r="P268"/>
    </row>
    <row r="269" spans="16:16" x14ac:dyDescent="0.25">
      <c r="P269"/>
    </row>
    <row r="270" spans="16:16" x14ac:dyDescent="0.25">
      <c r="P270"/>
    </row>
    <row r="271" spans="16:16" x14ac:dyDescent="0.25">
      <c r="P271"/>
    </row>
    <row r="272" spans="16:16" x14ac:dyDescent="0.25">
      <c r="P272"/>
    </row>
    <row r="273" spans="16:16" x14ac:dyDescent="0.25">
      <c r="P273"/>
    </row>
    <row r="274" spans="16:16" x14ac:dyDescent="0.25">
      <c r="P274"/>
    </row>
    <row r="275" spans="16:16" x14ac:dyDescent="0.25">
      <c r="P275"/>
    </row>
    <row r="276" spans="16:16" x14ac:dyDescent="0.25">
      <c r="P276"/>
    </row>
    <row r="277" spans="16:16" x14ac:dyDescent="0.25">
      <c r="P277"/>
    </row>
    <row r="278" spans="16:16" x14ac:dyDescent="0.25">
      <c r="P278"/>
    </row>
    <row r="279" spans="16:16" x14ac:dyDescent="0.25">
      <c r="P279"/>
    </row>
    <row r="280" spans="16:16" x14ac:dyDescent="0.25">
      <c r="P280"/>
    </row>
    <row r="281" spans="16:16" x14ac:dyDescent="0.25">
      <c r="P281"/>
    </row>
    <row r="282" spans="16:16" x14ac:dyDescent="0.25">
      <c r="P282"/>
    </row>
    <row r="283" spans="16:16" x14ac:dyDescent="0.25">
      <c r="P283"/>
    </row>
    <row r="284" spans="16:16" x14ac:dyDescent="0.25">
      <c r="P284"/>
    </row>
    <row r="285" spans="16:16" x14ac:dyDescent="0.25">
      <c r="P285"/>
    </row>
    <row r="286" spans="16:16" x14ac:dyDescent="0.25">
      <c r="P286"/>
    </row>
    <row r="287" spans="16:16" x14ac:dyDescent="0.25">
      <c r="P287"/>
    </row>
    <row r="288" spans="16:16" x14ac:dyDescent="0.25">
      <c r="P288"/>
    </row>
    <row r="289" spans="16:16" x14ac:dyDescent="0.25">
      <c r="P289"/>
    </row>
    <row r="290" spans="16:16" x14ac:dyDescent="0.25">
      <c r="P290"/>
    </row>
    <row r="291" spans="16:16" x14ac:dyDescent="0.25">
      <c r="P291"/>
    </row>
    <row r="292" spans="16:16" x14ac:dyDescent="0.25">
      <c r="P292"/>
    </row>
    <row r="293" spans="16:16" x14ac:dyDescent="0.25">
      <c r="P293"/>
    </row>
    <row r="294" spans="16:16" x14ac:dyDescent="0.25">
      <c r="P294"/>
    </row>
    <row r="295" spans="16:16" x14ac:dyDescent="0.25">
      <c r="P295"/>
    </row>
    <row r="296" spans="16:16" x14ac:dyDescent="0.25">
      <c r="P296"/>
    </row>
    <row r="297" spans="16:16" x14ac:dyDescent="0.25">
      <c r="P297"/>
    </row>
    <row r="298" spans="16:16" x14ac:dyDescent="0.25">
      <c r="P298"/>
    </row>
    <row r="299" spans="16:16" x14ac:dyDescent="0.25">
      <c r="P299"/>
    </row>
    <row r="300" spans="16:16" x14ac:dyDescent="0.25">
      <c r="P300"/>
    </row>
    <row r="301" spans="16:16" x14ac:dyDescent="0.25">
      <c r="P301"/>
    </row>
    <row r="302" spans="16:16" x14ac:dyDescent="0.25">
      <c r="P302"/>
    </row>
    <row r="303" spans="16:16" x14ac:dyDescent="0.25">
      <c r="P303"/>
    </row>
    <row r="304" spans="16:16" x14ac:dyDescent="0.25">
      <c r="P304"/>
    </row>
    <row r="305" spans="16:16" x14ac:dyDescent="0.25">
      <c r="P305"/>
    </row>
    <row r="306" spans="16:16" x14ac:dyDescent="0.25">
      <c r="P306"/>
    </row>
    <row r="307" spans="16:16" x14ac:dyDescent="0.25">
      <c r="P307"/>
    </row>
    <row r="308" spans="16:16" x14ac:dyDescent="0.25">
      <c r="P308"/>
    </row>
    <row r="309" spans="16:16" x14ac:dyDescent="0.25">
      <c r="P309"/>
    </row>
    <row r="310" spans="16:16" x14ac:dyDescent="0.25">
      <c r="P310"/>
    </row>
    <row r="311" spans="16:16" x14ac:dyDescent="0.25">
      <c r="P311"/>
    </row>
    <row r="312" spans="16:16" x14ac:dyDescent="0.25">
      <c r="P312"/>
    </row>
    <row r="313" spans="16:16" x14ac:dyDescent="0.25">
      <c r="P313"/>
    </row>
    <row r="314" spans="16:16" x14ac:dyDescent="0.25">
      <c r="P314"/>
    </row>
    <row r="315" spans="16:16" x14ac:dyDescent="0.25">
      <c r="P315"/>
    </row>
    <row r="316" spans="16:16" x14ac:dyDescent="0.25">
      <c r="P316"/>
    </row>
    <row r="317" spans="16:16" x14ac:dyDescent="0.25">
      <c r="P317"/>
    </row>
    <row r="318" spans="16:16" x14ac:dyDescent="0.25">
      <c r="P318"/>
    </row>
    <row r="319" spans="16:16" x14ac:dyDescent="0.25">
      <c r="P319"/>
    </row>
    <row r="320" spans="16:16" x14ac:dyDescent="0.25">
      <c r="P320"/>
    </row>
    <row r="321" spans="16:16" x14ac:dyDescent="0.25">
      <c r="P321"/>
    </row>
    <row r="322" spans="16:16" x14ac:dyDescent="0.25">
      <c r="P322"/>
    </row>
    <row r="323" spans="16:16" x14ac:dyDescent="0.25">
      <c r="P323"/>
    </row>
    <row r="324" spans="16:16" x14ac:dyDescent="0.25">
      <c r="P324"/>
    </row>
    <row r="325" spans="16:16" x14ac:dyDescent="0.25">
      <c r="P325"/>
    </row>
    <row r="326" spans="16:16" x14ac:dyDescent="0.25">
      <c r="P326"/>
    </row>
    <row r="327" spans="16:16" x14ac:dyDescent="0.25">
      <c r="P327"/>
    </row>
    <row r="328" spans="16:16" x14ac:dyDescent="0.25">
      <c r="P328"/>
    </row>
    <row r="329" spans="16:16" x14ac:dyDescent="0.25">
      <c r="P329"/>
    </row>
    <row r="330" spans="16:16" x14ac:dyDescent="0.25">
      <c r="P330"/>
    </row>
    <row r="331" spans="16:16" x14ac:dyDescent="0.25">
      <c r="P331"/>
    </row>
    <row r="332" spans="16:16" x14ac:dyDescent="0.25">
      <c r="P332"/>
    </row>
    <row r="333" spans="16:16" x14ac:dyDescent="0.25">
      <c r="P333"/>
    </row>
    <row r="334" spans="16:16" x14ac:dyDescent="0.25">
      <c r="P334"/>
    </row>
    <row r="335" spans="16:16" x14ac:dyDescent="0.25">
      <c r="P335"/>
    </row>
    <row r="336" spans="16:16" x14ac:dyDescent="0.25">
      <c r="P336"/>
    </row>
    <row r="337" spans="16:16" x14ac:dyDescent="0.25">
      <c r="P337"/>
    </row>
    <row r="338" spans="16:16" x14ac:dyDescent="0.25">
      <c r="P338"/>
    </row>
    <row r="339" spans="16:16" x14ac:dyDescent="0.25">
      <c r="P339"/>
    </row>
    <row r="340" spans="16:16" x14ac:dyDescent="0.25">
      <c r="P340"/>
    </row>
    <row r="341" spans="16:16" x14ac:dyDescent="0.25">
      <c r="P341"/>
    </row>
    <row r="342" spans="16:16" x14ac:dyDescent="0.25">
      <c r="P342"/>
    </row>
    <row r="343" spans="16:16" x14ac:dyDescent="0.25">
      <c r="P343"/>
    </row>
    <row r="344" spans="16:16" x14ac:dyDescent="0.25">
      <c r="P344"/>
    </row>
    <row r="345" spans="16:16" x14ac:dyDescent="0.25">
      <c r="P345"/>
    </row>
    <row r="346" spans="16:16" x14ac:dyDescent="0.25">
      <c r="P346"/>
    </row>
    <row r="347" spans="16:16" x14ac:dyDescent="0.25">
      <c r="P347"/>
    </row>
    <row r="348" spans="16:16" x14ac:dyDescent="0.25">
      <c r="P348"/>
    </row>
    <row r="349" spans="16:16" x14ac:dyDescent="0.25">
      <c r="P349"/>
    </row>
    <row r="350" spans="16:16" x14ac:dyDescent="0.25">
      <c r="P350"/>
    </row>
    <row r="351" spans="16:16" x14ac:dyDescent="0.25">
      <c r="P351"/>
    </row>
    <row r="352" spans="16:16" x14ac:dyDescent="0.25">
      <c r="P352"/>
    </row>
    <row r="353" spans="16:16" x14ac:dyDescent="0.25">
      <c r="P353"/>
    </row>
    <row r="354" spans="16:16" x14ac:dyDescent="0.25">
      <c r="P354"/>
    </row>
    <row r="355" spans="16:16" x14ac:dyDescent="0.25">
      <c r="P355"/>
    </row>
    <row r="356" spans="16:16" x14ac:dyDescent="0.25">
      <c r="P356"/>
    </row>
    <row r="357" spans="16:16" x14ac:dyDescent="0.25">
      <c r="P357"/>
    </row>
    <row r="358" spans="16:16" x14ac:dyDescent="0.25">
      <c r="P358"/>
    </row>
    <row r="359" spans="16:16" x14ac:dyDescent="0.25">
      <c r="P359"/>
    </row>
    <row r="360" spans="16:16" x14ac:dyDescent="0.25">
      <c r="P360"/>
    </row>
    <row r="361" spans="16:16" x14ac:dyDescent="0.25">
      <c r="P361"/>
    </row>
    <row r="362" spans="16:16" x14ac:dyDescent="0.25">
      <c r="P362"/>
    </row>
    <row r="363" spans="16:16" x14ac:dyDescent="0.25">
      <c r="P363"/>
    </row>
    <row r="364" spans="16:16" x14ac:dyDescent="0.25">
      <c r="P364"/>
    </row>
    <row r="365" spans="16:16" x14ac:dyDescent="0.25">
      <c r="P365"/>
    </row>
    <row r="366" spans="16:16" x14ac:dyDescent="0.25">
      <c r="P366"/>
    </row>
    <row r="367" spans="16:16" x14ac:dyDescent="0.25">
      <c r="P367"/>
    </row>
    <row r="368" spans="16:16" x14ac:dyDescent="0.25">
      <c r="P368"/>
    </row>
    <row r="369" spans="16:16" x14ac:dyDescent="0.25">
      <c r="P369"/>
    </row>
    <row r="370" spans="16:16" x14ac:dyDescent="0.25">
      <c r="P370"/>
    </row>
    <row r="371" spans="16:16" x14ac:dyDescent="0.25">
      <c r="P371"/>
    </row>
    <row r="372" spans="16:16" x14ac:dyDescent="0.25">
      <c r="P372"/>
    </row>
    <row r="373" spans="16:16" x14ac:dyDescent="0.25">
      <c r="P373"/>
    </row>
    <row r="374" spans="16:16" x14ac:dyDescent="0.25">
      <c r="P374"/>
    </row>
    <row r="375" spans="16:16" x14ac:dyDescent="0.25">
      <c r="P375"/>
    </row>
    <row r="376" spans="16:16" x14ac:dyDescent="0.25">
      <c r="P376"/>
    </row>
    <row r="377" spans="16:16" x14ac:dyDescent="0.25">
      <c r="P377"/>
    </row>
    <row r="378" spans="16:16" x14ac:dyDescent="0.25">
      <c r="P378"/>
    </row>
    <row r="379" spans="16:16" x14ac:dyDescent="0.25">
      <c r="P379"/>
    </row>
    <row r="380" spans="16:16" x14ac:dyDescent="0.25">
      <c r="P380"/>
    </row>
    <row r="381" spans="16:16" x14ac:dyDescent="0.25">
      <c r="P381"/>
    </row>
    <row r="382" spans="16:16" x14ac:dyDescent="0.25">
      <c r="P382"/>
    </row>
    <row r="383" spans="16:16" x14ac:dyDescent="0.25">
      <c r="P383"/>
    </row>
    <row r="384" spans="16:16" x14ac:dyDescent="0.25">
      <c r="P384"/>
    </row>
    <row r="385" spans="16:16" x14ac:dyDescent="0.25">
      <c r="P385"/>
    </row>
    <row r="386" spans="16:16" x14ac:dyDescent="0.25">
      <c r="P386"/>
    </row>
    <row r="387" spans="16:16" x14ac:dyDescent="0.25">
      <c r="P387"/>
    </row>
    <row r="388" spans="16:16" x14ac:dyDescent="0.25">
      <c r="P388"/>
    </row>
    <row r="389" spans="16:16" x14ac:dyDescent="0.25">
      <c r="P389"/>
    </row>
    <row r="390" spans="16:16" x14ac:dyDescent="0.25">
      <c r="P390"/>
    </row>
    <row r="391" spans="16:16" x14ac:dyDescent="0.25">
      <c r="P391"/>
    </row>
    <row r="392" spans="16:16" x14ac:dyDescent="0.25">
      <c r="P392"/>
    </row>
    <row r="393" spans="16:16" x14ac:dyDescent="0.25">
      <c r="P393"/>
    </row>
    <row r="394" spans="16:16" x14ac:dyDescent="0.25">
      <c r="P394"/>
    </row>
    <row r="395" spans="16:16" x14ac:dyDescent="0.25">
      <c r="P395"/>
    </row>
    <row r="396" spans="16:16" x14ac:dyDescent="0.25">
      <c r="P396"/>
    </row>
    <row r="397" spans="16:16" x14ac:dyDescent="0.25">
      <c r="P397"/>
    </row>
    <row r="398" spans="16:16" x14ac:dyDescent="0.25">
      <c r="P398"/>
    </row>
    <row r="399" spans="16:16" x14ac:dyDescent="0.25">
      <c r="P399"/>
    </row>
    <row r="400" spans="16:16" x14ac:dyDescent="0.25">
      <c r="P400"/>
    </row>
    <row r="401" spans="16:16" x14ac:dyDescent="0.25">
      <c r="P401"/>
    </row>
    <row r="402" spans="16:16" x14ac:dyDescent="0.25">
      <c r="P402"/>
    </row>
    <row r="403" spans="16:16" x14ac:dyDescent="0.25">
      <c r="P403"/>
    </row>
    <row r="404" spans="16:16" x14ac:dyDescent="0.25">
      <c r="P404"/>
    </row>
    <row r="405" spans="16:16" x14ac:dyDescent="0.25">
      <c r="P405"/>
    </row>
    <row r="406" spans="16:16" x14ac:dyDescent="0.25">
      <c r="P406"/>
    </row>
    <row r="407" spans="16:16" x14ac:dyDescent="0.25">
      <c r="P407"/>
    </row>
    <row r="408" spans="16:16" x14ac:dyDescent="0.25">
      <c r="P408"/>
    </row>
    <row r="409" spans="16:16" x14ac:dyDescent="0.25">
      <c r="P409"/>
    </row>
    <row r="410" spans="16:16" x14ac:dyDescent="0.25">
      <c r="P410"/>
    </row>
    <row r="411" spans="16:16" x14ac:dyDescent="0.25">
      <c r="P411"/>
    </row>
    <row r="412" spans="16:16" x14ac:dyDescent="0.25">
      <c r="P412"/>
    </row>
    <row r="413" spans="16:16" x14ac:dyDescent="0.25">
      <c r="P413"/>
    </row>
    <row r="414" spans="16:16" x14ac:dyDescent="0.25">
      <c r="P414"/>
    </row>
    <row r="415" spans="16:16" x14ac:dyDescent="0.25">
      <c r="P415"/>
    </row>
    <row r="416" spans="16:16" x14ac:dyDescent="0.25">
      <c r="P416"/>
    </row>
    <row r="417" spans="16:16" x14ac:dyDescent="0.25">
      <c r="P417"/>
    </row>
    <row r="418" spans="16:16" x14ac:dyDescent="0.25">
      <c r="P418"/>
    </row>
    <row r="419" spans="16:16" x14ac:dyDescent="0.25">
      <c r="P419"/>
    </row>
    <row r="420" spans="16:16" x14ac:dyDescent="0.25">
      <c r="P420"/>
    </row>
    <row r="421" spans="16:16" x14ac:dyDescent="0.25">
      <c r="P421"/>
    </row>
    <row r="422" spans="16:16" x14ac:dyDescent="0.25">
      <c r="P422"/>
    </row>
    <row r="423" spans="16:16" x14ac:dyDescent="0.25">
      <c r="P423"/>
    </row>
    <row r="424" spans="16:16" x14ac:dyDescent="0.25">
      <c r="P424"/>
    </row>
    <row r="425" spans="16:16" x14ac:dyDescent="0.25">
      <c r="P425"/>
    </row>
    <row r="426" spans="16:16" x14ac:dyDescent="0.25">
      <c r="P426"/>
    </row>
    <row r="427" spans="16:16" x14ac:dyDescent="0.25">
      <c r="P427"/>
    </row>
    <row r="428" spans="16:16" x14ac:dyDescent="0.25">
      <c r="P428"/>
    </row>
    <row r="429" spans="16:16" x14ac:dyDescent="0.25">
      <c r="P429"/>
    </row>
    <row r="430" spans="16:16" x14ac:dyDescent="0.25">
      <c r="P430"/>
    </row>
    <row r="431" spans="16:16" x14ac:dyDescent="0.25">
      <c r="P431"/>
    </row>
    <row r="432" spans="16:16" x14ac:dyDescent="0.25">
      <c r="P432"/>
    </row>
    <row r="433" spans="16:16" x14ac:dyDescent="0.25">
      <c r="P433"/>
    </row>
    <row r="434" spans="16:16" x14ac:dyDescent="0.25">
      <c r="P434"/>
    </row>
    <row r="435" spans="16:16" x14ac:dyDescent="0.25">
      <c r="P435"/>
    </row>
    <row r="436" spans="16:16" x14ac:dyDescent="0.25">
      <c r="P436"/>
    </row>
    <row r="437" spans="16:16" x14ac:dyDescent="0.25">
      <c r="P437"/>
    </row>
    <row r="438" spans="16:16" x14ac:dyDescent="0.25">
      <c r="P438"/>
    </row>
    <row r="439" spans="16:16" x14ac:dyDescent="0.25">
      <c r="P439"/>
    </row>
    <row r="440" spans="16:16" x14ac:dyDescent="0.25">
      <c r="P440"/>
    </row>
    <row r="441" spans="16:16" x14ac:dyDescent="0.25">
      <c r="P441"/>
    </row>
    <row r="442" spans="16:16" x14ac:dyDescent="0.25">
      <c r="P442"/>
    </row>
    <row r="443" spans="16:16" x14ac:dyDescent="0.25">
      <c r="P443"/>
    </row>
    <row r="444" spans="16:16" x14ac:dyDescent="0.25">
      <c r="P444"/>
    </row>
    <row r="445" spans="16:16" x14ac:dyDescent="0.25">
      <c r="P445"/>
    </row>
    <row r="446" spans="16:16" x14ac:dyDescent="0.25">
      <c r="P446"/>
    </row>
    <row r="447" spans="16:16" x14ac:dyDescent="0.25">
      <c r="P447"/>
    </row>
    <row r="448" spans="16:16" x14ac:dyDescent="0.25">
      <c r="P448"/>
    </row>
    <row r="449" spans="16:16" x14ac:dyDescent="0.25">
      <c r="P449"/>
    </row>
    <row r="450" spans="16:16" x14ac:dyDescent="0.25">
      <c r="P450"/>
    </row>
    <row r="451" spans="16:16" x14ac:dyDescent="0.25">
      <c r="P451"/>
    </row>
    <row r="452" spans="16:16" x14ac:dyDescent="0.25">
      <c r="P452"/>
    </row>
    <row r="453" spans="16:16" x14ac:dyDescent="0.25">
      <c r="P453"/>
    </row>
    <row r="454" spans="16:16" x14ac:dyDescent="0.25">
      <c r="P454"/>
    </row>
    <row r="455" spans="16:16" x14ac:dyDescent="0.25">
      <c r="P455"/>
    </row>
    <row r="456" spans="16:16" x14ac:dyDescent="0.25">
      <c r="P456"/>
    </row>
    <row r="457" spans="16:16" x14ac:dyDescent="0.25">
      <c r="P457"/>
    </row>
    <row r="458" spans="16:16" x14ac:dyDescent="0.25">
      <c r="P458"/>
    </row>
    <row r="459" spans="16:16" x14ac:dyDescent="0.25">
      <c r="P459"/>
    </row>
    <row r="460" spans="16:16" x14ac:dyDescent="0.25">
      <c r="P460"/>
    </row>
    <row r="461" spans="16:16" x14ac:dyDescent="0.25">
      <c r="P461"/>
    </row>
    <row r="462" spans="16:16" x14ac:dyDescent="0.25">
      <c r="P462"/>
    </row>
    <row r="463" spans="16:16" x14ac:dyDescent="0.25">
      <c r="P463"/>
    </row>
    <row r="464" spans="16:16" x14ac:dyDescent="0.25">
      <c r="P464"/>
    </row>
    <row r="465" spans="16:16" x14ac:dyDescent="0.25">
      <c r="P465"/>
    </row>
    <row r="466" spans="16:16" x14ac:dyDescent="0.25">
      <c r="P466"/>
    </row>
    <row r="467" spans="16:16" x14ac:dyDescent="0.25">
      <c r="P467"/>
    </row>
    <row r="468" spans="16:16" x14ac:dyDescent="0.25">
      <c r="P468"/>
    </row>
    <row r="469" spans="16:16" x14ac:dyDescent="0.25">
      <c r="P469"/>
    </row>
    <row r="470" spans="16:16" x14ac:dyDescent="0.25">
      <c r="P470"/>
    </row>
    <row r="471" spans="16:16" x14ac:dyDescent="0.25">
      <c r="P471"/>
    </row>
    <row r="472" spans="16:16" x14ac:dyDescent="0.25">
      <c r="P472"/>
    </row>
    <row r="473" spans="16:16" x14ac:dyDescent="0.25">
      <c r="P473"/>
    </row>
    <row r="474" spans="16:16" x14ac:dyDescent="0.25">
      <c r="P474"/>
    </row>
    <row r="475" spans="16:16" x14ac:dyDescent="0.25">
      <c r="P475"/>
    </row>
    <row r="476" spans="16:16" x14ac:dyDescent="0.25">
      <c r="P476"/>
    </row>
    <row r="477" spans="16:16" x14ac:dyDescent="0.25">
      <c r="P477"/>
    </row>
    <row r="478" spans="16:16" x14ac:dyDescent="0.25">
      <c r="P478"/>
    </row>
    <row r="479" spans="16:16" x14ac:dyDescent="0.25">
      <c r="P479"/>
    </row>
    <row r="480" spans="16:16" x14ac:dyDescent="0.25">
      <c r="P480"/>
    </row>
    <row r="481" spans="16:16" x14ac:dyDescent="0.25">
      <c r="P481"/>
    </row>
    <row r="482" spans="16:16" x14ac:dyDescent="0.25">
      <c r="P482"/>
    </row>
    <row r="483" spans="16:16" x14ac:dyDescent="0.25">
      <c r="P483"/>
    </row>
    <row r="484" spans="16:16" x14ac:dyDescent="0.25">
      <c r="P484"/>
    </row>
    <row r="485" spans="16:16" x14ac:dyDescent="0.25">
      <c r="P485"/>
    </row>
    <row r="486" spans="16:16" x14ac:dyDescent="0.25">
      <c r="P486"/>
    </row>
    <row r="487" spans="16:16" x14ac:dyDescent="0.25">
      <c r="P487"/>
    </row>
    <row r="488" spans="16:16" x14ac:dyDescent="0.25">
      <c r="P488"/>
    </row>
    <row r="489" spans="16:16" x14ac:dyDescent="0.25">
      <c r="P489"/>
    </row>
    <row r="490" spans="16:16" x14ac:dyDescent="0.25">
      <c r="P490"/>
    </row>
    <row r="491" spans="16:16" x14ac:dyDescent="0.25">
      <c r="P491"/>
    </row>
    <row r="492" spans="16:16" x14ac:dyDescent="0.25">
      <c r="P492"/>
    </row>
    <row r="493" spans="16:16" x14ac:dyDescent="0.25">
      <c r="P493"/>
    </row>
    <row r="494" spans="16:16" x14ac:dyDescent="0.25">
      <c r="P494"/>
    </row>
    <row r="495" spans="16:16" x14ac:dyDescent="0.25">
      <c r="P495"/>
    </row>
    <row r="496" spans="16:16" x14ac:dyDescent="0.25">
      <c r="P496"/>
    </row>
    <row r="497" spans="16:16" x14ac:dyDescent="0.25">
      <c r="P497"/>
    </row>
    <row r="498" spans="16:16" x14ac:dyDescent="0.25">
      <c r="P498"/>
    </row>
    <row r="499" spans="16:16" x14ac:dyDescent="0.25">
      <c r="P499"/>
    </row>
    <row r="500" spans="16:16" x14ac:dyDescent="0.25">
      <c r="P500"/>
    </row>
    <row r="501" spans="16:16" x14ac:dyDescent="0.25">
      <c r="P501"/>
    </row>
    <row r="502" spans="16:16" x14ac:dyDescent="0.25">
      <c r="P502"/>
    </row>
    <row r="503" spans="16:16" x14ac:dyDescent="0.25">
      <c r="P503"/>
    </row>
    <row r="504" spans="16:16" x14ac:dyDescent="0.25">
      <c r="P504"/>
    </row>
    <row r="505" spans="16:16" x14ac:dyDescent="0.25">
      <c r="P505"/>
    </row>
    <row r="506" spans="16:16" x14ac:dyDescent="0.25">
      <c r="P506"/>
    </row>
    <row r="507" spans="16:16" x14ac:dyDescent="0.25">
      <c r="P507"/>
    </row>
    <row r="508" spans="16:16" x14ac:dyDescent="0.25">
      <c r="P508"/>
    </row>
    <row r="509" spans="16:16" x14ac:dyDescent="0.25">
      <c r="P509"/>
    </row>
    <row r="510" spans="16:16" x14ac:dyDescent="0.25">
      <c r="P510"/>
    </row>
    <row r="511" spans="16:16" x14ac:dyDescent="0.25">
      <c r="P511"/>
    </row>
    <row r="512" spans="16:16" x14ac:dyDescent="0.25">
      <c r="P512"/>
    </row>
    <row r="513" spans="16:16" x14ac:dyDescent="0.25">
      <c r="P513"/>
    </row>
    <row r="514" spans="16:16" x14ac:dyDescent="0.25">
      <c r="P514"/>
    </row>
    <row r="515" spans="16:16" x14ac:dyDescent="0.25">
      <c r="P515"/>
    </row>
    <row r="516" spans="16:16" x14ac:dyDescent="0.25">
      <c r="P516"/>
    </row>
    <row r="517" spans="16:16" x14ac:dyDescent="0.25">
      <c r="P517"/>
    </row>
    <row r="518" spans="16:16" x14ac:dyDescent="0.25">
      <c r="P518"/>
    </row>
    <row r="519" spans="16:16" x14ac:dyDescent="0.25">
      <c r="P519"/>
    </row>
    <row r="520" spans="16:16" x14ac:dyDescent="0.25">
      <c r="P520"/>
    </row>
    <row r="521" spans="16:16" x14ac:dyDescent="0.25">
      <c r="P521"/>
    </row>
    <row r="522" spans="16:16" x14ac:dyDescent="0.25">
      <c r="P522"/>
    </row>
    <row r="523" spans="16:16" x14ac:dyDescent="0.25">
      <c r="P523"/>
    </row>
    <row r="524" spans="16:16" x14ac:dyDescent="0.25">
      <c r="P524"/>
    </row>
    <row r="525" spans="16:16" x14ac:dyDescent="0.25">
      <c r="P525"/>
    </row>
    <row r="526" spans="16:16" x14ac:dyDescent="0.25">
      <c r="P526"/>
    </row>
    <row r="527" spans="16:16" x14ac:dyDescent="0.25">
      <c r="P527"/>
    </row>
    <row r="528" spans="16:16" x14ac:dyDescent="0.25">
      <c r="P528"/>
    </row>
    <row r="529" spans="16:16" x14ac:dyDescent="0.25">
      <c r="P529"/>
    </row>
    <row r="530" spans="16:16" x14ac:dyDescent="0.25">
      <c r="P530"/>
    </row>
    <row r="531" spans="16:16" x14ac:dyDescent="0.25">
      <c r="P531"/>
    </row>
    <row r="532" spans="16:16" x14ac:dyDescent="0.25">
      <c r="P532"/>
    </row>
    <row r="533" spans="16:16" x14ac:dyDescent="0.25">
      <c r="P533"/>
    </row>
    <row r="534" spans="16:16" x14ac:dyDescent="0.25">
      <c r="P534"/>
    </row>
    <row r="535" spans="16:16" x14ac:dyDescent="0.25">
      <c r="P535"/>
    </row>
    <row r="536" spans="16:16" x14ac:dyDescent="0.25">
      <c r="P536"/>
    </row>
    <row r="537" spans="16:16" x14ac:dyDescent="0.25">
      <c r="P537"/>
    </row>
    <row r="538" spans="16:16" x14ac:dyDescent="0.25">
      <c r="P538"/>
    </row>
    <row r="539" spans="16:16" x14ac:dyDescent="0.25">
      <c r="P539"/>
    </row>
    <row r="540" spans="16:16" x14ac:dyDescent="0.25">
      <c r="P540"/>
    </row>
    <row r="541" spans="16:16" x14ac:dyDescent="0.25">
      <c r="P541"/>
    </row>
    <row r="542" spans="16:16" x14ac:dyDescent="0.25">
      <c r="P542"/>
    </row>
    <row r="543" spans="16:16" x14ac:dyDescent="0.25">
      <c r="P543"/>
    </row>
    <row r="544" spans="16:16" x14ac:dyDescent="0.25">
      <c r="P544"/>
    </row>
    <row r="545" spans="16:16" x14ac:dyDescent="0.25">
      <c r="P545"/>
    </row>
    <row r="546" spans="16:16" x14ac:dyDescent="0.25">
      <c r="P546"/>
    </row>
    <row r="547" spans="16:16" x14ac:dyDescent="0.25">
      <c r="P547"/>
    </row>
    <row r="548" spans="16:16" x14ac:dyDescent="0.25">
      <c r="P548"/>
    </row>
    <row r="549" spans="16:16" x14ac:dyDescent="0.25">
      <c r="P549"/>
    </row>
    <row r="550" spans="16:16" x14ac:dyDescent="0.25">
      <c r="P550"/>
    </row>
    <row r="551" spans="16:16" x14ac:dyDescent="0.25">
      <c r="P551"/>
    </row>
    <row r="552" spans="16:16" x14ac:dyDescent="0.25">
      <c r="P552"/>
    </row>
    <row r="553" spans="16:16" x14ac:dyDescent="0.25">
      <c r="P553"/>
    </row>
    <row r="554" spans="16:16" x14ac:dyDescent="0.25">
      <c r="P554"/>
    </row>
    <row r="555" spans="16:16" x14ac:dyDescent="0.25">
      <c r="P555"/>
    </row>
    <row r="556" spans="16:16" x14ac:dyDescent="0.25">
      <c r="P556"/>
    </row>
    <row r="557" spans="16:16" x14ac:dyDescent="0.25">
      <c r="P557"/>
    </row>
    <row r="558" spans="16:16" x14ac:dyDescent="0.25">
      <c r="P558"/>
    </row>
    <row r="559" spans="16:16" x14ac:dyDescent="0.25">
      <c r="P559"/>
    </row>
    <row r="560" spans="16:16" x14ac:dyDescent="0.25">
      <c r="P560"/>
    </row>
    <row r="561" spans="16:16" x14ac:dyDescent="0.25">
      <c r="P561"/>
    </row>
    <row r="562" spans="16:16" x14ac:dyDescent="0.25">
      <c r="P562"/>
    </row>
    <row r="563" spans="16:16" x14ac:dyDescent="0.25">
      <c r="P563"/>
    </row>
    <row r="564" spans="16:16" x14ac:dyDescent="0.25">
      <c r="P564"/>
    </row>
    <row r="565" spans="16:16" x14ac:dyDescent="0.25">
      <c r="P565"/>
    </row>
    <row r="566" spans="16:16" x14ac:dyDescent="0.25">
      <c r="P566"/>
    </row>
    <row r="567" spans="16:16" x14ac:dyDescent="0.25">
      <c r="P567"/>
    </row>
    <row r="568" spans="16:16" x14ac:dyDescent="0.25">
      <c r="P568"/>
    </row>
    <row r="569" spans="16:16" x14ac:dyDescent="0.25">
      <c r="P569"/>
    </row>
    <row r="570" spans="16:16" x14ac:dyDescent="0.25">
      <c r="P570"/>
    </row>
    <row r="571" spans="16:16" x14ac:dyDescent="0.25">
      <c r="P571"/>
    </row>
    <row r="572" spans="16:16" x14ac:dyDescent="0.25">
      <c r="P572"/>
    </row>
    <row r="573" spans="16:16" x14ac:dyDescent="0.25">
      <c r="P573"/>
    </row>
    <row r="574" spans="16:16" x14ac:dyDescent="0.25">
      <c r="P574"/>
    </row>
    <row r="575" spans="16:16" x14ac:dyDescent="0.25">
      <c r="P575"/>
    </row>
    <row r="576" spans="16:16" x14ac:dyDescent="0.25">
      <c r="P576"/>
    </row>
    <row r="577" spans="16:16" x14ac:dyDescent="0.25">
      <c r="P577"/>
    </row>
    <row r="578" spans="16:16" x14ac:dyDescent="0.25">
      <c r="P578"/>
    </row>
    <row r="579" spans="16:16" x14ac:dyDescent="0.25">
      <c r="P579"/>
    </row>
    <row r="580" spans="16:16" x14ac:dyDescent="0.25">
      <c r="P580"/>
    </row>
    <row r="581" spans="16:16" x14ac:dyDescent="0.25">
      <c r="P581"/>
    </row>
    <row r="582" spans="16:16" x14ac:dyDescent="0.25">
      <c r="P582"/>
    </row>
    <row r="583" spans="16:16" x14ac:dyDescent="0.25">
      <c r="P583"/>
    </row>
    <row r="584" spans="16:16" x14ac:dyDescent="0.25">
      <c r="P584"/>
    </row>
    <row r="585" spans="16:16" x14ac:dyDescent="0.25">
      <c r="P585"/>
    </row>
    <row r="586" spans="16:16" x14ac:dyDescent="0.25">
      <c r="P586"/>
    </row>
    <row r="587" spans="16:16" x14ac:dyDescent="0.25">
      <c r="P587"/>
    </row>
    <row r="588" spans="16:16" x14ac:dyDescent="0.25">
      <c r="P588"/>
    </row>
    <row r="589" spans="16:16" x14ac:dyDescent="0.25">
      <c r="P589"/>
    </row>
    <row r="590" spans="16:16" x14ac:dyDescent="0.25">
      <c r="P590"/>
    </row>
    <row r="591" spans="16:16" x14ac:dyDescent="0.25">
      <c r="P591"/>
    </row>
    <row r="592" spans="16:16" x14ac:dyDescent="0.25">
      <c r="P592"/>
    </row>
    <row r="593" spans="16:16" x14ac:dyDescent="0.25">
      <c r="P593"/>
    </row>
    <row r="594" spans="16:16" x14ac:dyDescent="0.25">
      <c r="P594"/>
    </row>
    <row r="595" spans="16:16" x14ac:dyDescent="0.25">
      <c r="P595"/>
    </row>
    <row r="596" spans="16:16" x14ac:dyDescent="0.25">
      <c r="P596"/>
    </row>
    <row r="597" spans="16:16" x14ac:dyDescent="0.25">
      <c r="P597"/>
    </row>
    <row r="598" spans="16:16" x14ac:dyDescent="0.25">
      <c r="P598"/>
    </row>
    <row r="599" spans="16:16" x14ac:dyDescent="0.25">
      <c r="P599"/>
    </row>
    <row r="600" spans="16:16" x14ac:dyDescent="0.25">
      <c r="P600"/>
    </row>
    <row r="601" spans="16:16" x14ac:dyDescent="0.25">
      <c r="P601"/>
    </row>
    <row r="602" spans="16:16" x14ac:dyDescent="0.25">
      <c r="P602"/>
    </row>
    <row r="603" spans="16:16" x14ac:dyDescent="0.25">
      <c r="P603"/>
    </row>
    <row r="604" spans="16:16" x14ac:dyDescent="0.25">
      <c r="P604"/>
    </row>
    <row r="605" spans="16:16" x14ac:dyDescent="0.25">
      <c r="P605"/>
    </row>
    <row r="606" spans="16:16" x14ac:dyDescent="0.25">
      <c r="P606"/>
    </row>
    <row r="607" spans="16:16" x14ac:dyDescent="0.25">
      <c r="P607"/>
    </row>
    <row r="608" spans="16:16" x14ac:dyDescent="0.25">
      <c r="P608"/>
    </row>
    <row r="609" spans="16:16" x14ac:dyDescent="0.25">
      <c r="P609"/>
    </row>
    <row r="610" spans="16:16" x14ac:dyDescent="0.25">
      <c r="P610"/>
    </row>
    <row r="611" spans="16:16" x14ac:dyDescent="0.25">
      <c r="P611"/>
    </row>
    <row r="612" spans="16:16" x14ac:dyDescent="0.25">
      <c r="P612"/>
    </row>
    <row r="613" spans="16:16" x14ac:dyDescent="0.25">
      <c r="P613"/>
    </row>
    <row r="614" spans="16:16" x14ac:dyDescent="0.25">
      <c r="P614"/>
    </row>
    <row r="615" spans="16:16" x14ac:dyDescent="0.25">
      <c r="P615"/>
    </row>
    <row r="616" spans="16:16" x14ac:dyDescent="0.25">
      <c r="P616"/>
    </row>
    <row r="617" spans="16:16" x14ac:dyDescent="0.25">
      <c r="P617"/>
    </row>
    <row r="618" spans="16:16" x14ac:dyDescent="0.25">
      <c r="P618"/>
    </row>
    <row r="619" spans="16:16" x14ac:dyDescent="0.25">
      <c r="P619"/>
    </row>
    <row r="620" spans="16:16" x14ac:dyDescent="0.25">
      <c r="P620"/>
    </row>
    <row r="621" spans="16:16" x14ac:dyDescent="0.25">
      <c r="P621"/>
    </row>
    <row r="622" spans="16:16" x14ac:dyDescent="0.25">
      <c r="P622"/>
    </row>
    <row r="623" spans="16:16" x14ac:dyDescent="0.25">
      <c r="P623"/>
    </row>
    <row r="624" spans="16:16" x14ac:dyDescent="0.25">
      <c r="P624"/>
    </row>
    <row r="625" spans="16:16" x14ac:dyDescent="0.25">
      <c r="P625"/>
    </row>
    <row r="626" spans="16:16" x14ac:dyDescent="0.25">
      <c r="P626"/>
    </row>
    <row r="627" spans="16:16" x14ac:dyDescent="0.25">
      <c r="P627"/>
    </row>
    <row r="628" spans="16:16" x14ac:dyDescent="0.25">
      <c r="P628"/>
    </row>
    <row r="629" spans="16:16" x14ac:dyDescent="0.25">
      <c r="P629"/>
    </row>
    <row r="630" spans="16:16" x14ac:dyDescent="0.25">
      <c r="P630"/>
    </row>
    <row r="631" spans="16:16" x14ac:dyDescent="0.25">
      <c r="P631"/>
    </row>
    <row r="632" spans="16:16" x14ac:dyDescent="0.25">
      <c r="P632"/>
    </row>
    <row r="633" spans="16:16" x14ac:dyDescent="0.25">
      <c r="P633"/>
    </row>
    <row r="634" spans="16:16" x14ac:dyDescent="0.25">
      <c r="P634"/>
    </row>
    <row r="635" spans="16:16" x14ac:dyDescent="0.25">
      <c r="P635"/>
    </row>
    <row r="636" spans="16:16" x14ac:dyDescent="0.25">
      <c r="P636"/>
    </row>
    <row r="637" spans="16:16" x14ac:dyDescent="0.25">
      <c r="P637"/>
    </row>
    <row r="638" spans="16:16" x14ac:dyDescent="0.25">
      <c r="P638"/>
    </row>
    <row r="639" spans="16:16" x14ac:dyDescent="0.25">
      <c r="P639"/>
    </row>
    <row r="640" spans="16:16" x14ac:dyDescent="0.25">
      <c r="P640"/>
    </row>
    <row r="641" spans="16:16" x14ac:dyDescent="0.25">
      <c r="P641"/>
    </row>
    <row r="642" spans="16:16" x14ac:dyDescent="0.25">
      <c r="P642"/>
    </row>
    <row r="643" spans="16:16" x14ac:dyDescent="0.25">
      <c r="P643"/>
    </row>
    <row r="644" spans="16:16" x14ac:dyDescent="0.25">
      <c r="P644"/>
    </row>
    <row r="645" spans="16:16" x14ac:dyDescent="0.25">
      <c r="P645"/>
    </row>
    <row r="646" spans="16:16" x14ac:dyDescent="0.25">
      <c r="P646"/>
    </row>
    <row r="647" spans="16:16" x14ac:dyDescent="0.25">
      <c r="P647"/>
    </row>
    <row r="648" spans="16:16" x14ac:dyDescent="0.25">
      <c r="P648"/>
    </row>
    <row r="649" spans="16:16" x14ac:dyDescent="0.25">
      <c r="P649"/>
    </row>
    <row r="650" spans="16:16" x14ac:dyDescent="0.25">
      <c r="P650"/>
    </row>
    <row r="651" spans="16:16" x14ac:dyDescent="0.25">
      <c r="P651"/>
    </row>
    <row r="652" spans="16:16" x14ac:dyDescent="0.25">
      <c r="P652"/>
    </row>
    <row r="653" spans="16:16" x14ac:dyDescent="0.25">
      <c r="P653"/>
    </row>
    <row r="654" spans="16:16" x14ac:dyDescent="0.25">
      <c r="P654"/>
    </row>
    <row r="655" spans="16:16" x14ac:dyDescent="0.25">
      <c r="P655"/>
    </row>
    <row r="656" spans="16:16" x14ac:dyDescent="0.25">
      <c r="P656"/>
    </row>
    <row r="657" spans="16:16" x14ac:dyDescent="0.25">
      <c r="P657"/>
    </row>
    <row r="658" spans="16:16" x14ac:dyDescent="0.25">
      <c r="P658"/>
    </row>
    <row r="659" spans="16:16" x14ac:dyDescent="0.25">
      <c r="P659"/>
    </row>
    <row r="660" spans="16:16" x14ac:dyDescent="0.25">
      <c r="P660"/>
    </row>
    <row r="661" spans="16:16" x14ac:dyDescent="0.25">
      <c r="P661"/>
    </row>
    <row r="662" spans="16:16" x14ac:dyDescent="0.25">
      <c r="P662"/>
    </row>
    <row r="663" spans="16:16" x14ac:dyDescent="0.25">
      <c r="P663"/>
    </row>
    <row r="664" spans="16:16" x14ac:dyDescent="0.25">
      <c r="P664"/>
    </row>
    <row r="665" spans="16:16" x14ac:dyDescent="0.25">
      <c r="P665"/>
    </row>
    <row r="666" spans="16:16" x14ac:dyDescent="0.25">
      <c r="P666"/>
    </row>
    <row r="667" spans="16:16" x14ac:dyDescent="0.25">
      <c r="P667"/>
    </row>
    <row r="668" spans="16:16" x14ac:dyDescent="0.25">
      <c r="P668"/>
    </row>
    <row r="669" spans="16:16" x14ac:dyDescent="0.25">
      <c r="P669"/>
    </row>
    <row r="670" spans="16:16" x14ac:dyDescent="0.25">
      <c r="P670"/>
    </row>
    <row r="671" spans="16:16" x14ac:dyDescent="0.25">
      <c r="P671"/>
    </row>
    <row r="672" spans="16:16" x14ac:dyDescent="0.25">
      <c r="P672"/>
    </row>
    <row r="673" spans="16:16" x14ac:dyDescent="0.25">
      <c r="P673"/>
    </row>
    <row r="674" spans="16:16" x14ac:dyDescent="0.25">
      <c r="P674"/>
    </row>
    <row r="675" spans="16:16" x14ac:dyDescent="0.25">
      <c r="P675"/>
    </row>
    <row r="676" spans="16:16" x14ac:dyDescent="0.25">
      <c r="P676"/>
    </row>
    <row r="677" spans="16:16" x14ac:dyDescent="0.25">
      <c r="P677"/>
    </row>
    <row r="678" spans="16:16" x14ac:dyDescent="0.25">
      <c r="P678"/>
    </row>
    <row r="679" spans="16:16" x14ac:dyDescent="0.25">
      <c r="P679"/>
    </row>
    <row r="680" spans="16:16" x14ac:dyDescent="0.25">
      <c r="P680"/>
    </row>
    <row r="681" spans="16:16" x14ac:dyDescent="0.25">
      <c r="P681"/>
    </row>
    <row r="682" spans="16:16" x14ac:dyDescent="0.25">
      <c r="P682"/>
    </row>
    <row r="683" spans="16:16" x14ac:dyDescent="0.25">
      <c r="P683"/>
    </row>
    <row r="684" spans="16:16" x14ac:dyDescent="0.25">
      <c r="P684"/>
    </row>
    <row r="685" spans="16:16" x14ac:dyDescent="0.25">
      <c r="P685"/>
    </row>
    <row r="686" spans="16:16" x14ac:dyDescent="0.25">
      <c r="P686"/>
    </row>
    <row r="687" spans="16:16" x14ac:dyDescent="0.25">
      <c r="P687"/>
    </row>
    <row r="1048536" spans="16:16" x14ac:dyDescent="0.25">
      <c r="P1048536"/>
    </row>
    <row r="1048537" spans="16:16" x14ac:dyDescent="0.25">
      <c r="P1048537"/>
    </row>
    <row r="1048538" spans="16:16" x14ac:dyDescent="0.25">
      <c r="P1048538"/>
    </row>
    <row r="1048539" spans="16:16" x14ac:dyDescent="0.25">
      <c r="P1048539"/>
    </row>
    <row r="1048540" spans="16:16" x14ac:dyDescent="0.25">
      <c r="P1048540"/>
    </row>
    <row r="1048541" spans="16:16" x14ac:dyDescent="0.25">
      <c r="P1048541"/>
    </row>
    <row r="1048542" spans="16:16" x14ac:dyDescent="0.25">
      <c r="P1048542"/>
    </row>
    <row r="1048543" spans="16:16" x14ac:dyDescent="0.25">
      <c r="P1048543"/>
    </row>
    <row r="1048544" spans="16:16" x14ac:dyDescent="0.25">
      <c r="P1048544"/>
    </row>
    <row r="1048545" spans="16:16" x14ac:dyDescent="0.25">
      <c r="P1048545"/>
    </row>
    <row r="1048546" spans="16:16" x14ac:dyDescent="0.25">
      <c r="P1048546"/>
    </row>
    <row r="1048547" spans="16:16" x14ac:dyDescent="0.25">
      <c r="P1048547"/>
    </row>
    <row r="1048548" spans="16:16" x14ac:dyDescent="0.25">
      <c r="P1048548"/>
    </row>
    <row r="1048549" spans="16:16" x14ac:dyDescent="0.25">
      <c r="P1048549"/>
    </row>
    <row r="1048550" spans="16:16" x14ac:dyDescent="0.25">
      <c r="P1048550"/>
    </row>
    <row r="1048551" spans="16:16" x14ac:dyDescent="0.25">
      <c r="P1048551"/>
    </row>
    <row r="1048552" spans="16:16" x14ac:dyDescent="0.25">
      <c r="P1048552"/>
    </row>
    <row r="1048553" spans="16:16" x14ac:dyDescent="0.25">
      <c r="P1048553"/>
    </row>
    <row r="1048554" spans="16:16" x14ac:dyDescent="0.25">
      <c r="P1048554"/>
    </row>
    <row r="1048555" spans="16:16" x14ac:dyDescent="0.25">
      <c r="P1048555"/>
    </row>
    <row r="1048556" spans="16:16" x14ac:dyDescent="0.25">
      <c r="P1048556"/>
    </row>
    <row r="1048557" spans="16:16" x14ac:dyDescent="0.25">
      <c r="P1048557"/>
    </row>
    <row r="1048558" spans="16:16" x14ac:dyDescent="0.25">
      <c r="P1048558"/>
    </row>
    <row r="1048559" spans="16:16" x14ac:dyDescent="0.25">
      <c r="P1048559"/>
    </row>
    <row r="1048560" spans="16:16" x14ac:dyDescent="0.25">
      <c r="P1048560"/>
    </row>
    <row r="1048561" spans="16:16" x14ac:dyDescent="0.25">
      <c r="P1048561"/>
    </row>
    <row r="1048562" spans="16:16" x14ac:dyDescent="0.25">
      <c r="P1048562"/>
    </row>
    <row r="1048563" spans="16:16" x14ac:dyDescent="0.25">
      <c r="P1048563"/>
    </row>
    <row r="1048564" spans="16:16" x14ac:dyDescent="0.25">
      <c r="P1048564"/>
    </row>
    <row r="1048565" spans="16:16" x14ac:dyDescent="0.25">
      <c r="P1048565"/>
    </row>
    <row r="1048566" spans="16:16" x14ac:dyDescent="0.25">
      <c r="P1048566"/>
    </row>
    <row r="1048567" spans="16:16" x14ac:dyDescent="0.25">
      <c r="P1048567"/>
    </row>
    <row r="1048568" spans="16:16" x14ac:dyDescent="0.25">
      <c r="P1048568"/>
    </row>
    <row r="1048569" spans="16:16" x14ac:dyDescent="0.25">
      <c r="P1048569"/>
    </row>
    <row r="1048570" spans="16:16" x14ac:dyDescent="0.25">
      <c r="P1048570"/>
    </row>
    <row r="1048571" spans="16:16" x14ac:dyDescent="0.25">
      <c r="P1048571"/>
    </row>
    <row r="1048572" spans="16:16" x14ac:dyDescent="0.25">
      <c r="P1048572"/>
    </row>
    <row r="1048573" spans="16:16" x14ac:dyDescent="0.25">
      <c r="P1048573"/>
    </row>
    <row r="1048574" spans="16:16" x14ac:dyDescent="0.25">
      <c r="P1048574"/>
    </row>
    <row r="1048575" spans="16:16" x14ac:dyDescent="0.25">
      <c r="P1048575"/>
    </row>
    <row r="1048576" spans="16:16" x14ac:dyDescent="0.25">
      <c r="P1048576"/>
    </row>
  </sheetData>
  <mergeCells count="2">
    <mergeCell ref="P8:P32"/>
    <mergeCell ref="P1:P2"/>
  </mergeCells>
  <hyperlinks>
    <hyperlink ref="P1" location="Ref!B2" display="Ref" xr:uid="{56C5778B-7F49-410C-AE10-E7F142542ECF}"/>
  </hyperlink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1434D-4CC7-4B86-A890-2960245BDA67}">
  <sheetPr>
    <tabColor theme="4"/>
  </sheetPr>
  <dimension ref="A1:C15"/>
  <sheetViews>
    <sheetView workbookViewId="0">
      <selection activeCell="B26" sqref="B26"/>
    </sheetView>
  </sheetViews>
  <sheetFormatPr defaultRowHeight="15" x14ac:dyDescent="0.25"/>
  <cols>
    <col min="2" max="2" width="39.08984375" bestFit="1" customWidth="1"/>
  </cols>
  <sheetData>
    <row r="1" spans="1:3" ht="28.8" customHeight="1" x14ac:dyDescent="0.25">
      <c r="A1" s="8" t="s">
        <v>54</v>
      </c>
      <c r="B1" s="4" t="s">
        <v>55</v>
      </c>
      <c r="C1" s="25" t="s">
        <v>65</v>
      </c>
    </row>
    <row r="2" spans="1:3" x14ac:dyDescent="0.25">
      <c r="A2" s="4" t="s">
        <v>41</v>
      </c>
      <c r="B2" s="4">
        <v>0.64</v>
      </c>
      <c r="C2" s="22" t="s">
        <v>91</v>
      </c>
    </row>
    <row r="3" spans="1:3" x14ac:dyDescent="0.25">
      <c r="A3" s="4" t="s">
        <v>36</v>
      </c>
      <c r="B3" s="4">
        <v>0.88</v>
      </c>
      <c r="C3" s="22"/>
    </row>
    <row r="4" spans="1:3" x14ac:dyDescent="0.25">
      <c r="A4" s="4" t="s">
        <v>29</v>
      </c>
      <c r="B4" s="4">
        <v>0.76900000000000002</v>
      </c>
      <c r="C4" s="22"/>
    </row>
    <row r="5" spans="1:3" x14ac:dyDescent="0.25">
      <c r="A5" s="4" t="s">
        <v>39</v>
      </c>
      <c r="B5" s="4">
        <v>0.70730000000000004</v>
      </c>
      <c r="C5" s="22"/>
    </row>
    <row r="6" spans="1:3" x14ac:dyDescent="0.25">
      <c r="A6" s="4" t="s">
        <v>35</v>
      </c>
      <c r="B6" s="4">
        <v>0.76</v>
      </c>
      <c r="C6" s="22"/>
    </row>
    <row r="7" spans="1:3" x14ac:dyDescent="0.25">
      <c r="A7" s="4" t="s">
        <v>40</v>
      </c>
      <c r="B7" s="4">
        <v>0.75</v>
      </c>
      <c r="C7" s="22"/>
    </row>
    <row r="8" spans="1:3" x14ac:dyDescent="0.25">
      <c r="A8" s="4" t="s">
        <v>38</v>
      </c>
      <c r="B8" s="4">
        <v>0.37130000000000002</v>
      </c>
      <c r="C8" s="22"/>
    </row>
    <row r="9" spans="1:3" x14ac:dyDescent="0.25">
      <c r="A9" s="4" t="s">
        <v>32</v>
      </c>
      <c r="B9" s="4">
        <v>0.84</v>
      </c>
      <c r="C9" s="22"/>
    </row>
    <row r="10" spans="1:3" x14ac:dyDescent="0.25">
      <c r="A10" s="4" t="s">
        <v>31</v>
      </c>
      <c r="B10" s="4">
        <v>0.57489999999999997</v>
      </c>
      <c r="C10" s="22"/>
    </row>
    <row r="11" spans="1:3" x14ac:dyDescent="0.25">
      <c r="A11" s="4" t="s">
        <v>30</v>
      </c>
      <c r="B11" s="4">
        <v>0.107</v>
      </c>
      <c r="C11" s="22"/>
    </row>
    <row r="12" spans="1:3" x14ac:dyDescent="0.25">
      <c r="A12" s="4" t="s">
        <v>56</v>
      </c>
      <c r="B12" s="4">
        <v>0.44159999999999999</v>
      </c>
      <c r="C12" s="22"/>
    </row>
    <row r="13" spans="1:3" x14ac:dyDescent="0.25">
      <c r="A13" s="4" t="s">
        <v>34</v>
      </c>
      <c r="B13" s="4">
        <v>0.64</v>
      </c>
      <c r="C13" s="22"/>
    </row>
    <row r="14" spans="1:3" x14ac:dyDescent="0.25">
      <c r="A14" s="4" t="s">
        <v>37</v>
      </c>
      <c r="B14" s="4">
        <v>0.1</v>
      </c>
      <c r="C14" s="22"/>
    </row>
    <row r="15" spans="1:3" x14ac:dyDescent="0.25">
      <c r="A15" s="4" t="s">
        <v>57</v>
      </c>
      <c r="B15" s="4">
        <v>0.65390000000000004</v>
      </c>
      <c r="C15" s="22"/>
    </row>
  </sheetData>
  <mergeCells count="1">
    <mergeCell ref="C2:C15"/>
  </mergeCells>
  <hyperlinks>
    <hyperlink ref="C1" location="Ref!B2" display="Ref" xr:uid="{AE8891C3-5ED7-44A0-B18B-BE166A7CBDD5}"/>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13660-4722-49C0-88EA-81B9921091CD}">
  <sheetPr>
    <tabColor theme="8" tint="0.79998168889431442"/>
  </sheetPr>
  <dimension ref="A1:R40"/>
  <sheetViews>
    <sheetView workbookViewId="0">
      <selection activeCell="E9" sqref="E9"/>
    </sheetView>
  </sheetViews>
  <sheetFormatPr defaultRowHeight="15" x14ac:dyDescent="0.25"/>
  <sheetData>
    <row r="1" spans="1:18" x14ac:dyDescent="0.25">
      <c r="A1" s="4" t="s">
        <v>59</v>
      </c>
      <c r="B1" s="4" t="s">
        <v>60</v>
      </c>
      <c r="C1" s="28" t="s">
        <v>65</v>
      </c>
    </row>
    <row r="2" spans="1:18" x14ac:dyDescent="0.25">
      <c r="A2" s="4" t="s">
        <v>41</v>
      </c>
      <c r="B2" s="4">
        <v>0.6</v>
      </c>
      <c r="C2" s="19" t="s">
        <v>95</v>
      </c>
      <c r="E2" s="9"/>
      <c r="F2" s="9"/>
      <c r="G2" s="9"/>
      <c r="H2" s="9"/>
      <c r="I2" s="9"/>
      <c r="J2" s="9"/>
      <c r="K2" s="9"/>
      <c r="L2" s="9"/>
      <c r="M2" s="9"/>
      <c r="N2" s="9"/>
      <c r="O2" s="9"/>
      <c r="P2" s="9"/>
      <c r="Q2" s="9"/>
      <c r="R2" s="9"/>
    </row>
    <row r="3" spans="1:18" x14ac:dyDescent="0.25">
      <c r="A3" s="4" t="s">
        <v>36</v>
      </c>
      <c r="B3" s="4">
        <v>0.68</v>
      </c>
      <c r="C3" s="19"/>
      <c r="E3" s="9"/>
      <c r="F3" s="9"/>
      <c r="G3" s="9"/>
      <c r="H3" s="9"/>
      <c r="I3" s="9"/>
      <c r="J3" s="9"/>
      <c r="K3" s="9"/>
      <c r="L3" s="9"/>
      <c r="M3" s="9"/>
      <c r="N3" s="9"/>
      <c r="O3" s="9"/>
      <c r="P3" s="9"/>
      <c r="Q3" s="9"/>
      <c r="R3" s="9"/>
    </row>
    <row r="4" spans="1:18" x14ac:dyDescent="0.25">
      <c r="A4" s="4" t="s">
        <v>29</v>
      </c>
      <c r="B4" s="4">
        <v>0.42</v>
      </c>
      <c r="C4" s="19"/>
      <c r="E4" s="9"/>
      <c r="F4" s="9"/>
      <c r="G4" s="9"/>
      <c r="H4" s="9"/>
      <c r="I4" s="9"/>
      <c r="J4" s="9"/>
      <c r="K4" s="9"/>
      <c r="L4" s="9"/>
      <c r="M4" s="9"/>
      <c r="N4" s="9"/>
      <c r="O4" s="9"/>
      <c r="P4" s="9"/>
      <c r="Q4" s="9"/>
      <c r="R4" s="9"/>
    </row>
    <row r="5" spans="1:18" x14ac:dyDescent="0.25">
      <c r="A5" s="4" t="s">
        <v>39</v>
      </c>
      <c r="B5" s="4">
        <v>0.48</v>
      </c>
      <c r="C5" s="19"/>
    </row>
    <row r="6" spans="1:18" x14ac:dyDescent="0.25">
      <c r="A6" s="4" t="s">
        <v>35</v>
      </c>
      <c r="B6" s="4">
        <v>0.78</v>
      </c>
      <c r="C6" s="19"/>
    </row>
    <row r="7" spans="1:18" x14ac:dyDescent="0.25">
      <c r="A7" s="4" t="s">
        <v>40</v>
      </c>
      <c r="B7" s="4">
        <v>0.03</v>
      </c>
      <c r="C7" s="19"/>
    </row>
    <row r="8" spans="1:18" x14ac:dyDescent="0.25">
      <c r="A8" s="4" t="s">
        <v>38</v>
      </c>
      <c r="B8" s="4">
        <v>0.39</v>
      </c>
      <c r="C8" s="19"/>
    </row>
    <row r="9" spans="1:18" x14ac:dyDescent="0.25">
      <c r="A9" s="4" t="s">
        <v>32</v>
      </c>
      <c r="B9" s="4">
        <v>0.53</v>
      </c>
      <c r="C9" s="19"/>
    </row>
    <row r="10" spans="1:18" x14ac:dyDescent="0.25">
      <c r="A10" s="4" t="s">
        <v>31</v>
      </c>
      <c r="B10" s="4">
        <v>0.6</v>
      </c>
      <c r="C10" s="19"/>
    </row>
    <row r="11" spans="1:18" x14ac:dyDescent="0.25">
      <c r="A11" s="4" t="s">
        <v>30</v>
      </c>
      <c r="B11" s="4">
        <v>0.92</v>
      </c>
      <c r="C11" s="19"/>
    </row>
    <row r="12" spans="1:18" x14ac:dyDescent="0.25">
      <c r="A12" s="4" t="s">
        <v>56</v>
      </c>
      <c r="B12" s="4">
        <v>0.63</v>
      </c>
      <c r="C12" s="19"/>
    </row>
    <row r="13" spans="1:18" x14ac:dyDescent="0.25">
      <c r="A13" s="4" t="s">
        <v>34</v>
      </c>
      <c r="B13" s="4">
        <v>0.3</v>
      </c>
      <c r="C13" s="19"/>
    </row>
    <row r="14" spans="1:18" x14ac:dyDescent="0.25">
      <c r="A14" s="4" t="s">
        <v>37</v>
      </c>
      <c r="B14" s="4">
        <v>0.7</v>
      </c>
      <c r="C14" s="19"/>
    </row>
    <row r="15" spans="1:18" x14ac:dyDescent="0.25">
      <c r="A15" s="4" t="s">
        <v>57</v>
      </c>
      <c r="B15" s="4">
        <v>0.52</v>
      </c>
      <c r="C15" s="19"/>
    </row>
    <row r="17" spans="1:2" x14ac:dyDescent="0.25">
      <c r="A17" s="2"/>
      <c r="B17" s="2"/>
    </row>
    <row r="18" spans="1:2" x14ac:dyDescent="0.25">
      <c r="A18" s="2"/>
      <c r="B18" s="2"/>
    </row>
    <row r="19" spans="1:2" x14ac:dyDescent="0.25">
      <c r="A19" s="2"/>
      <c r="B19" s="2"/>
    </row>
    <row r="20" spans="1:2" x14ac:dyDescent="0.25">
      <c r="A20" s="2"/>
      <c r="B20" s="2"/>
    </row>
    <row r="21" spans="1:2" x14ac:dyDescent="0.25">
      <c r="A21" s="2"/>
      <c r="B21" s="2"/>
    </row>
    <row r="22" spans="1:2" x14ac:dyDescent="0.25">
      <c r="A22" s="2"/>
      <c r="B22" s="2"/>
    </row>
    <row r="23" spans="1:2" x14ac:dyDescent="0.25">
      <c r="A23" s="2"/>
      <c r="B23" s="2"/>
    </row>
    <row r="24" spans="1:2" x14ac:dyDescent="0.25">
      <c r="A24" s="2"/>
      <c r="B24" s="2"/>
    </row>
    <row r="30" spans="1:2" x14ac:dyDescent="0.25">
      <c r="A30" s="2"/>
      <c r="B30" s="2"/>
    </row>
    <row r="31" spans="1:2" x14ac:dyDescent="0.25">
      <c r="A31" s="2"/>
      <c r="B31" s="2"/>
    </row>
    <row r="33" spans="1:2" x14ac:dyDescent="0.25">
      <c r="A33" s="2"/>
      <c r="B33" s="2"/>
    </row>
    <row r="34" spans="1:2" x14ac:dyDescent="0.25">
      <c r="A34" s="2"/>
      <c r="B34" s="2"/>
    </row>
    <row r="35" spans="1:2" x14ac:dyDescent="0.25">
      <c r="A35" s="2"/>
      <c r="B35" s="2"/>
    </row>
    <row r="36" spans="1:2" x14ac:dyDescent="0.25">
      <c r="A36" s="2"/>
      <c r="B36" s="2"/>
    </row>
    <row r="37" spans="1:2" x14ac:dyDescent="0.25">
      <c r="A37" s="2"/>
      <c r="B37" s="2"/>
    </row>
    <row r="38" spans="1:2" x14ac:dyDescent="0.25">
      <c r="A38" s="2"/>
      <c r="B38" s="2"/>
    </row>
    <row r="39" spans="1:2" x14ac:dyDescent="0.25">
      <c r="A39" s="2"/>
      <c r="B39" s="2"/>
    </row>
    <row r="40" spans="1:2" x14ac:dyDescent="0.25">
      <c r="A40" s="2"/>
      <c r="B40" s="2"/>
    </row>
  </sheetData>
  <mergeCells count="1">
    <mergeCell ref="C2:C15"/>
  </mergeCells>
  <hyperlinks>
    <hyperlink ref="C1" location="Ref!B2" display="Ref" xr:uid="{EB6E65A1-318B-4DCB-BFC7-F83DA2760E67}"/>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AFFB8-8843-4936-80CD-8A264289B607}">
  <sheetPr>
    <tabColor rgb="FFFFFF00"/>
  </sheetPr>
  <dimension ref="A1:H15"/>
  <sheetViews>
    <sheetView workbookViewId="0">
      <selection activeCell="B21" sqref="B21"/>
    </sheetView>
  </sheetViews>
  <sheetFormatPr defaultRowHeight="15" x14ac:dyDescent="0.25"/>
  <cols>
    <col min="8" max="8" width="8.7265625" style="1"/>
  </cols>
  <sheetData>
    <row r="1" spans="1:8" ht="15.6" x14ac:dyDescent="0.3">
      <c r="A1" s="4" t="s">
        <v>59</v>
      </c>
      <c r="B1" s="11">
        <v>1</v>
      </c>
      <c r="C1" s="11">
        <v>2</v>
      </c>
      <c r="D1" s="11">
        <v>3</v>
      </c>
      <c r="E1" s="11">
        <v>4</v>
      </c>
      <c r="F1" s="11">
        <v>5</v>
      </c>
      <c r="G1" s="11">
        <v>6</v>
      </c>
      <c r="H1" s="24" t="s">
        <v>65</v>
      </c>
    </row>
    <row r="2" spans="1:8" x14ac:dyDescent="0.25">
      <c r="A2" s="4" t="s">
        <v>41</v>
      </c>
      <c r="B2" s="4">
        <v>18000</v>
      </c>
      <c r="C2" s="4">
        <f>B2*2.96</f>
        <v>53280</v>
      </c>
      <c r="D2" s="4">
        <f>(C2+E2)/2</f>
        <v>67140</v>
      </c>
      <c r="E2" s="4">
        <f>B2*4.5</f>
        <v>81000</v>
      </c>
      <c r="F2" s="4">
        <f>(E2+G2)/2</f>
        <v>40506.5</v>
      </c>
      <c r="G2" s="4">
        <v>13</v>
      </c>
      <c r="H2" s="23" t="s">
        <v>74</v>
      </c>
    </row>
    <row r="3" spans="1:8" x14ac:dyDescent="0.25">
      <c r="A3" s="4" t="s">
        <v>36</v>
      </c>
      <c r="B3" s="4">
        <v>1600</v>
      </c>
      <c r="C3" s="4">
        <f>B3*2.44</f>
        <v>3904</v>
      </c>
      <c r="D3" s="4">
        <f t="shared" ref="D3:D15" si="0">(C3+E3)/2</f>
        <v>3952</v>
      </c>
      <c r="E3" s="4">
        <f>B3*2.5</f>
        <v>4000</v>
      </c>
      <c r="F3" s="4">
        <f t="shared" ref="F3:F15" si="1">(E3+G3)/2</f>
        <v>4504</v>
      </c>
      <c r="G3" s="4">
        <f>B3*3.13</f>
        <v>5008</v>
      </c>
      <c r="H3" s="23"/>
    </row>
    <row r="4" spans="1:8" x14ac:dyDescent="0.25">
      <c r="A4" s="4" t="s">
        <v>29</v>
      </c>
      <c r="B4" s="4">
        <v>24500</v>
      </c>
      <c r="C4" s="4">
        <f>B4*1.96</f>
        <v>48020</v>
      </c>
      <c r="D4" s="4">
        <f t="shared" si="0"/>
        <v>43120</v>
      </c>
      <c r="E4" s="4">
        <f>B4*1.56</f>
        <v>38220</v>
      </c>
      <c r="F4" s="4">
        <f t="shared" si="1"/>
        <v>32340</v>
      </c>
      <c r="G4" s="4">
        <f>B4*1.08</f>
        <v>26460</v>
      </c>
      <c r="H4" s="23"/>
    </row>
    <row r="5" spans="1:8" x14ac:dyDescent="0.25">
      <c r="A5" s="4" t="s">
        <v>39</v>
      </c>
      <c r="B5" s="4">
        <v>12300</v>
      </c>
      <c r="C5" s="4">
        <f>B5*2</f>
        <v>24600</v>
      </c>
      <c r="D5" s="4">
        <f t="shared" si="0"/>
        <v>27675</v>
      </c>
      <c r="E5" s="4">
        <f>B5*2.5</f>
        <v>30750</v>
      </c>
      <c r="F5" s="4">
        <f t="shared" si="1"/>
        <v>27675</v>
      </c>
      <c r="G5" s="4">
        <f>B5*2</f>
        <v>24600</v>
      </c>
      <c r="H5" s="23"/>
    </row>
    <row r="6" spans="1:8" x14ac:dyDescent="0.25">
      <c r="A6" s="4" t="s">
        <v>35</v>
      </c>
      <c r="B6" s="4">
        <v>7272000</v>
      </c>
      <c r="C6" s="4">
        <f>B6*2</f>
        <v>14544000</v>
      </c>
      <c r="D6" s="4">
        <f t="shared" si="0"/>
        <v>14544000</v>
      </c>
      <c r="E6" s="4">
        <v>14544000</v>
      </c>
      <c r="F6" s="4">
        <f t="shared" si="1"/>
        <v>14544000</v>
      </c>
      <c r="G6" s="4">
        <v>14544000</v>
      </c>
      <c r="H6" s="23"/>
    </row>
    <row r="7" spans="1:8" x14ac:dyDescent="0.25">
      <c r="A7" s="4" t="s">
        <v>40</v>
      </c>
      <c r="B7" s="4">
        <v>725</v>
      </c>
      <c r="C7" s="4">
        <f>B7*3</f>
        <v>2175</v>
      </c>
      <c r="D7" s="4">
        <f t="shared" si="0"/>
        <v>4712.5</v>
      </c>
      <c r="E7" s="4">
        <f>B7*10</f>
        <v>7250</v>
      </c>
      <c r="F7" s="4">
        <f t="shared" si="1"/>
        <v>7612.5</v>
      </c>
      <c r="G7" s="4">
        <f>B7*11</f>
        <v>7975</v>
      </c>
      <c r="H7" s="23"/>
    </row>
    <row r="8" spans="1:8" x14ac:dyDescent="0.25">
      <c r="A8" s="4" t="s">
        <v>38</v>
      </c>
      <c r="B8" s="4">
        <v>3480</v>
      </c>
      <c r="C8" s="4">
        <f>B8*5</f>
        <v>17400</v>
      </c>
      <c r="D8" s="4">
        <f t="shared" si="0"/>
        <v>27840</v>
      </c>
      <c r="E8" s="4">
        <f>B8*11</f>
        <v>38280</v>
      </c>
      <c r="F8" s="4">
        <f t="shared" si="1"/>
        <v>29580</v>
      </c>
      <c r="G8" s="4">
        <f>B8*6</f>
        <v>20880</v>
      </c>
      <c r="H8" s="23"/>
    </row>
    <row r="9" spans="1:8" x14ac:dyDescent="0.25">
      <c r="A9" s="4" t="s">
        <v>32</v>
      </c>
      <c r="B9" s="4">
        <v>44000</v>
      </c>
      <c r="C9" s="4">
        <f>B9*4.5</f>
        <v>198000</v>
      </c>
      <c r="D9" s="4">
        <f t="shared" si="0"/>
        <v>495000</v>
      </c>
      <c r="E9" s="4">
        <f>B9*18</f>
        <v>792000</v>
      </c>
      <c r="F9" s="4">
        <f t="shared" si="1"/>
        <v>1012000</v>
      </c>
      <c r="G9" s="4">
        <f>B9*28</f>
        <v>1232000</v>
      </c>
      <c r="H9" s="23"/>
    </row>
    <row r="10" spans="1:8" x14ac:dyDescent="0.25">
      <c r="A10" s="4" t="s">
        <v>31</v>
      </c>
      <c r="B10" s="4">
        <v>19462</v>
      </c>
      <c r="C10" s="4">
        <f>B10*3.2</f>
        <v>62278.400000000001</v>
      </c>
      <c r="D10" s="4">
        <f t="shared" si="0"/>
        <v>92444.5</v>
      </c>
      <c r="E10" s="4">
        <f>B10*6.3</f>
        <v>122610.59999999999</v>
      </c>
      <c r="F10" s="4">
        <f t="shared" si="1"/>
        <v>129422.29999999999</v>
      </c>
      <c r="G10" s="4">
        <f>B10*7</f>
        <v>136234</v>
      </c>
      <c r="H10" s="23"/>
    </row>
    <row r="11" spans="1:8" x14ac:dyDescent="0.25">
      <c r="A11" s="4" t="s">
        <v>30</v>
      </c>
      <c r="B11" s="4">
        <v>341000</v>
      </c>
      <c r="C11" s="4">
        <f>B11*1.16</f>
        <v>395560</v>
      </c>
      <c r="D11" s="4">
        <f t="shared" si="0"/>
        <v>479105</v>
      </c>
      <c r="E11" s="4">
        <f>B11*1.65</f>
        <v>562650</v>
      </c>
      <c r="F11" s="4">
        <f t="shared" si="1"/>
        <v>491040</v>
      </c>
      <c r="G11" s="4">
        <f>B11*1.23</f>
        <v>419430</v>
      </c>
      <c r="H11" s="23"/>
    </row>
    <row r="12" spans="1:8" x14ac:dyDescent="0.25">
      <c r="A12" s="4" t="s">
        <v>56</v>
      </c>
      <c r="B12" s="4">
        <v>140331</v>
      </c>
      <c r="C12" s="4">
        <f>B12*1.4</f>
        <v>196463.4</v>
      </c>
      <c r="D12" s="4">
        <f t="shared" si="0"/>
        <v>210496.5</v>
      </c>
      <c r="E12" s="4">
        <f>B12*1.6</f>
        <v>224529.6</v>
      </c>
      <c r="F12" s="4">
        <f t="shared" si="1"/>
        <v>240667.66500000001</v>
      </c>
      <c r="G12" s="4">
        <f>B12*1.83</f>
        <v>256805.73</v>
      </c>
      <c r="H12" s="23"/>
    </row>
    <row r="13" spans="1:8" x14ac:dyDescent="0.25">
      <c r="A13" s="4" t="s">
        <v>34</v>
      </c>
      <c r="B13" s="4">
        <v>960</v>
      </c>
      <c r="C13" s="4">
        <f>B13*1.2</f>
        <v>1152</v>
      </c>
      <c r="D13" s="4">
        <f t="shared" si="0"/>
        <v>1344</v>
      </c>
      <c r="E13" s="4">
        <f>B13*1.6</f>
        <v>1536</v>
      </c>
      <c r="F13" s="4">
        <f t="shared" si="1"/>
        <v>1584</v>
      </c>
      <c r="G13" s="4">
        <f>B13*1.7</f>
        <v>1632</v>
      </c>
      <c r="H13" s="23"/>
    </row>
    <row r="14" spans="1:8" x14ac:dyDescent="0.25">
      <c r="A14" s="4" t="s">
        <v>37</v>
      </c>
      <c r="B14" s="4">
        <v>913000</v>
      </c>
      <c r="C14" s="4">
        <f>B14*2</f>
        <v>1826000</v>
      </c>
      <c r="D14" s="4">
        <f t="shared" si="0"/>
        <v>1643400</v>
      </c>
      <c r="E14" s="4">
        <f>B14*1.6</f>
        <v>1460800</v>
      </c>
      <c r="F14" s="4">
        <f t="shared" si="1"/>
        <v>1501885</v>
      </c>
      <c r="G14" s="4">
        <f>B14*1.69</f>
        <v>1542970</v>
      </c>
      <c r="H14" s="23"/>
    </row>
    <row r="15" spans="1:8" x14ac:dyDescent="0.25">
      <c r="A15" s="4" t="s">
        <v>57</v>
      </c>
      <c r="B15" s="4">
        <v>60572</v>
      </c>
      <c r="C15" s="4">
        <f>B15*1.58</f>
        <v>95703.760000000009</v>
      </c>
      <c r="D15" s="4">
        <f t="shared" si="0"/>
        <v>79955.040000000008</v>
      </c>
      <c r="E15" s="4">
        <f>B15*1.06</f>
        <v>64206.32</v>
      </c>
      <c r="F15" s="4">
        <f t="shared" si="1"/>
        <v>66629.2</v>
      </c>
      <c r="G15" s="4">
        <f>B15*1.14</f>
        <v>69052.079999999987</v>
      </c>
      <c r="H15" s="23"/>
    </row>
  </sheetData>
  <mergeCells count="1">
    <mergeCell ref="H2:H15"/>
  </mergeCells>
  <hyperlinks>
    <hyperlink ref="H1" location="Ref!B2" display="Ref" xr:uid="{15B6713B-8753-4001-9747-205C3FB8B2FE}"/>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59C2E-7CCE-41EC-9F96-57539B44DE64}">
  <sheetPr>
    <tabColor theme="1"/>
  </sheetPr>
  <dimension ref="B2:C16"/>
  <sheetViews>
    <sheetView workbookViewId="0">
      <selection activeCell="C21" sqref="C21"/>
    </sheetView>
  </sheetViews>
  <sheetFormatPr defaultRowHeight="15" x14ac:dyDescent="0.25"/>
  <cols>
    <col min="3" max="3" width="149.90625" customWidth="1"/>
  </cols>
  <sheetData>
    <row r="2" spans="2:3" x14ac:dyDescent="0.25">
      <c r="B2" s="1" t="s">
        <v>65</v>
      </c>
    </row>
    <row r="3" spans="2:3" x14ac:dyDescent="0.25">
      <c r="B3" s="20" t="s">
        <v>68</v>
      </c>
      <c r="C3" s="21" t="s">
        <v>85</v>
      </c>
    </row>
    <row r="4" spans="2:3" x14ac:dyDescent="0.25">
      <c r="B4" s="20" t="s">
        <v>69</v>
      </c>
      <c r="C4" s="21" t="s">
        <v>86</v>
      </c>
    </row>
    <row r="5" spans="2:3" x14ac:dyDescent="0.25">
      <c r="B5" s="20" t="s">
        <v>70</v>
      </c>
      <c r="C5" s="21" t="s">
        <v>87</v>
      </c>
    </row>
    <row r="6" spans="2:3" x14ac:dyDescent="0.25">
      <c r="B6" s="20" t="s">
        <v>71</v>
      </c>
      <c r="C6" s="21" t="s">
        <v>88</v>
      </c>
    </row>
    <row r="7" spans="2:3" x14ac:dyDescent="0.25">
      <c r="B7" s="20" t="s">
        <v>72</v>
      </c>
      <c r="C7" s="21" t="s">
        <v>89</v>
      </c>
    </row>
    <row r="8" spans="2:3" x14ac:dyDescent="0.25">
      <c r="B8" s="20" t="s">
        <v>73</v>
      </c>
      <c r="C8" s="21" t="s">
        <v>90</v>
      </c>
    </row>
    <row r="9" spans="2:3" x14ac:dyDescent="0.25">
      <c r="B9" s="20" t="s">
        <v>75</v>
      </c>
      <c r="C9" s="21" t="s">
        <v>92</v>
      </c>
    </row>
    <row r="10" spans="2:3" x14ac:dyDescent="0.25">
      <c r="B10" s="20" t="s">
        <v>76</v>
      </c>
      <c r="C10" s="21" t="s">
        <v>93</v>
      </c>
    </row>
    <row r="11" spans="2:3" x14ac:dyDescent="0.25">
      <c r="B11" s="20" t="s">
        <v>77</v>
      </c>
      <c r="C11" s="21" t="s">
        <v>94</v>
      </c>
    </row>
    <row r="12" spans="2:3" x14ac:dyDescent="0.25">
      <c r="B12" s="20" t="s">
        <v>78</v>
      </c>
      <c r="C12" s="21" t="s">
        <v>96</v>
      </c>
    </row>
    <row r="13" spans="2:3" x14ac:dyDescent="0.25">
      <c r="B13" s="20" t="s">
        <v>79</v>
      </c>
      <c r="C13" s="21" t="s">
        <v>82</v>
      </c>
    </row>
    <row r="14" spans="2:3" x14ac:dyDescent="0.25">
      <c r="B14" s="20" t="s">
        <v>80</v>
      </c>
      <c r="C14" s="21" t="s">
        <v>83</v>
      </c>
    </row>
    <row r="15" spans="2:3" x14ac:dyDescent="0.25">
      <c r="B15" s="20" t="s">
        <v>81</v>
      </c>
      <c r="C15" s="21" t="s">
        <v>84</v>
      </c>
    </row>
    <row r="16" spans="2:3" x14ac:dyDescent="0.25">
      <c r="B16" s="1"/>
    </row>
  </sheetData>
  <pageMargins left="0.7" right="0.7" top="0.75" bottom="0.75" header="0.3" footer="0.3"/>
</worksheet>
</file>

<file path=docMetadata/LabelInfo.xml><?xml version="1.0" encoding="utf-8"?>
<clbl:labelList xmlns:clbl="http://schemas.microsoft.com/office/2020/mipLabelMetadata">
  <clbl:label id="{1faf88fe-a998-4c5b-93c9-210a11d9a5c2}" enabled="0" method="" siteId="{1faf88fe-a998-4c5b-93c9-210a11d9a5c2}"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Sets</vt:lpstr>
      <vt:lpstr>Intensity</vt:lpstr>
      <vt:lpstr>Proportion</vt:lpstr>
      <vt:lpstr>Recovery</vt:lpstr>
      <vt:lpstr>Availability</vt:lpstr>
      <vt:lpstr>Ref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Hemmati, Mohammad</dc:creator>
  <cp:lastModifiedBy>Mohammad Hemmati</cp:lastModifiedBy>
  <dcterms:created xsi:type="dcterms:W3CDTF">2025-10-19T15:29:35Z</dcterms:created>
  <dcterms:modified xsi:type="dcterms:W3CDTF">2026-05-21T12:44:36Z</dcterms:modified>
</cp:coreProperties>
</file>